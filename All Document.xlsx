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sobha-my.sharepoint.com/personal/manuel_rebera_sobhaconst_com/Documents/Desktop/WAO_Document/"/>
    </mc:Choice>
  </mc:AlternateContent>
  <xr:revisionPtr revIDLastSave="17" documentId="8_{CA6EDA00-B492-48BB-80BC-E4CB14EEFA78}" xr6:coauthVersionLast="47" xr6:coauthVersionMax="47" xr10:uidLastSave="{FBF9C947-190D-465C-904E-12C62CD2A543}"/>
  <bookViews>
    <workbookView xWindow="-110" yWindow="-110" windowWidth="19420" windowHeight="11500" firstSheet="3" activeTab="8" xr2:uid="{F6166246-3D99-4555-BD3D-26FED57828F7}"/>
  </bookViews>
  <sheets>
    <sheet name="PLANGRID" sheetId="3" r:id="rId1"/>
    <sheet name="SUMMARY" sheetId="2" r:id="rId2"/>
    <sheet name="STAMP" sheetId="1" r:id="rId3"/>
    <sheet name="ELV WIRS" sheetId="5" r:id="rId4"/>
    <sheet name="DRAFT" sheetId="4" r:id="rId5"/>
    <sheet name="INFORMETION" sheetId="8" r:id="rId6"/>
    <sheet name="BASS" sheetId="7" r:id="rId7"/>
    <sheet name="MANPOWER " sheetId="9" r:id="rId8"/>
    <sheet name="FAS RESPONSE" sheetId="10" r:id="rId9"/>
  </sheets>
  <definedNames>
    <definedName name="_xlnm._FilterDatabase" localSheetId="4" hidden="1">DRAFT!$A$23:$E$23</definedName>
    <definedName name="_xlnm._FilterDatabase" localSheetId="3" hidden="1">'ELV WIRS'!$A$1:$F$50</definedName>
    <definedName name="_xlnm._FilterDatabase" localSheetId="2" hidden="1">STAMP!$A$1:$L$356</definedName>
    <definedName name="_xlnm.Print_Area" localSheetId="2">STAMP!$A$1:$H$351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27" i="3" l="1"/>
  <c r="A2127" i="3" l="1"/>
  <c r="B3" i="3"/>
  <c r="A3" i="3" s="1"/>
  <c r="B4" i="3"/>
  <c r="A4" i="3" s="1"/>
  <c r="B5" i="3"/>
  <c r="A5" i="3" s="1"/>
  <c r="B6" i="3"/>
  <c r="A6" i="3" s="1"/>
  <c r="B7" i="3"/>
  <c r="A7" i="3" s="1"/>
  <c r="B8" i="3"/>
  <c r="A8" i="3" s="1"/>
  <c r="B9" i="3"/>
  <c r="A9" i="3" s="1"/>
  <c r="B10" i="3"/>
  <c r="A10" i="3" s="1"/>
  <c r="B11" i="3"/>
  <c r="A11" i="3" s="1"/>
  <c r="B12" i="3"/>
  <c r="A12" i="3" s="1"/>
  <c r="B13" i="3"/>
  <c r="A13" i="3" s="1"/>
  <c r="B14" i="3"/>
  <c r="A14" i="3" s="1"/>
  <c r="B15" i="3"/>
  <c r="A15" i="3" s="1"/>
  <c r="B16" i="3"/>
  <c r="A16" i="3" s="1"/>
  <c r="B17" i="3"/>
  <c r="A17" i="3" s="1"/>
  <c r="B18" i="3"/>
  <c r="A18" i="3" s="1"/>
  <c r="B19" i="3"/>
  <c r="A19" i="3" s="1"/>
  <c r="B20" i="3"/>
  <c r="A20" i="3" s="1"/>
  <c r="B21" i="3"/>
  <c r="A21" i="3" s="1"/>
  <c r="B22" i="3"/>
  <c r="A22" i="3" s="1"/>
  <c r="B23" i="3"/>
  <c r="A23" i="3" s="1"/>
  <c r="B24" i="3"/>
  <c r="A24" i="3" s="1"/>
  <c r="B25" i="3"/>
  <c r="A25" i="3" s="1"/>
  <c r="B26" i="3"/>
  <c r="A26" i="3" s="1"/>
  <c r="B27" i="3"/>
  <c r="A27" i="3" s="1"/>
  <c r="B28" i="3"/>
  <c r="A28" i="3" s="1"/>
  <c r="B29" i="3"/>
  <c r="A29" i="3" s="1"/>
  <c r="B30" i="3"/>
  <c r="A30" i="3" s="1"/>
  <c r="B31" i="3"/>
  <c r="A31" i="3" s="1"/>
  <c r="B32" i="3"/>
  <c r="A32" i="3" s="1"/>
  <c r="B33" i="3"/>
  <c r="A33" i="3" s="1"/>
  <c r="B34" i="3"/>
  <c r="A34" i="3" s="1"/>
  <c r="B35" i="3"/>
  <c r="A35" i="3" s="1"/>
  <c r="B36" i="3"/>
  <c r="A36" i="3" s="1"/>
  <c r="B37" i="3"/>
  <c r="A37" i="3" s="1"/>
  <c r="B38" i="3"/>
  <c r="A38" i="3" s="1"/>
  <c r="B39" i="3"/>
  <c r="A39" i="3" s="1"/>
  <c r="B40" i="3"/>
  <c r="A40" i="3" s="1"/>
  <c r="B41" i="3"/>
  <c r="A41" i="3" s="1"/>
  <c r="B42" i="3"/>
  <c r="A42" i="3" s="1"/>
  <c r="B43" i="3"/>
  <c r="A43" i="3" s="1"/>
  <c r="B44" i="3"/>
  <c r="A44" i="3" s="1"/>
  <c r="B45" i="3"/>
  <c r="A45" i="3" s="1"/>
  <c r="B46" i="3"/>
  <c r="A46" i="3" s="1"/>
  <c r="B47" i="3"/>
  <c r="A47" i="3" s="1"/>
  <c r="B48" i="3"/>
  <c r="A48" i="3" s="1"/>
  <c r="B49" i="3"/>
  <c r="A49" i="3" s="1"/>
  <c r="B50" i="3"/>
  <c r="A50" i="3" s="1"/>
  <c r="B51" i="3"/>
  <c r="A51" i="3" s="1"/>
  <c r="B52" i="3"/>
  <c r="A52" i="3" s="1"/>
  <c r="B53" i="3"/>
  <c r="A53" i="3" s="1"/>
  <c r="B54" i="3"/>
  <c r="A54" i="3" s="1"/>
  <c r="B55" i="3"/>
  <c r="A55" i="3" s="1"/>
  <c r="B56" i="3"/>
  <c r="A56" i="3" s="1"/>
  <c r="B57" i="3"/>
  <c r="A57" i="3" s="1"/>
  <c r="B58" i="3"/>
  <c r="A58" i="3" s="1"/>
  <c r="B59" i="3"/>
  <c r="A59" i="3" s="1"/>
  <c r="B60" i="3"/>
  <c r="A60" i="3" s="1"/>
  <c r="B61" i="3"/>
  <c r="A61" i="3" s="1"/>
  <c r="B62" i="3"/>
  <c r="A62" i="3" s="1"/>
  <c r="B63" i="3"/>
  <c r="A63" i="3" s="1"/>
  <c r="B64" i="3"/>
  <c r="A64" i="3" s="1"/>
  <c r="B65" i="3"/>
  <c r="A65" i="3" s="1"/>
  <c r="B66" i="3"/>
  <c r="A66" i="3" s="1"/>
  <c r="B67" i="3"/>
  <c r="A67" i="3" s="1"/>
  <c r="B68" i="3"/>
  <c r="A68" i="3" s="1"/>
  <c r="B69" i="3"/>
  <c r="A69" i="3" s="1"/>
  <c r="B70" i="3"/>
  <c r="A70" i="3" s="1"/>
  <c r="B71" i="3"/>
  <c r="A71" i="3" s="1"/>
  <c r="B72" i="3"/>
  <c r="A72" i="3" s="1"/>
  <c r="B73" i="3"/>
  <c r="A73" i="3" s="1"/>
  <c r="B74" i="3"/>
  <c r="A74" i="3" s="1"/>
  <c r="B75" i="3"/>
  <c r="A75" i="3" s="1"/>
  <c r="B76" i="3"/>
  <c r="A76" i="3" s="1"/>
  <c r="B77" i="3"/>
  <c r="A77" i="3" s="1"/>
  <c r="B78" i="3"/>
  <c r="A78" i="3" s="1"/>
  <c r="B79" i="3"/>
  <c r="A79" i="3" s="1"/>
  <c r="B80" i="3"/>
  <c r="A80" i="3" s="1"/>
  <c r="B81" i="3"/>
  <c r="A81" i="3" s="1"/>
  <c r="B82" i="3"/>
  <c r="A82" i="3" s="1"/>
  <c r="B83" i="3"/>
  <c r="A83" i="3" s="1"/>
  <c r="B84" i="3"/>
  <c r="A84" i="3" s="1"/>
  <c r="B85" i="3"/>
  <c r="A85" i="3" s="1"/>
  <c r="B86" i="3"/>
  <c r="A86" i="3" s="1"/>
  <c r="B87" i="3"/>
  <c r="A87" i="3" s="1"/>
  <c r="B88" i="3"/>
  <c r="A88" i="3" s="1"/>
  <c r="B89" i="3"/>
  <c r="A89" i="3" s="1"/>
  <c r="B90" i="3"/>
  <c r="A90" i="3" s="1"/>
  <c r="B91" i="3"/>
  <c r="A91" i="3" s="1"/>
  <c r="B92" i="3"/>
  <c r="A92" i="3" s="1"/>
  <c r="B93" i="3"/>
  <c r="A93" i="3" s="1"/>
  <c r="B94" i="3"/>
  <c r="A94" i="3" s="1"/>
  <c r="B95" i="3"/>
  <c r="A95" i="3" s="1"/>
  <c r="B96" i="3"/>
  <c r="A96" i="3" s="1"/>
  <c r="B97" i="3"/>
  <c r="A97" i="3" s="1"/>
  <c r="B98" i="3"/>
  <c r="A98" i="3" s="1"/>
  <c r="B99" i="3"/>
  <c r="A99" i="3" s="1"/>
  <c r="B100" i="3"/>
  <c r="A100" i="3" s="1"/>
  <c r="B101" i="3"/>
  <c r="A101" i="3" s="1"/>
  <c r="B102" i="3"/>
  <c r="A102" i="3" s="1"/>
  <c r="B103" i="3"/>
  <c r="A103" i="3" s="1"/>
  <c r="B104" i="3"/>
  <c r="A104" i="3" s="1"/>
  <c r="B105" i="3"/>
  <c r="A105" i="3" s="1"/>
  <c r="B106" i="3"/>
  <c r="A106" i="3" s="1"/>
  <c r="B107" i="3"/>
  <c r="A107" i="3" s="1"/>
  <c r="B108" i="3"/>
  <c r="A108" i="3" s="1"/>
  <c r="B109" i="3"/>
  <c r="A109" i="3" s="1"/>
  <c r="B110" i="3"/>
  <c r="A110" i="3" s="1"/>
  <c r="B111" i="3"/>
  <c r="A111" i="3" s="1"/>
  <c r="B112" i="3"/>
  <c r="A112" i="3" s="1"/>
  <c r="B113" i="3"/>
  <c r="A113" i="3" s="1"/>
  <c r="B114" i="3"/>
  <c r="A114" i="3" s="1"/>
  <c r="B115" i="3"/>
  <c r="A115" i="3" s="1"/>
  <c r="B116" i="3"/>
  <c r="A116" i="3" s="1"/>
  <c r="B117" i="3"/>
  <c r="A117" i="3" s="1"/>
  <c r="B118" i="3"/>
  <c r="A118" i="3" s="1"/>
  <c r="B119" i="3"/>
  <c r="A119" i="3" s="1"/>
  <c r="B120" i="3"/>
  <c r="A120" i="3" s="1"/>
  <c r="B121" i="3"/>
  <c r="A121" i="3" s="1"/>
  <c r="B122" i="3"/>
  <c r="A122" i="3" s="1"/>
  <c r="B123" i="3"/>
  <c r="A123" i="3" s="1"/>
  <c r="B124" i="3"/>
  <c r="A124" i="3" s="1"/>
  <c r="B125" i="3"/>
  <c r="A125" i="3" s="1"/>
  <c r="B126" i="3"/>
  <c r="A126" i="3" s="1"/>
  <c r="B127" i="3"/>
  <c r="A127" i="3" s="1"/>
  <c r="B128" i="3"/>
  <c r="A128" i="3" s="1"/>
  <c r="B129" i="3"/>
  <c r="A129" i="3" s="1"/>
  <c r="B130" i="3"/>
  <c r="A130" i="3" s="1"/>
  <c r="B131" i="3"/>
  <c r="A131" i="3" s="1"/>
  <c r="B132" i="3"/>
  <c r="A132" i="3" s="1"/>
  <c r="B133" i="3"/>
  <c r="A133" i="3" s="1"/>
  <c r="B134" i="3"/>
  <c r="A134" i="3" s="1"/>
  <c r="B135" i="3"/>
  <c r="A135" i="3" s="1"/>
  <c r="B136" i="3"/>
  <c r="A136" i="3" s="1"/>
  <c r="B137" i="3"/>
  <c r="A137" i="3" s="1"/>
  <c r="B138" i="3"/>
  <c r="A138" i="3" s="1"/>
  <c r="B139" i="3"/>
  <c r="A139" i="3" s="1"/>
  <c r="B140" i="3"/>
  <c r="A140" i="3" s="1"/>
  <c r="B141" i="3"/>
  <c r="A141" i="3" s="1"/>
  <c r="B142" i="3"/>
  <c r="A142" i="3" s="1"/>
  <c r="B143" i="3"/>
  <c r="A143" i="3" s="1"/>
  <c r="B144" i="3"/>
  <c r="A144" i="3" s="1"/>
  <c r="B145" i="3"/>
  <c r="A145" i="3" s="1"/>
  <c r="B146" i="3"/>
  <c r="A146" i="3" s="1"/>
  <c r="B147" i="3"/>
  <c r="A147" i="3" s="1"/>
  <c r="B148" i="3"/>
  <c r="A148" i="3" s="1"/>
  <c r="B149" i="3"/>
  <c r="A149" i="3" s="1"/>
  <c r="B150" i="3"/>
  <c r="A150" i="3" s="1"/>
  <c r="B151" i="3"/>
  <c r="A151" i="3" s="1"/>
  <c r="B152" i="3"/>
  <c r="A152" i="3" s="1"/>
  <c r="B153" i="3"/>
  <c r="A153" i="3" s="1"/>
  <c r="B154" i="3"/>
  <c r="A154" i="3" s="1"/>
  <c r="B155" i="3"/>
  <c r="A155" i="3" s="1"/>
  <c r="B156" i="3"/>
  <c r="A156" i="3" s="1"/>
  <c r="B157" i="3"/>
  <c r="A157" i="3" s="1"/>
  <c r="B158" i="3"/>
  <c r="A158" i="3" s="1"/>
  <c r="B159" i="3"/>
  <c r="A159" i="3" s="1"/>
  <c r="B160" i="3"/>
  <c r="A160" i="3" s="1"/>
  <c r="B161" i="3"/>
  <c r="A161" i="3" s="1"/>
  <c r="B162" i="3"/>
  <c r="A162" i="3" s="1"/>
  <c r="B163" i="3"/>
  <c r="A163" i="3" s="1"/>
  <c r="B164" i="3"/>
  <c r="A164" i="3" s="1"/>
  <c r="B165" i="3"/>
  <c r="A165" i="3" s="1"/>
  <c r="B166" i="3"/>
  <c r="A166" i="3" s="1"/>
  <c r="B167" i="3"/>
  <c r="A167" i="3" s="1"/>
  <c r="B168" i="3"/>
  <c r="A168" i="3" s="1"/>
  <c r="B169" i="3"/>
  <c r="A169" i="3" s="1"/>
  <c r="B170" i="3"/>
  <c r="A170" i="3" s="1"/>
  <c r="B171" i="3"/>
  <c r="A171" i="3" s="1"/>
  <c r="B172" i="3"/>
  <c r="A172" i="3" s="1"/>
  <c r="B173" i="3"/>
  <c r="A173" i="3" s="1"/>
  <c r="B174" i="3"/>
  <c r="A174" i="3" s="1"/>
  <c r="B175" i="3"/>
  <c r="A175" i="3" s="1"/>
  <c r="B176" i="3"/>
  <c r="A176" i="3" s="1"/>
  <c r="B177" i="3"/>
  <c r="A177" i="3" s="1"/>
  <c r="B178" i="3"/>
  <c r="A178" i="3" s="1"/>
  <c r="B179" i="3"/>
  <c r="A179" i="3" s="1"/>
  <c r="B180" i="3"/>
  <c r="A180" i="3" s="1"/>
  <c r="B181" i="3"/>
  <c r="A181" i="3" s="1"/>
  <c r="B182" i="3"/>
  <c r="A182" i="3" s="1"/>
  <c r="B183" i="3"/>
  <c r="A183" i="3" s="1"/>
  <c r="B184" i="3"/>
  <c r="A184" i="3" s="1"/>
  <c r="B185" i="3"/>
  <c r="A185" i="3" s="1"/>
  <c r="B186" i="3"/>
  <c r="A186" i="3" s="1"/>
  <c r="B187" i="3"/>
  <c r="A187" i="3" s="1"/>
  <c r="B188" i="3"/>
  <c r="A188" i="3" s="1"/>
  <c r="B189" i="3"/>
  <c r="A189" i="3" s="1"/>
  <c r="B190" i="3"/>
  <c r="A190" i="3" s="1"/>
  <c r="B191" i="3"/>
  <c r="A191" i="3" s="1"/>
  <c r="B192" i="3"/>
  <c r="A192" i="3" s="1"/>
  <c r="B193" i="3"/>
  <c r="A193" i="3" s="1"/>
  <c r="B194" i="3"/>
  <c r="A194" i="3" s="1"/>
  <c r="B195" i="3"/>
  <c r="A195" i="3" s="1"/>
  <c r="B196" i="3"/>
  <c r="A196" i="3" s="1"/>
  <c r="B197" i="3"/>
  <c r="A197" i="3" s="1"/>
  <c r="B198" i="3"/>
  <c r="A198" i="3" s="1"/>
  <c r="B199" i="3"/>
  <c r="A199" i="3" s="1"/>
  <c r="B200" i="3"/>
  <c r="A200" i="3" s="1"/>
  <c r="B201" i="3"/>
  <c r="A201" i="3" s="1"/>
  <c r="B202" i="3"/>
  <c r="A202" i="3" s="1"/>
  <c r="B203" i="3"/>
  <c r="A203" i="3" s="1"/>
  <c r="B204" i="3"/>
  <c r="A204" i="3" s="1"/>
  <c r="B205" i="3"/>
  <c r="A205" i="3" s="1"/>
  <c r="B206" i="3"/>
  <c r="A206" i="3" s="1"/>
  <c r="B207" i="3"/>
  <c r="A207" i="3" s="1"/>
  <c r="B208" i="3"/>
  <c r="A208" i="3" s="1"/>
  <c r="B209" i="3"/>
  <c r="A209" i="3" s="1"/>
  <c r="B210" i="3"/>
  <c r="A210" i="3" s="1"/>
  <c r="B211" i="3"/>
  <c r="A211" i="3" s="1"/>
  <c r="B212" i="3"/>
  <c r="A212" i="3" s="1"/>
  <c r="B213" i="3"/>
  <c r="A213" i="3" s="1"/>
  <c r="B214" i="3"/>
  <c r="A214" i="3" s="1"/>
  <c r="B215" i="3"/>
  <c r="A215" i="3" s="1"/>
  <c r="B216" i="3"/>
  <c r="A216" i="3" s="1"/>
  <c r="B217" i="3"/>
  <c r="A217" i="3" s="1"/>
  <c r="B218" i="3"/>
  <c r="A218" i="3" s="1"/>
  <c r="B219" i="3"/>
  <c r="A219" i="3" s="1"/>
  <c r="B220" i="3"/>
  <c r="A220" i="3" s="1"/>
  <c r="B221" i="3"/>
  <c r="A221" i="3" s="1"/>
  <c r="B222" i="3"/>
  <c r="A222" i="3" s="1"/>
  <c r="B223" i="3"/>
  <c r="A223" i="3" s="1"/>
  <c r="B224" i="3"/>
  <c r="A224" i="3" s="1"/>
  <c r="B225" i="3"/>
  <c r="A225" i="3" s="1"/>
  <c r="B226" i="3"/>
  <c r="A226" i="3" s="1"/>
  <c r="B227" i="3"/>
  <c r="A227" i="3" s="1"/>
  <c r="B228" i="3"/>
  <c r="A228" i="3" s="1"/>
  <c r="B229" i="3"/>
  <c r="A229" i="3" s="1"/>
  <c r="B230" i="3"/>
  <c r="A230" i="3" s="1"/>
  <c r="B231" i="3"/>
  <c r="A231" i="3" s="1"/>
  <c r="B232" i="3"/>
  <c r="A232" i="3" s="1"/>
  <c r="B233" i="3"/>
  <c r="A233" i="3" s="1"/>
  <c r="B234" i="3"/>
  <c r="A234" i="3" s="1"/>
  <c r="B235" i="3"/>
  <c r="A235" i="3" s="1"/>
  <c r="B236" i="3"/>
  <c r="A236" i="3" s="1"/>
  <c r="B237" i="3"/>
  <c r="A237" i="3" s="1"/>
  <c r="B238" i="3"/>
  <c r="A238" i="3" s="1"/>
  <c r="B239" i="3"/>
  <c r="A239" i="3" s="1"/>
  <c r="B240" i="3"/>
  <c r="A240" i="3" s="1"/>
  <c r="B241" i="3"/>
  <c r="A241" i="3" s="1"/>
  <c r="B242" i="3"/>
  <c r="A242" i="3" s="1"/>
  <c r="B243" i="3"/>
  <c r="A243" i="3" s="1"/>
  <c r="B244" i="3"/>
  <c r="A244" i="3" s="1"/>
  <c r="B245" i="3"/>
  <c r="A245" i="3" s="1"/>
  <c r="B246" i="3"/>
  <c r="A246" i="3" s="1"/>
  <c r="B247" i="3"/>
  <c r="A247" i="3" s="1"/>
  <c r="B248" i="3"/>
  <c r="A248" i="3" s="1"/>
  <c r="B249" i="3"/>
  <c r="A249" i="3" s="1"/>
  <c r="B250" i="3"/>
  <c r="A250" i="3" s="1"/>
  <c r="B251" i="3"/>
  <c r="A251" i="3" s="1"/>
  <c r="B252" i="3"/>
  <c r="A252" i="3" s="1"/>
  <c r="B253" i="3"/>
  <c r="A253" i="3" s="1"/>
  <c r="B254" i="3"/>
  <c r="A254" i="3" s="1"/>
  <c r="B255" i="3"/>
  <c r="A255" i="3" s="1"/>
  <c r="B256" i="3"/>
  <c r="A256" i="3" s="1"/>
  <c r="B257" i="3"/>
  <c r="A257" i="3" s="1"/>
  <c r="B258" i="3"/>
  <c r="A258" i="3" s="1"/>
  <c r="B259" i="3"/>
  <c r="A259" i="3" s="1"/>
  <c r="B260" i="3"/>
  <c r="A260" i="3" s="1"/>
  <c r="B261" i="3"/>
  <c r="A261" i="3" s="1"/>
  <c r="B262" i="3"/>
  <c r="A262" i="3" s="1"/>
  <c r="B263" i="3"/>
  <c r="A263" i="3" s="1"/>
  <c r="B264" i="3"/>
  <c r="A264" i="3" s="1"/>
  <c r="B265" i="3"/>
  <c r="A265" i="3" s="1"/>
  <c r="B266" i="3"/>
  <c r="A266" i="3" s="1"/>
  <c r="B267" i="3"/>
  <c r="A267" i="3" s="1"/>
  <c r="B268" i="3"/>
  <c r="A268" i="3" s="1"/>
  <c r="B269" i="3"/>
  <c r="A269" i="3" s="1"/>
  <c r="B270" i="3"/>
  <c r="A270" i="3" s="1"/>
  <c r="B271" i="3"/>
  <c r="A271" i="3" s="1"/>
  <c r="B272" i="3"/>
  <c r="A272" i="3" s="1"/>
  <c r="B273" i="3"/>
  <c r="A273" i="3" s="1"/>
  <c r="B274" i="3"/>
  <c r="A274" i="3" s="1"/>
  <c r="B275" i="3"/>
  <c r="A275" i="3" s="1"/>
  <c r="B276" i="3"/>
  <c r="A276" i="3" s="1"/>
  <c r="B277" i="3"/>
  <c r="A277" i="3" s="1"/>
  <c r="B278" i="3"/>
  <c r="A278" i="3" s="1"/>
  <c r="B279" i="3"/>
  <c r="A279" i="3" s="1"/>
  <c r="B280" i="3"/>
  <c r="A280" i="3" s="1"/>
  <c r="B281" i="3"/>
  <c r="A281" i="3" s="1"/>
  <c r="B282" i="3"/>
  <c r="A282" i="3" s="1"/>
  <c r="B283" i="3"/>
  <c r="A283" i="3" s="1"/>
  <c r="B284" i="3"/>
  <c r="A284" i="3" s="1"/>
  <c r="B285" i="3"/>
  <c r="A285" i="3" s="1"/>
  <c r="B286" i="3"/>
  <c r="A286" i="3" s="1"/>
  <c r="B287" i="3"/>
  <c r="A287" i="3" s="1"/>
  <c r="B288" i="3"/>
  <c r="A288" i="3" s="1"/>
  <c r="B289" i="3"/>
  <c r="A289" i="3" s="1"/>
  <c r="B290" i="3"/>
  <c r="A290" i="3" s="1"/>
  <c r="B291" i="3"/>
  <c r="A291" i="3" s="1"/>
  <c r="B292" i="3"/>
  <c r="A292" i="3" s="1"/>
  <c r="B293" i="3"/>
  <c r="A293" i="3" s="1"/>
  <c r="B294" i="3"/>
  <c r="A294" i="3" s="1"/>
  <c r="B295" i="3"/>
  <c r="A295" i="3" s="1"/>
  <c r="B296" i="3"/>
  <c r="A296" i="3" s="1"/>
  <c r="B297" i="3"/>
  <c r="A297" i="3" s="1"/>
  <c r="B298" i="3"/>
  <c r="A298" i="3" s="1"/>
  <c r="B299" i="3"/>
  <c r="A299" i="3" s="1"/>
  <c r="B300" i="3"/>
  <c r="A300" i="3" s="1"/>
  <c r="B301" i="3"/>
  <c r="A301" i="3" s="1"/>
  <c r="B302" i="3"/>
  <c r="A302" i="3" s="1"/>
  <c r="B303" i="3"/>
  <c r="A303" i="3" s="1"/>
  <c r="B304" i="3"/>
  <c r="A304" i="3" s="1"/>
  <c r="B305" i="3"/>
  <c r="A305" i="3" s="1"/>
  <c r="B306" i="3"/>
  <c r="A306" i="3" s="1"/>
  <c r="B307" i="3"/>
  <c r="A307" i="3" s="1"/>
  <c r="B308" i="3"/>
  <c r="A308" i="3" s="1"/>
  <c r="B309" i="3"/>
  <c r="A309" i="3" s="1"/>
  <c r="B310" i="3"/>
  <c r="A310" i="3" s="1"/>
  <c r="B311" i="3"/>
  <c r="A311" i="3" s="1"/>
  <c r="B312" i="3"/>
  <c r="A312" i="3" s="1"/>
  <c r="B313" i="3"/>
  <c r="A313" i="3" s="1"/>
  <c r="B314" i="3"/>
  <c r="A314" i="3" s="1"/>
  <c r="B315" i="3"/>
  <c r="A315" i="3" s="1"/>
  <c r="B316" i="3"/>
  <c r="A316" i="3" s="1"/>
  <c r="B317" i="3"/>
  <c r="A317" i="3" s="1"/>
  <c r="B318" i="3"/>
  <c r="A318" i="3" s="1"/>
  <c r="B319" i="3"/>
  <c r="A319" i="3" s="1"/>
  <c r="B320" i="3"/>
  <c r="A320" i="3" s="1"/>
  <c r="B321" i="3"/>
  <c r="A321" i="3" s="1"/>
  <c r="B322" i="3"/>
  <c r="A322" i="3" s="1"/>
  <c r="B323" i="3"/>
  <c r="A323" i="3" s="1"/>
  <c r="B324" i="3"/>
  <c r="A324" i="3" s="1"/>
  <c r="B325" i="3"/>
  <c r="A325" i="3" s="1"/>
  <c r="B326" i="3"/>
  <c r="A326" i="3" s="1"/>
  <c r="B327" i="3"/>
  <c r="A327" i="3" s="1"/>
  <c r="B328" i="3"/>
  <c r="A328" i="3" s="1"/>
  <c r="B329" i="3"/>
  <c r="A329" i="3" s="1"/>
  <c r="B330" i="3"/>
  <c r="A330" i="3" s="1"/>
  <c r="B331" i="3"/>
  <c r="A331" i="3" s="1"/>
  <c r="B332" i="3"/>
  <c r="A332" i="3" s="1"/>
  <c r="B333" i="3"/>
  <c r="A333" i="3" s="1"/>
  <c r="B334" i="3"/>
  <c r="A334" i="3" s="1"/>
  <c r="B335" i="3"/>
  <c r="A335" i="3" s="1"/>
  <c r="B336" i="3"/>
  <c r="A336" i="3" s="1"/>
  <c r="B337" i="3"/>
  <c r="A337" i="3" s="1"/>
  <c r="B338" i="3"/>
  <c r="A338" i="3" s="1"/>
  <c r="B339" i="3"/>
  <c r="A339" i="3" s="1"/>
  <c r="B340" i="3"/>
  <c r="A340" i="3" s="1"/>
  <c r="B341" i="3"/>
  <c r="A341" i="3" s="1"/>
  <c r="B342" i="3"/>
  <c r="A342" i="3" s="1"/>
  <c r="B343" i="3"/>
  <c r="A343" i="3" s="1"/>
  <c r="B344" i="3"/>
  <c r="A344" i="3" s="1"/>
  <c r="B345" i="3"/>
  <c r="A345" i="3" s="1"/>
  <c r="B346" i="3"/>
  <c r="A346" i="3" s="1"/>
  <c r="B347" i="3"/>
  <c r="A347" i="3" s="1"/>
  <c r="B348" i="3"/>
  <c r="A348" i="3" s="1"/>
  <c r="B349" i="3"/>
  <c r="A349" i="3" s="1"/>
  <c r="B350" i="3"/>
  <c r="A350" i="3" s="1"/>
  <c r="B351" i="3"/>
  <c r="A351" i="3" s="1"/>
  <c r="B352" i="3"/>
  <c r="A352" i="3" s="1"/>
  <c r="B353" i="3"/>
  <c r="A353" i="3" s="1"/>
  <c r="B354" i="3"/>
  <c r="A354" i="3" s="1"/>
  <c r="B355" i="3"/>
  <c r="A355" i="3" s="1"/>
  <c r="B356" i="3"/>
  <c r="A356" i="3" s="1"/>
  <c r="B357" i="3"/>
  <c r="A357" i="3" s="1"/>
  <c r="B358" i="3"/>
  <c r="A358" i="3" s="1"/>
  <c r="B359" i="3"/>
  <c r="A359" i="3" s="1"/>
  <c r="B360" i="3"/>
  <c r="A360" i="3" s="1"/>
  <c r="B361" i="3"/>
  <c r="A361" i="3" s="1"/>
  <c r="B362" i="3"/>
  <c r="A362" i="3" s="1"/>
  <c r="B363" i="3"/>
  <c r="A363" i="3" s="1"/>
  <c r="B364" i="3"/>
  <c r="A364" i="3" s="1"/>
  <c r="B365" i="3"/>
  <c r="A365" i="3" s="1"/>
  <c r="B366" i="3"/>
  <c r="A366" i="3" s="1"/>
  <c r="B367" i="3"/>
  <c r="A367" i="3" s="1"/>
  <c r="B368" i="3"/>
  <c r="A368" i="3" s="1"/>
  <c r="B369" i="3"/>
  <c r="A369" i="3" s="1"/>
  <c r="B370" i="3"/>
  <c r="A370" i="3" s="1"/>
  <c r="B371" i="3"/>
  <c r="A371" i="3" s="1"/>
  <c r="B372" i="3"/>
  <c r="A372" i="3" s="1"/>
  <c r="B373" i="3"/>
  <c r="A373" i="3" s="1"/>
  <c r="B374" i="3"/>
  <c r="A374" i="3" s="1"/>
  <c r="B375" i="3"/>
  <c r="A375" i="3" s="1"/>
  <c r="B376" i="3"/>
  <c r="A376" i="3" s="1"/>
  <c r="B377" i="3"/>
  <c r="A377" i="3" s="1"/>
  <c r="B378" i="3"/>
  <c r="A378" i="3" s="1"/>
  <c r="B379" i="3"/>
  <c r="A379" i="3" s="1"/>
  <c r="B380" i="3"/>
  <c r="A380" i="3" s="1"/>
  <c r="B381" i="3"/>
  <c r="A381" i="3" s="1"/>
  <c r="B382" i="3"/>
  <c r="A382" i="3" s="1"/>
  <c r="B383" i="3"/>
  <c r="A383" i="3" s="1"/>
  <c r="B384" i="3"/>
  <c r="A384" i="3" s="1"/>
  <c r="B385" i="3"/>
  <c r="A385" i="3" s="1"/>
  <c r="B386" i="3"/>
  <c r="A386" i="3" s="1"/>
  <c r="B387" i="3"/>
  <c r="A387" i="3" s="1"/>
  <c r="B388" i="3"/>
  <c r="A388" i="3" s="1"/>
  <c r="B389" i="3"/>
  <c r="A389" i="3" s="1"/>
  <c r="B390" i="3"/>
  <c r="A390" i="3" s="1"/>
  <c r="B391" i="3"/>
  <c r="A391" i="3" s="1"/>
  <c r="B392" i="3"/>
  <c r="A392" i="3" s="1"/>
  <c r="B393" i="3"/>
  <c r="A393" i="3" s="1"/>
  <c r="B394" i="3"/>
  <c r="A394" i="3" s="1"/>
  <c r="B395" i="3"/>
  <c r="A395" i="3" s="1"/>
  <c r="B396" i="3"/>
  <c r="A396" i="3" s="1"/>
  <c r="B397" i="3"/>
  <c r="A397" i="3" s="1"/>
  <c r="B398" i="3"/>
  <c r="A398" i="3" s="1"/>
  <c r="B399" i="3"/>
  <c r="A399" i="3" s="1"/>
  <c r="B400" i="3"/>
  <c r="A400" i="3" s="1"/>
  <c r="B401" i="3"/>
  <c r="A401" i="3" s="1"/>
  <c r="B402" i="3"/>
  <c r="A402" i="3" s="1"/>
  <c r="B403" i="3"/>
  <c r="A403" i="3" s="1"/>
  <c r="B404" i="3"/>
  <c r="A404" i="3" s="1"/>
  <c r="B405" i="3"/>
  <c r="A405" i="3" s="1"/>
  <c r="B406" i="3"/>
  <c r="A406" i="3" s="1"/>
  <c r="B407" i="3"/>
  <c r="A407" i="3" s="1"/>
  <c r="B408" i="3"/>
  <c r="A408" i="3" s="1"/>
  <c r="B409" i="3"/>
  <c r="A409" i="3" s="1"/>
  <c r="B410" i="3"/>
  <c r="A410" i="3" s="1"/>
  <c r="B411" i="3"/>
  <c r="A411" i="3" s="1"/>
  <c r="B412" i="3"/>
  <c r="A412" i="3" s="1"/>
  <c r="B413" i="3"/>
  <c r="A413" i="3" s="1"/>
  <c r="B414" i="3"/>
  <c r="A414" i="3" s="1"/>
  <c r="B415" i="3"/>
  <c r="A415" i="3" s="1"/>
  <c r="B416" i="3"/>
  <c r="A416" i="3" s="1"/>
  <c r="B417" i="3"/>
  <c r="A417" i="3" s="1"/>
  <c r="B418" i="3"/>
  <c r="A418" i="3" s="1"/>
  <c r="B419" i="3"/>
  <c r="A419" i="3" s="1"/>
  <c r="B420" i="3"/>
  <c r="A420" i="3" s="1"/>
  <c r="B421" i="3"/>
  <c r="A421" i="3" s="1"/>
  <c r="B422" i="3"/>
  <c r="A422" i="3" s="1"/>
  <c r="B423" i="3"/>
  <c r="A423" i="3" s="1"/>
  <c r="B424" i="3"/>
  <c r="A424" i="3" s="1"/>
  <c r="B425" i="3"/>
  <c r="A425" i="3" s="1"/>
  <c r="B426" i="3"/>
  <c r="A426" i="3" s="1"/>
  <c r="B427" i="3"/>
  <c r="A427" i="3" s="1"/>
  <c r="B428" i="3"/>
  <c r="A428" i="3" s="1"/>
  <c r="B429" i="3"/>
  <c r="A429" i="3" s="1"/>
  <c r="B430" i="3"/>
  <c r="A430" i="3" s="1"/>
  <c r="B431" i="3"/>
  <c r="A431" i="3" s="1"/>
  <c r="B432" i="3"/>
  <c r="A432" i="3" s="1"/>
  <c r="B433" i="3"/>
  <c r="A433" i="3" s="1"/>
  <c r="B434" i="3"/>
  <c r="A434" i="3" s="1"/>
  <c r="B435" i="3"/>
  <c r="A435" i="3" s="1"/>
  <c r="B436" i="3"/>
  <c r="A436" i="3" s="1"/>
  <c r="B437" i="3"/>
  <c r="A437" i="3" s="1"/>
  <c r="B438" i="3"/>
  <c r="A438" i="3" s="1"/>
  <c r="B439" i="3"/>
  <c r="A439" i="3" s="1"/>
  <c r="B440" i="3"/>
  <c r="A440" i="3" s="1"/>
  <c r="B441" i="3"/>
  <c r="A441" i="3" s="1"/>
  <c r="B442" i="3"/>
  <c r="A442" i="3" s="1"/>
  <c r="B443" i="3"/>
  <c r="A443" i="3" s="1"/>
  <c r="B444" i="3"/>
  <c r="A444" i="3" s="1"/>
  <c r="B445" i="3"/>
  <c r="A445" i="3" s="1"/>
  <c r="B446" i="3"/>
  <c r="A446" i="3" s="1"/>
  <c r="B447" i="3"/>
  <c r="A447" i="3" s="1"/>
  <c r="B448" i="3"/>
  <c r="A448" i="3" s="1"/>
  <c r="B449" i="3"/>
  <c r="A449" i="3" s="1"/>
  <c r="B450" i="3"/>
  <c r="A450" i="3" s="1"/>
  <c r="B451" i="3"/>
  <c r="A451" i="3" s="1"/>
  <c r="B452" i="3"/>
  <c r="A452" i="3" s="1"/>
  <c r="B453" i="3"/>
  <c r="A453" i="3" s="1"/>
  <c r="B454" i="3"/>
  <c r="A454" i="3" s="1"/>
  <c r="B455" i="3"/>
  <c r="A455" i="3" s="1"/>
  <c r="B456" i="3"/>
  <c r="A456" i="3" s="1"/>
  <c r="B457" i="3"/>
  <c r="A457" i="3" s="1"/>
  <c r="B458" i="3"/>
  <c r="A458" i="3" s="1"/>
  <c r="B459" i="3"/>
  <c r="A459" i="3" s="1"/>
  <c r="B460" i="3"/>
  <c r="A460" i="3" s="1"/>
  <c r="B461" i="3"/>
  <c r="A461" i="3" s="1"/>
  <c r="B462" i="3"/>
  <c r="A462" i="3" s="1"/>
  <c r="B463" i="3"/>
  <c r="A463" i="3" s="1"/>
  <c r="B464" i="3"/>
  <c r="A464" i="3" s="1"/>
  <c r="B465" i="3"/>
  <c r="A465" i="3" s="1"/>
  <c r="B466" i="3"/>
  <c r="A466" i="3" s="1"/>
  <c r="B467" i="3"/>
  <c r="A467" i="3" s="1"/>
  <c r="B468" i="3"/>
  <c r="A468" i="3" s="1"/>
  <c r="B469" i="3"/>
  <c r="A469" i="3" s="1"/>
  <c r="B470" i="3"/>
  <c r="A470" i="3" s="1"/>
  <c r="B471" i="3"/>
  <c r="A471" i="3" s="1"/>
  <c r="B472" i="3"/>
  <c r="A472" i="3" s="1"/>
  <c r="B473" i="3"/>
  <c r="A473" i="3" s="1"/>
  <c r="B474" i="3"/>
  <c r="A474" i="3" s="1"/>
  <c r="B475" i="3"/>
  <c r="A475" i="3" s="1"/>
  <c r="B476" i="3"/>
  <c r="A476" i="3" s="1"/>
  <c r="B477" i="3"/>
  <c r="A477" i="3" s="1"/>
  <c r="B478" i="3"/>
  <c r="A478" i="3" s="1"/>
  <c r="B479" i="3"/>
  <c r="A479" i="3" s="1"/>
  <c r="B480" i="3"/>
  <c r="A480" i="3" s="1"/>
  <c r="B481" i="3"/>
  <c r="A481" i="3" s="1"/>
  <c r="B482" i="3"/>
  <c r="A482" i="3" s="1"/>
  <c r="B483" i="3"/>
  <c r="A483" i="3" s="1"/>
  <c r="B484" i="3"/>
  <c r="A484" i="3" s="1"/>
  <c r="B485" i="3"/>
  <c r="A485" i="3" s="1"/>
  <c r="B486" i="3"/>
  <c r="A486" i="3" s="1"/>
  <c r="B487" i="3"/>
  <c r="A487" i="3" s="1"/>
  <c r="B488" i="3"/>
  <c r="A488" i="3" s="1"/>
  <c r="B489" i="3"/>
  <c r="A489" i="3" s="1"/>
  <c r="B490" i="3"/>
  <c r="A490" i="3" s="1"/>
  <c r="B491" i="3"/>
  <c r="A491" i="3" s="1"/>
  <c r="B492" i="3"/>
  <c r="A492" i="3" s="1"/>
  <c r="B493" i="3"/>
  <c r="A493" i="3" s="1"/>
  <c r="B494" i="3"/>
  <c r="A494" i="3" s="1"/>
  <c r="B495" i="3"/>
  <c r="A495" i="3" s="1"/>
  <c r="B496" i="3"/>
  <c r="A496" i="3" s="1"/>
  <c r="B497" i="3"/>
  <c r="A497" i="3" s="1"/>
  <c r="B498" i="3"/>
  <c r="A498" i="3" s="1"/>
  <c r="B499" i="3"/>
  <c r="A499" i="3" s="1"/>
  <c r="B500" i="3"/>
  <c r="A500" i="3" s="1"/>
  <c r="B501" i="3"/>
  <c r="A501" i="3" s="1"/>
  <c r="B502" i="3"/>
  <c r="A502" i="3" s="1"/>
  <c r="B503" i="3"/>
  <c r="A503" i="3" s="1"/>
  <c r="B504" i="3"/>
  <c r="A504" i="3" s="1"/>
  <c r="B505" i="3"/>
  <c r="A505" i="3" s="1"/>
  <c r="B506" i="3"/>
  <c r="A506" i="3" s="1"/>
  <c r="B507" i="3"/>
  <c r="A507" i="3" s="1"/>
  <c r="B508" i="3"/>
  <c r="A508" i="3" s="1"/>
  <c r="B509" i="3"/>
  <c r="A509" i="3" s="1"/>
  <c r="B510" i="3"/>
  <c r="A510" i="3" s="1"/>
  <c r="B511" i="3"/>
  <c r="A511" i="3" s="1"/>
  <c r="B512" i="3"/>
  <c r="A512" i="3" s="1"/>
  <c r="B513" i="3"/>
  <c r="A513" i="3" s="1"/>
  <c r="B514" i="3"/>
  <c r="A514" i="3" s="1"/>
  <c r="B515" i="3"/>
  <c r="A515" i="3" s="1"/>
  <c r="B516" i="3"/>
  <c r="A516" i="3" s="1"/>
  <c r="B517" i="3"/>
  <c r="A517" i="3" s="1"/>
  <c r="B518" i="3"/>
  <c r="A518" i="3" s="1"/>
  <c r="B519" i="3"/>
  <c r="A519" i="3" s="1"/>
  <c r="B520" i="3"/>
  <c r="A520" i="3" s="1"/>
  <c r="B521" i="3"/>
  <c r="A521" i="3" s="1"/>
  <c r="B522" i="3"/>
  <c r="A522" i="3" s="1"/>
  <c r="B523" i="3"/>
  <c r="A523" i="3" s="1"/>
  <c r="B524" i="3"/>
  <c r="A524" i="3" s="1"/>
  <c r="B525" i="3"/>
  <c r="A525" i="3" s="1"/>
  <c r="B526" i="3"/>
  <c r="A526" i="3" s="1"/>
  <c r="B527" i="3"/>
  <c r="A527" i="3" s="1"/>
  <c r="B528" i="3"/>
  <c r="A528" i="3" s="1"/>
  <c r="B529" i="3"/>
  <c r="A529" i="3" s="1"/>
  <c r="B530" i="3"/>
  <c r="A530" i="3" s="1"/>
  <c r="B531" i="3"/>
  <c r="A531" i="3" s="1"/>
  <c r="B532" i="3"/>
  <c r="A532" i="3" s="1"/>
  <c r="B533" i="3"/>
  <c r="A533" i="3" s="1"/>
  <c r="B534" i="3"/>
  <c r="A534" i="3" s="1"/>
  <c r="B535" i="3"/>
  <c r="A535" i="3" s="1"/>
  <c r="B536" i="3"/>
  <c r="A536" i="3" s="1"/>
  <c r="B537" i="3"/>
  <c r="A537" i="3" s="1"/>
  <c r="B538" i="3"/>
  <c r="A538" i="3" s="1"/>
  <c r="B539" i="3"/>
  <c r="A539" i="3" s="1"/>
  <c r="B540" i="3"/>
  <c r="A540" i="3" s="1"/>
  <c r="B541" i="3"/>
  <c r="A541" i="3" s="1"/>
  <c r="B542" i="3"/>
  <c r="A542" i="3" s="1"/>
  <c r="B543" i="3"/>
  <c r="A543" i="3" s="1"/>
  <c r="B544" i="3"/>
  <c r="A544" i="3" s="1"/>
  <c r="B545" i="3"/>
  <c r="A545" i="3" s="1"/>
  <c r="B546" i="3"/>
  <c r="A546" i="3" s="1"/>
  <c r="B547" i="3"/>
  <c r="A547" i="3" s="1"/>
  <c r="B548" i="3"/>
  <c r="A548" i="3" s="1"/>
  <c r="B549" i="3"/>
  <c r="A549" i="3" s="1"/>
  <c r="B550" i="3"/>
  <c r="A550" i="3" s="1"/>
  <c r="B551" i="3"/>
  <c r="A551" i="3" s="1"/>
  <c r="B552" i="3"/>
  <c r="A552" i="3" s="1"/>
  <c r="B553" i="3"/>
  <c r="A553" i="3" s="1"/>
  <c r="B554" i="3"/>
  <c r="A554" i="3" s="1"/>
  <c r="B555" i="3"/>
  <c r="A555" i="3" s="1"/>
  <c r="B556" i="3"/>
  <c r="A556" i="3" s="1"/>
  <c r="B557" i="3"/>
  <c r="A557" i="3" s="1"/>
  <c r="B558" i="3"/>
  <c r="A558" i="3" s="1"/>
  <c r="B559" i="3"/>
  <c r="A559" i="3" s="1"/>
  <c r="B560" i="3"/>
  <c r="A560" i="3" s="1"/>
  <c r="B561" i="3"/>
  <c r="A561" i="3" s="1"/>
  <c r="B562" i="3"/>
  <c r="A562" i="3" s="1"/>
  <c r="B563" i="3"/>
  <c r="A563" i="3" s="1"/>
  <c r="B564" i="3"/>
  <c r="A564" i="3" s="1"/>
  <c r="B565" i="3"/>
  <c r="A565" i="3" s="1"/>
  <c r="B566" i="3"/>
  <c r="A566" i="3" s="1"/>
  <c r="B567" i="3"/>
  <c r="A567" i="3" s="1"/>
  <c r="B568" i="3"/>
  <c r="A568" i="3" s="1"/>
  <c r="B569" i="3"/>
  <c r="A569" i="3" s="1"/>
  <c r="B570" i="3"/>
  <c r="A570" i="3" s="1"/>
  <c r="B571" i="3"/>
  <c r="A571" i="3" s="1"/>
  <c r="B572" i="3"/>
  <c r="A572" i="3" s="1"/>
  <c r="B573" i="3"/>
  <c r="A573" i="3" s="1"/>
  <c r="B574" i="3"/>
  <c r="A574" i="3" s="1"/>
  <c r="B575" i="3"/>
  <c r="A575" i="3" s="1"/>
  <c r="B576" i="3"/>
  <c r="A576" i="3" s="1"/>
  <c r="B577" i="3"/>
  <c r="A577" i="3" s="1"/>
  <c r="B578" i="3"/>
  <c r="A578" i="3" s="1"/>
  <c r="B579" i="3"/>
  <c r="A579" i="3" s="1"/>
  <c r="B580" i="3"/>
  <c r="A580" i="3" s="1"/>
  <c r="B581" i="3"/>
  <c r="A581" i="3" s="1"/>
  <c r="B582" i="3"/>
  <c r="A582" i="3" s="1"/>
  <c r="B583" i="3"/>
  <c r="A583" i="3" s="1"/>
  <c r="B584" i="3"/>
  <c r="A584" i="3" s="1"/>
  <c r="B585" i="3"/>
  <c r="A585" i="3" s="1"/>
  <c r="B586" i="3"/>
  <c r="A586" i="3" s="1"/>
  <c r="B587" i="3"/>
  <c r="A587" i="3" s="1"/>
  <c r="B588" i="3"/>
  <c r="A588" i="3" s="1"/>
  <c r="B589" i="3"/>
  <c r="A589" i="3" s="1"/>
  <c r="B590" i="3"/>
  <c r="A590" i="3" s="1"/>
  <c r="B591" i="3"/>
  <c r="A591" i="3" s="1"/>
  <c r="B592" i="3"/>
  <c r="A592" i="3" s="1"/>
  <c r="B593" i="3"/>
  <c r="A593" i="3" s="1"/>
  <c r="B594" i="3"/>
  <c r="A594" i="3" s="1"/>
  <c r="B595" i="3"/>
  <c r="A595" i="3" s="1"/>
  <c r="B596" i="3"/>
  <c r="A596" i="3" s="1"/>
  <c r="B597" i="3"/>
  <c r="A597" i="3" s="1"/>
  <c r="B598" i="3"/>
  <c r="A598" i="3" s="1"/>
  <c r="B599" i="3"/>
  <c r="A599" i="3" s="1"/>
  <c r="B600" i="3"/>
  <c r="A600" i="3" s="1"/>
  <c r="B601" i="3"/>
  <c r="A601" i="3" s="1"/>
  <c r="B602" i="3"/>
  <c r="A602" i="3" s="1"/>
  <c r="B603" i="3"/>
  <c r="A603" i="3" s="1"/>
  <c r="B604" i="3"/>
  <c r="A604" i="3" s="1"/>
  <c r="B605" i="3"/>
  <c r="A605" i="3" s="1"/>
  <c r="B606" i="3"/>
  <c r="A606" i="3" s="1"/>
  <c r="B607" i="3"/>
  <c r="A607" i="3" s="1"/>
  <c r="B608" i="3"/>
  <c r="A608" i="3" s="1"/>
  <c r="B609" i="3"/>
  <c r="A609" i="3" s="1"/>
  <c r="B610" i="3"/>
  <c r="A610" i="3" s="1"/>
  <c r="B611" i="3"/>
  <c r="A611" i="3" s="1"/>
  <c r="B612" i="3"/>
  <c r="A612" i="3" s="1"/>
  <c r="B613" i="3"/>
  <c r="A613" i="3" s="1"/>
  <c r="B614" i="3"/>
  <c r="A614" i="3" s="1"/>
  <c r="B615" i="3"/>
  <c r="A615" i="3" s="1"/>
  <c r="B616" i="3"/>
  <c r="A616" i="3" s="1"/>
  <c r="B617" i="3"/>
  <c r="A617" i="3" s="1"/>
  <c r="B618" i="3"/>
  <c r="A618" i="3" s="1"/>
  <c r="B619" i="3"/>
  <c r="A619" i="3" s="1"/>
  <c r="B620" i="3"/>
  <c r="A620" i="3" s="1"/>
  <c r="B621" i="3"/>
  <c r="A621" i="3" s="1"/>
  <c r="B622" i="3"/>
  <c r="A622" i="3" s="1"/>
  <c r="B623" i="3"/>
  <c r="A623" i="3" s="1"/>
  <c r="B624" i="3"/>
  <c r="A624" i="3" s="1"/>
  <c r="B625" i="3"/>
  <c r="A625" i="3" s="1"/>
  <c r="B626" i="3"/>
  <c r="A626" i="3" s="1"/>
  <c r="B627" i="3"/>
  <c r="A627" i="3" s="1"/>
  <c r="B628" i="3"/>
  <c r="A628" i="3" s="1"/>
  <c r="B629" i="3"/>
  <c r="A629" i="3" s="1"/>
  <c r="B630" i="3"/>
  <c r="A630" i="3" s="1"/>
  <c r="B631" i="3"/>
  <c r="A631" i="3" s="1"/>
  <c r="B632" i="3"/>
  <c r="A632" i="3" s="1"/>
  <c r="B633" i="3"/>
  <c r="A633" i="3" s="1"/>
  <c r="B634" i="3"/>
  <c r="A634" i="3" s="1"/>
  <c r="B635" i="3"/>
  <c r="A635" i="3" s="1"/>
  <c r="B636" i="3"/>
  <c r="A636" i="3" s="1"/>
  <c r="B637" i="3"/>
  <c r="A637" i="3" s="1"/>
  <c r="B638" i="3"/>
  <c r="A638" i="3" s="1"/>
  <c r="B639" i="3"/>
  <c r="A639" i="3" s="1"/>
  <c r="B640" i="3"/>
  <c r="A640" i="3" s="1"/>
  <c r="B641" i="3"/>
  <c r="A641" i="3" s="1"/>
  <c r="B642" i="3"/>
  <c r="A642" i="3" s="1"/>
  <c r="B643" i="3"/>
  <c r="A643" i="3" s="1"/>
  <c r="B644" i="3"/>
  <c r="A644" i="3" s="1"/>
  <c r="B645" i="3"/>
  <c r="A645" i="3" s="1"/>
  <c r="B646" i="3"/>
  <c r="A646" i="3" s="1"/>
  <c r="B647" i="3"/>
  <c r="A647" i="3" s="1"/>
  <c r="B648" i="3"/>
  <c r="A648" i="3" s="1"/>
  <c r="B649" i="3"/>
  <c r="A649" i="3" s="1"/>
  <c r="B650" i="3"/>
  <c r="A650" i="3" s="1"/>
  <c r="B651" i="3"/>
  <c r="A651" i="3" s="1"/>
  <c r="B652" i="3"/>
  <c r="A652" i="3" s="1"/>
  <c r="B653" i="3"/>
  <c r="A653" i="3" s="1"/>
  <c r="B654" i="3"/>
  <c r="A654" i="3" s="1"/>
  <c r="B655" i="3"/>
  <c r="A655" i="3" s="1"/>
  <c r="B656" i="3"/>
  <c r="A656" i="3" s="1"/>
  <c r="B657" i="3"/>
  <c r="A657" i="3" s="1"/>
  <c r="B658" i="3"/>
  <c r="A658" i="3" s="1"/>
  <c r="B659" i="3"/>
  <c r="A659" i="3" s="1"/>
  <c r="B660" i="3"/>
  <c r="A660" i="3" s="1"/>
  <c r="B661" i="3"/>
  <c r="A661" i="3" s="1"/>
  <c r="B662" i="3"/>
  <c r="A662" i="3" s="1"/>
  <c r="B663" i="3"/>
  <c r="A663" i="3" s="1"/>
  <c r="B664" i="3"/>
  <c r="A664" i="3" s="1"/>
  <c r="B665" i="3"/>
  <c r="A665" i="3" s="1"/>
  <c r="B666" i="3"/>
  <c r="A666" i="3" s="1"/>
  <c r="B667" i="3"/>
  <c r="A667" i="3" s="1"/>
  <c r="B668" i="3"/>
  <c r="A668" i="3" s="1"/>
  <c r="B669" i="3"/>
  <c r="A669" i="3" s="1"/>
  <c r="B670" i="3"/>
  <c r="A670" i="3" s="1"/>
  <c r="B671" i="3"/>
  <c r="A671" i="3" s="1"/>
  <c r="B672" i="3"/>
  <c r="A672" i="3" s="1"/>
  <c r="B673" i="3"/>
  <c r="A673" i="3" s="1"/>
  <c r="B674" i="3"/>
  <c r="A674" i="3" s="1"/>
  <c r="B675" i="3"/>
  <c r="A675" i="3" s="1"/>
  <c r="B676" i="3"/>
  <c r="A676" i="3" s="1"/>
  <c r="B677" i="3"/>
  <c r="A677" i="3" s="1"/>
  <c r="B678" i="3"/>
  <c r="A678" i="3" s="1"/>
  <c r="B679" i="3"/>
  <c r="A679" i="3" s="1"/>
  <c r="B680" i="3"/>
  <c r="A680" i="3" s="1"/>
  <c r="B681" i="3"/>
  <c r="A681" i="3" s="1"/>
  <c r="B682" i="3"/>
  <c r="A682" i="3" s="1"/>
  <c r="B683" i="3"/>
  <c r="A683" i="3" s="1"/>
  <c r="B684" i="3"/>
  <c r="A684" i="3" s="1"/>
  <c r="B685" i="3"/>
  <c r="A685" i="3" s="1"/>
  <c r="B686" i="3"/>
  <c r="A686" i="3" s="1"/>
  <c r="B687" i="3"/>
  <c r="A687" i="3" s="1"/>
  <c r="B688" i="3"/>
  <c r="A688" i="3" s="1"/>
  <c r="B689" i="3"/>
  <c r="A689" i="3" s="1"/>
  <c r="B690" i="3"/>
  <c r="A690" i="3" s="1"/>
  <c r="B691" i="3"/>
  <c r="A691" i="3" s="1"/>
  <c r="B692" i="3"/>
  <c r="A692" i="3" s="1"/>
  <c r="B693" i="3"/>
  <c r="A693" i="3" s="1"/>
  <c r="B694" i="3"/>
  <c r="A694" i="3" s="1"/>
  <c r="B695" i="3"/>
  <c r="A695" i="3" s="1"/>
  <c r="B696" i="3"/>
  <c r="A696" i="3" s="1"/>
  <c r="B697" i="3"/>
  <c r="A697" i="3" s="1"/>
  <c r="B698" i="3"/>
  <c r="A698" i="3" s="1"/>
  <c r="B699" i="3"/>
  <c r="A699" i="3" s="1"/>
  <c r="B700" i="3"/>
  <c r="A700" i="3" s="1"/>
  <c r="B701" i="3"/>
  <c r="A701" i="3" s="1"/>
  <c r="B702" i="3"/>
  <c r="A702" i="3" s="1"/>
  <c r="B703" i="3"/>
  <c r="A703" i="3" s="1"/>
  <c r="B704" i="3"/>
  <c r="A704" i="3" s="1"/>
  <c r="B705" i="3"/>
  <c r="A705" i="3" s="1"/>
  <c r="B706" i="3"/>
  <c r="A706" i="3" s="1"/>
  <c r="B707" i="3"/>
  <c r="A707" i="3" s="1"/>
  <c r="B708" i="3"/>
  <c r="A708" i="3" s="1"/>
  <c r="B709" i="3"/>
  <c r="A709" i="3" s="1"/>
  <c r="B710" i="3"/>
  <c r="A710" i="3" s="1"/>
  <c r="B711" i="3"/>
  <c r="A711" i="3" s="1"/>
  <c r="B712" i="3"/>
  <c r="A712" i="3" s="1"/>
  <c r="B713" i="3"/>
  <c r="A713" i="3" s="1"/>
  <c r="B714" i="3"/>
  <c r="A714" i="3" s="1"/>
  <c r="B715" i="3"/>
  <c r="A715" i="3" s="1"/>
  <c r="B716" i="3"/>
  <c r="A716" i="3" s="1"/>
  <c r="B717" i="3"/>
  <c r="A717" i="3" s="1"/>
  <c r="B718" i="3"/>
  <c r="A718" i="3" s="1"/>
  <c r="B719" i="3"/>
  <c r="A719" i="3" s="1"/>
  <c r="B720" i="3"/>
  <c r="A720" i="3" s="1"/>
  <c r="B721" i="3"/>
  <c r="A721" i="3" s="1"/>
  <c r="B722" i="3"/>
  <c r="A722" i="3" s="1"/>
  <c r="B723" i="3"/>
  <c r="A723" i="3" s="1"/>
  <c r="B724" i="3"/>
  <c r="A724" i="3" s="1"/>
  <c r="B725" i="3"/>
  <c r="A725" i="3" s="1"/>
  <c r="B726" i="3"/>
  <c r="A726" i="3" s="1"/>
  <c r="B727" i="3"/>
  <c r="A727" i="3" s="1"/>
  <c r="B728" i="3"/>
  <c r="A728" i="3" s="1"/>
  <c r="B729" i="3"/>
  <c r="A729" i="3" s="1"/>
  <c r="B730" i="3"/>
  <c r="A730" i="3" s="1"/>
  <c r="B731" i="3"/>
  <c r="A731" i="3" s="1"/>
  <c r="B732" i="3"/>
  <c r="A732" i="3" s="1"/>
  <c r="B733" i="3"/>
  <c r="A733" i="3" s="1"/>
  <c r="B734" i="3"/>
  <c r="A734" i="3" s="1"/>
  <c r="B735" i="3"/>
  <c r="A735" i="3" s="1"/>
  <c r="B736" i="3"/>
  <c r="A736" i="3" s="1"/>
  <c r="B737" i="3"/>
  <c r="A737" i="3" s="1"/>
  <c r="B738" i="3"/>
  <c r="A738" i="3" s="1"/>
  <c r="B739" i="3"/>
  <c r="A739" i="3" s="1"/>
  <c r="B740" i="3"/>
  <c r="A740" i="3" s="1"/>
  <c r="B741" i="3"/>
  <c r="A741" i="3" s="1"/>
  <c r="B742" i="3"/>
  <c r="A742" i="3" s="1"/>
  <c r="B743" i="3"/>
  <c r="A743" i="3" s="1"/>
  <c r="B744" i="3"/>
  <c r="A744" i="3" s="1"/>
  <c r="B745" i="3"/>
  <c r="A745" i="3" s="1"/>
  <c r="B746" i="3"/>
  <c r="A746" i="3" s="1"/>
  <c r="B747" i="3"/>
  <c r="A747" i="3" s="1"/>
  <c r="B748" i="3"/>
  <c r="A748" i="3" s="1"/>
  <c r="B749" i="3"/>
  <c r="A749" i="3" s="1"/>
  <c r="B750" i="3"/>
  <c r="A750" i="3" s="1"/>
  <c r="B751" i="3"/>
  <c r="A751" i="3" s="1"/>
  <c r="B752" i="3"/>
  <c r="A752" i="3" s="1"/>
  <c r="B753" i="3"/>
  <c r="A753" i="3" s="1"/>
  <c r="B754" i="3"/>
  <c r="A754" i="3" s="1"/>
  <c r="B755" i="3"/>
  <c r="A755" i="3" s="1"/>
  <c r="B756" i="3"/>
  <c r="A756" i="3" s="1"/>
  <c r="B757" i="3"/>
  <c r="A757" i="3" s="1"/>
  <c r="B758" i="3"/>
  <c r="A758" i="3" s="1"/>
  <c r="B759" i="3"/>
  <c r="A759" i="3" s="1"/>
  <c r="B760" i="3"/>
  <c r="A760" i="3" s="1"/>
  <c r="B761" i="3"/>
  <c r="A761" i="3" s="1"/>
  <c r="B762" i="3"/>
  <c r="A762" i="3" s="1"/>
  <c r="B763" i="3"/>
  <c r="A763" i="3" s="1"/>
  <c r="B764" i="3"/>
  <c r="A764" i="3" s="1"/>
  <c r="B765" i="3"/>
  <c r="A765" i="3" s="1"/>
  <c r="B766" i="3"/>
  <c r="A766" i="3" s="1"/>
  <c r="B767" i="3"/>
  <c r="A767" i="3" s="1"/>
  <c r="B768" i="3"/>
  <c r="A768" i="3" s="1"/>
  <c r="B769" i="3"/>
  <c r="A769" i="3" s="1"/>
  <c r="B770" i="3"/>
  <c r="A770" i="3" s="1"/>
  <c r="B771" i="3"/>
  <c r="A771" i="3" s="1"/>
  <c r="B772" i="3"/>
  <c r="A772" i="3" s="1"/>
  <c r="B773" i="3"/>
  <c r="A773" i="3" s="1"/>
  <c r="B774" i="3"/>
  <c r="A774" i="3" s="1"/>
  <c r="B775" i="3"/>
  <c r="A775" i="3" s="1"/>
  <c r="B776" i="3"/>
  <c r="A776" i="3" s="1"/>
  <c r="B777" i="3"/>
  <c r="A777" i="3" s="1"/>
  <c r="B778" i="3"/>
  <c r="A778" i="3" s="1"/>
  <c r="B779" i="3"/>
  <c r="A779" i="3" s="1"/>
  <c r="B780" i="3"/>
  <c r="A780" i="3" s="1"/>
  <c r="B781" i="3"/>
  <c r="A781" i="3" s="1"/>
  <c r="B782" i="3"/>
  <c r="A782" i="3" s="1"/>
  <c r="B783" i="3"/>
  <c r="A783" i="3" s="1"/>
  <c r="B784" i="3"/>
  <c r="A784" i="3" s="1"/>
  <c r="B785" i="3"/>
  <c r="A785" i="3" s="1"/>
  <c r="B786" i="3"/>
  <c r="A786" i="3" s="1"/>
  <c r="B787" i="3"/>
  <c r="A787" i="3" s="1"/>
  <c r="B788" i="3"/>
  <c r="A788" i="3" s="1"/>
  <c r="B789" i="3"/>
  <c r="A789" i="3" s="1"/>
  <c r="B790" i="3"/>
  <c r="A790" i="3" s="1"/>
  <c r="B791" i="3"/>
  <c r="A791" i="3" s="1"/>
  <c r="B792" i="3"/>
  <c r="A792" i="3" s="1"/>
  <c r="B793" i="3"/>
  <c r="A793" i="3" s="1"/>
  <c r="B794" i="3"/>
  <c r="A794" i="3" s="1"/>
  <c r="B795" i="3"/>
  <c r="A795" i="3" s="1"/>
  <c r="B796" i="3"/>
  <c r="A796" i="3" s="1"/>
  <c r="B797" i="3"/>
  <c r="A797" i="3" s="1"/>
  <c r="B798" i="3"/>
  <c r="A798" i="3" s="1"/>
  <c r="B799" i="3"/>
  <c r="A799" i="3" s="1"/>
  <c r="B800" i="3"/>
  <c r="A800" i="3" s="1"/>
  <c r="B801" i="3"/>
  <c r="A801" i="3" s="1"/>
  <c r="B802" i="3"/>
  <c r="A802" i="3" s="1"/>
  <c r="B803" i="3"/>
  <c r="A803" i="3" s="1"/>
  <c r="B804" i="3"/>
  <c r="A804" i="3" s="1"/>
  <c r="B805" i="3"/>
  <c r="A805" i="3" s="1"/>
  <c r="B806" i="3"/>
  <c r="A806" i="3" s="1"/>
  <c r="B807" i="3"/>
  <c r="A807" i="3" s="1"/>
  <c r="B808" i="3"/>
  <c r="A808" i="3" s="1"/>
  <c r="B809" i="3"/>
  <c r="A809" i="3" s="1"/>
  <c r="B810" i="3"/>
  <c r="A810" i="3" s="1"/>
  <c r="B811" i="3"/>
  <c r="A811" i="3" s="1"/>
  <c r="B812" i="3"/>
  <c r="A812" i="3" s="1"/>
  <c r="B813" i="3"/>
  <c r="A813" i="3" s="1"/>
  <c r="B814" i="3"/>
  <c r="A814" i="3" s="1"/>
  <c r="B815" i="3"/>
  <c r="A815" i="3" s="1"/>
  <c r="B816" i="3"/>
  <c r="A816" i="3" s="1"/>
  <c r="B817" i="3"/>
  <c r="A817" i="3" s="1"/>
  <c r="B818" i="3"/>
  <c r="A818" i="3" s="1"/>
  <c r="B819" i="3"/>
  <c r="A819" i="3" s="1"/>
  <c r="B820" i="3"/>
  <c r="A820" i="3" s="1"/>
  <c r="B821" i="3"/>
  <c r="A821" i="3" s="1"/>
  <c r="B822" i="3"/>
  <c r="A822" i="3" s="1"/>
  <c r="B823" i="3"/>
  <c r="A823" i="3" s="1"/>
  <c r="B824" i="3"/>
  <c r="A824" i="3" s="1"/>
  <c r="B825" i="3"/>
  <c r="A825" i="3" s="1"/>
  <c r="B826" i="3"/>
  <c r="A826" i="3" s="1"/>
  <c r="B827" i="3"/>
  <c r="A827" i="3" s="1"/>
  <c r="B828" i="3"/>
  <c r="A828" i="3" s="1"/>
  <c r="B829" i="3"/>
  <c r="A829" i="3" s="1"/>
  <c r="B830" i="3"/>
  <c r="A830" i="3" s="1"/>
  <c r="B831" i="3"/>
  <c r="A831" i="3" s="1"/>
  <c r="B832" i="3"/>
  <c r="A832" i="3" s="1"/>
  <c r="B833" i="3"/>
  <c r="A833" i="3" s="1"/>
  <c r="B834" i="3"/>
  <c r="A834" i="3" s="1"/>
  <c r="B835" i="3"/>
  <c r="A835" i="3" s="1"/>
  <c r="B836" i="3"/>
  <c r="A836" i="3" s="1"/>
  <c r="B837" i="3"/>
  <c r="A837" i="3" s="1"/>
  <c r="B838" i="3"/>
  <c r="A838" i="3" s="1"/>
  <c r="B839" i="3"/>
  <c r="A839" i="3" s="1"/>
  <c r="B840" i="3"/>
  <c r="A840" i="3" s="1"/>
  <c r="B841" i="3"/>
  <c r="A841" i="3" s="1"/>
  <c r="B842" i="3"/>
  <c r="A842" i="3" s="1"/>
  <c r="B843" i="3"/>
  <c r="A843" i="3" s="1"/>
  <c r="B844" i="3"/>
  <c r="A844" i="3" s="1"/>
  <c r="B845" i="3"/>
  <c r="A845" i="3" s="1"/>
  <c r="B846" i="3"/>
  <c r="A846" i="3" s="1"/>
  <c r="B847" i="3"/>
  <c r="A847" i="3" s="1"/>
  <c r="B848" i="3"/>
  <c r="A848" i="3" s="1"/>
  <c r="B849" i="3"/>
  <c r="A849" i="3" s="1"/>
  <c r="B850" i="3"/>
  <c r="A850" i="3" s="1"/>
  <c r="B851" i="3"/>
  <c r="A851" i="3" s="1"/>
  <c r="B852" i="3"/>
  <c r="A852" i="3" s="1"/>
  <c r="B853" i="3"/>
  <c r="A853" i="3" s="1"/>
  <c r="B854" i="3"/>
  <c r="A854" i="3" s="1"/>
  <c r="B855" i="3"/>
  <c r="A855" i="3" s="1"/>
  <c r="B856" i="3"/>
  <c r="A856" i="3" s="1"/>
  <c r="B857" i="3"/>
  <c r="A857" i="3" s="1"/>
  <c r="B858" i="3"/>
  <c r="A858" i="3" s="1"/>
  <c r="B859" i="3"/>
  <c r="A859" i="3" s="1"/>
  <c r="B860" i="3"/>
  <c r="A860" i="3" s="1"/>
  <c r="B861" i="3"/>
  <c r="A861" i="3" s="1"/>
  <c r="B862" i="3"/>
  <c r="A862" i="3" s="1"/>
  <c r="B863" i="3"/>
  <c r="A863" i="3" s="1"/>
  <c r="B864" i="3"/>
  <c r="A864" i="3" s="1"/>
  <c r="B865" i="3"/>
  <c r="A865" i="3" s="1"/>
  <c r="B866" i="3"/>
  <c r="A866" i="3" s="1"/>
  <c r="B867" i="3"/>
  <c r="A867" i="3" s="1"/>
  <c r="B868" i="3"/>
  <c r="A868" i="3" s="1"/>
  <c r="B869" i="3"/>
  <c r="A869" i="3" s="1"/>
  <c r="B870" i="3"/>
  <c r="A870" i="3" s="1"/>
  <c r="B871" i="3"/>
  <c r="A871" i="3" s="1"/>
  <c r="B872" i="3"/>
  <c r="A872" i="3" s="1"/>
  <c r="B873" i="3"/>
  <c r="A873" i="3" s="1"/>
  <c r="B874" i="3"/>
  <c r="A874" i="3" s="1"/>
  <c r="B875" i="3"/>
  <c r="A875" i="3" s="1"/>
  <c r="B876" i="3"/>
  <c r="A876" i="3" s="1"/>
  <c r="B877" i="3"/>
  <c r="A877" i="3" s="1"/>
  <c r="B878" i="3"/>
  <c r="A878" i="3" s="1"/>
  <c r="B879" i="3"/>
  <c r="A879" i="3" s="1"/>
  <c r="B880" i="3"/>
  <c r="A880" i="3" s="1"/>
  <c r="B881" i="3"/>
  <c r="A881" i="3" s="1"/>
  <c r="B882" i="3"/>
  <c r="A882" i="3" s="1"/>
  <c r="B883" i="3"/>
  <c r="A883" i="3" s="1"/>
  <c r="B884" i="3"/>
  <c r="A884" i="3" s="1"/>
  <c r="B885" i="3"/>
  <c r="A885" i="3" s="1"/>
  <c r="B886" i="3"/>
  <c r="A886" i="3" s="1"/>
  <c r="B887" i="3"/>
  <c r="A887" i="3" s="1"/>
  <c r="B888" i="3"/>
  <c r="A888" i="3" s="1"/>
  <c r="B889" i="3"/>
  <c r="A889" i="3" s="1"/>
  <c r="B890" i="3"/>
  <c r="A890" i="3" s="1"/>
  <c r="B891" i="3"/>
  <c r="A891" i="3" s="1"/>
  <c r="B892" i="3"/>
  <c r="A892" i="3" s="1"/>
  <c r="B893" i="3"/>
  <c r="A893" i="3" s="1"/>
  <c r="B894" i="3"/>
  <c r="A894" i="3" s="1"/>
  <c r="B895" i="3"/>
  <c r="A895" i="3" s="1"/>
  <c r="B896" i="3"/>
  <c r="A896" i="3" s="1"/>
  <c r="B897" i="3"/>
  <c r="A897" i="3" s="1"/>
  <c r="B898" i="3"/>
  <c r="A898" i="3" s="1"/>
  <c r="B899" i="3"/>
  <c r="A899" i="3" s="1"/>
  <c r="B900" i="3"/>
  <c r="A900" i="3" s="1"/>
  <c r="B901" i="3"/>
  <c r="A901" i="3" s="1"/>
  <c r="B902" i="3"/>
  <c r="A902" i="3" s="1"/>
  <c r="B903" i="3"/>
  <c r="A903" i="3" s="1"/>
  <c r="B904" i="3"/>
  <c r="A904" i="3" s="1"/>
  <c r="B905" i="3"/>
  <c r="A905" i="3" s="1"/>
  <c r="B906" i="3"/>
  <c r="A906" i="3" s="1"/>
  <c r="B907" i="3"/>
  <c r="A907" i="3" s="1"/>
  <c r="B908" i="3"/>
  <c r="A908" i="3" s="1"/>
  <c r="B909" i="3"/>
  <c r="A909" i="3" s="1"/>
  <c r="B910" i="3"/>
  <c r="A910" i="3" s="1"/>
  <c r="B911" i="3"/>
  <c r="A911" i="3" s="1"/>
  <c r="B912" i="3"/>
  <c r="A912" i="3" s="1"/>
  <c r="B913" i="3"/>
  <c r="A913" i="3" s="1"/>
  <c r="B914" i="3"/>
  <c r="A914" i="3" s="1"/>
  <c r="B915" i="3"/>
  <c r="A915" i="3" s="1"/>
  <c r="B916" i="3"/>
  <c r="A916" i="3" s="1"/>
  <c r="B917" i="3"/>
  <c r="A917" i="3" s="1"/>
  <c r="B918" i="3"/>
  <c r="A918" i="3" s="1"/>
  <c r="B919" i="3"/>
  <c r="A919" i="3" s="1"/>
  <c r="B920" i="3"/>
  <c r="A920" i="3" s="1"/>
  <c r="B921" i="3"/>
  <c r="A921" i="3" s="1"/>
  <c r="B922" i="3"/>
  <c r="A922" i="3" s="1"/>
  <c r="B923" i="3"/>
  <c r="A923" i="3" s="1"/>
  <c r="B924" i="3"/>
  <c r="A924" i="3" s="1"/>
  <c r="B925" i="3"/>
  <c r="A925" i="3" s="1"/>
  <c r="B926" i="3"/>
  <c r="A926" i="3" s="1"/>
  <c r="B927" i="3"/>
  <c r="A927" i="3" s="1"/>
  <c r="B928" i="3"/>
  <c r="A928" i="3" s="1"/>
  <c r="B929" i="3"/>
  <c r="A929" i="3" s="1"/>
  <c r="B930" i="3"/>
  <c r="A930" i="3" s="1"/>
  <c r="B931" i="3"/>
  <c r="A931" i="3" s="1"/>
  <c r="B932" i="3"/>
  <c r="A932" i="3" s="1"/>
  <c r="B933" i="3"/>
  <c r="A933" i="3" s="1"/>
  <c r="B934" i="3"/>
  <c r="A934" i="3" s="1"/>
  <c r="B935" i="3"/>
  <c r="A935" i="3" s="1"/>
  <c r="B936" i="3"/>
  <c r="A936" i="3" s="1"/>
  <c r="B937" i="3"/>
  <c r="A937" i="3" s="1"/>
  <c r="B938" i="3"/>
  <c r="A938" i="3" s="1"/>
  <c r="B939" i="3"/>
  <c r="A939" i="3" s="1"/>
  <c r="B940" i="3"/>
  <c r="A940" i="3" s="1"/>
  <c r="B941" i="3"/>
  <c r="A941" i="3" s="1"/>
  <c r="B942" i="3"/>
  <c r="A942" i="3" s="1"/>
  <c r="B943" i="3"/>
  <c r="A943" i="3" s="1"/>
  <c r="B944" i="3"/>
  <c r="A944" i="3" s="1"/>
  <c r="B945" i="3"/>
  <c r="A945" i="3" s="1"/>
  <c r="B946" i="3"/>
  <c r="A946" i="3" s="1"/>
  <c r="B947" i="3"/>
  <c r="A947" i="3" s="1"/>
  <c r="B948" i="3"/>
  <c r="A948" i="3" s="1"/>
  <c r="B949" i="3"/>
  <c r="A949" i="3" s="1"/>
  <c r="B950" i="3"/>
  <c r="A950" i="3" s="1"/>
  <c r="B951" i="3"/>
  <c r="A951" i="3" s="1"/>
  <c r="B952" i="3"/>
  <c r="A952" i="3" s="1"/>
  <c r="B953" i="3"/>
  <c r="A953" i="3" s="1"/>
  <c r="B954" i="3"/>
  <c r="A954" i="3" s="1"/>
  <c r="B955" i="3"/>
  <c r="A955" i="3" s="1"/>
  <c r="B956" i="3"/>
  <c r="A956" i="3" s="1"/>
  <c r="B957" i="3"/>
  <c r="A957" i="3" s="1"/>
  <c r="B958" i="3"/>
  <c r="A958" i="3" s="1"/>
  <c r="B959" i="3"/>
  <c r="A959" i="3" s="1"/>
  <c r="B960" i="3"/>
  <c r="A960" i="3" s="1"/>
  <c r="B961" i="3"/>
  <c r="A961" i="3" s="1"/>
  <c r="B962" i="3"/>
  <c r="A962" i="3" s="1"/>
  <c r="B963" i="3"/>
  <c r="A963" i="3" s="1"/>
  <c r="B964" i="3"/>
  <c r="A964" i="3" s="1"/>
  <c r="B965" i="3"/>
  <c r="A965" i="3" s="1"/>
  <c r="B966" i="3"/>
  <c r="A966" i="3" s="1"/>
  <c r="B967" i="3"/>
  <c r="A967" i="3" s="1"/>
  <c r="B968" i="3"/>
  <c r="A968" i="3" s="1"/>
  <c r="B969" i="3"/>
  <c r="A969" i="3" s="1"/>
  <c r="B970" i="3"/>
  <c r="A970" i="3" s="1"/>
  <c r="B971" i="3"/>
  <c r="A971" i="3" s="1"/>
  <c r="B972" i="3"/>
  <c r="A972" i="3" s="1"/>
  <c r="B973" i="3"/>
  <c r="A973" i="3" s="1"/>
  <c r="B974" i="3"/>
  <c r="A974" i="3" s="1"/>
  <c r="B975" i="3"/>
  <c r="A975" i="3" s="1"/>
  <c r="B976" i="3"/>
  <c r="A976" i="3" s="1"/>
  <c r="B977" i="3"/>
  <c r="A977" i="3" s="1"/>
  <c r="B978" i="3"/>
  <c r="A978" i="3" s="1"/>
  <c r="B979" i="3"/>
  <c r="A979" i="3" s="1"/>
  <c r="B980" i="3"/>
  <c r="A980" i="3" s="1"/>
  <c r="B981" i="3"/>
  <c r="A981" i="3" s="1"/>
  <c r="B982" i="3"/>
  <c r="A982" i="3" s="1"/>
  <c r="B983" i="3"/>
  <c r="A983" i="3" s="1"/>
  <c r="B984" i="3"/>
  <c r="A984" i="3" s="1"/>
  <c r="B985" i="3"/>
  <c r="A985" i="3" s="1"/>
  <c r="B986" i="3"/>
  <c r="A986" i="3" s="1"/>
  <c r="B987" i="3"/>
  <c r="A987" i="3" s="1"/>
  <c r="B988" i="3"/>
  <c r="A988" i="3" s="1"/>
  <c r="B989" i="3"/>
  <c r="A989" i="3" s="1"/>
  <c r="B990" i="3"/>
  <c r="A990" i="3" s="1"/>
  <c r="B991" i="3"/>
  <c r="A991" i="3" s="1"/>
  <c r="B992" i="3"/>
  <c r="A992" i="3" s="1"/>
  <c r="B993" i="3"/>
  <c r="A993" i="3" s="1"/>
  <c r="B994" i="3"/>
  <c r="A994" i="3" s="1"/>
  <c r="B995" i="3"/>
  <c r="A995" i="3" s="1"/>
  <c r="B996" i="3"/>
  <c r="A996" i="3" s="1"/>
  <c r="B997" i="3"/>
  <c r="A997" i="3" s="1"/>
  <c r="B998" i="3"/>
  <c r="A998" i="3" s="1"/>
  <c r="B999" i="3"/>
  <c r="A999" i="3" s="1"/>
  <c r="B1000" i="3"/>
  <c r="A1000" i="3" s="1"/>
  <c r="B1001" i="3"/>
  <c r="A1001" i="3" s="1"/>
  <c r="B1002" i="3"/>
  <c r="A1002" i="3" s="1"/>
  <c r="B1003" i="3"/>
  <c r="A1003" i="3" s="1"/>
  <c r="B1004" i="3"/>
  <c r="A1004" i="3" s="1"/>
  <c r="B1005" i="3"/>
  <c r="A1005" i="3" s="1"/>
  <c r="B1006" i="3"/>
  <c r="A1006" i="3" s="1"/>
  <c r="B1007" i="3"/>
  <c r="A1007" i="3" s="1"/>
  <c r="B1008" i="3"/>
  <c r="A1008" i="3" s="1"/>
  <c r="B1009" i="3"/>
  <c r="A1009" i="3" s="1"/>
  <c r="B1010" i="3"/>
  <c r="A1010" i="3" s="1"/>
  <c r="B1011" i="3"/>
  <c r="A1011" i="3" s="1"/>
  <c r="B1012" i="3"/>
  <c r="A1012" i="3" s="1"/>
  <c r="B1013" i="3"/>
  <c r="A1013" i="3" s="1"/>
  <c r="B1014" i="3"/>
  <c r="A1014" i="3" s="1"/>
  <c r="B1015" i="3"/>
  <c r="A1015" i="3" s="1"/>
  <c r="B1016" i="3"/>
  <c r="A1016" i="3" s="1"/>
  <c r="B1017" i="3"/>
  <c r="A1017" i="3" s="1"/>
  <c r="B1018" i="3"/>
  <c r="A1018" i="3" s="1"/>
  <c r="B1019" i="3"/>
  <c r="A1019" i="3" s="1"/>
  <c r="B1020" i="3"/>
  <c r="A1020" i="3" s="1"/>
  <c r="B1021" i="3"/>
  <c r="A1021" i="3" s="1"/>
  <c r="B1022" i="3"/>
  <c r="A1022" i="3" s="1"/>
  <c r="B1023" i="3"/>
  <c r="A1023" i="3" s="1"/>
  <c r="B1024" i="3"/>
  <c r="A1024" i="3" s="1"/>
  <c r="B1025" i="3"/>
  <c r="A1025" i="3" s="1"/>
  <c r="B1026" i="3"/>
  <c r="A1026" i="3" s="1"/>
  <c r="B1027" i="3"/>
  <c r="A1027" i="3" s="1"/>
  <c r="B1028" i="3"/>
  <c r="A1028" i="3" s="1"/>
  <c r="B1029" i="3"/>
  <c r="A1029" i="3" s="1"/>
  <c r="B1030" i="3"/>
  <c r="A1030" i="3" s="1"/>
  <c r="B1031" i="3"/>
  <c r="A1031" i="3" s="1"/>
  <c r="B1032" i="3"/>
  <c r="A1032" i="3" s="1"/>
  <c r="B1033" i="3"/>
  <c r="A1033" i="3" s="1"/>
  <c r="B1034" i="3"/>
  <c r="A1034" i="3" s="1"/>
  <c r="B1035" i="3"/>
  <c r="A1035" i="3" s="1"/>
  <c r="B1036" i="3"/>
  <c r="A1036" i="3" s="1"/>
  <c r="B1037" i="3"/>
  <c r="A1037" i="3" s="1"/>
  <c r="B1038" i="3"/>
  <c r="A1038" i="3" s="1"/>
  <c r="B1039" i="3"/>
  <c r="A1039" i="3" s="1"/>
  <c r="B1040" i="3"/>
  <c r="A1040" i="3" s="1"/>
  <c r="B1041" i="3"/>
  <c r="A1041" i="3" s="1"/>
  <c r="B1042" i="3"/>
  <c r="A1042" i="3" s="1"/>
  <c r="B1043" i="3"/>
  <c r="A1043" i="3" s="1"/>
  <c r="B1044" i="3"/>
  <c r="A1044" i="3" s="1"/>
  <c r="B1045" i="3"/>
  <c r="A1045" i="3" s="1"/>
  <c r="B1046" i="3"/>
  <c r="A1046" i="3" s="1"/>
  <c r="B1047" i="3"/>
  <c r="A1047" i="3" s="1"/>
  <c r="B1048" i="3"/>
  <c r="A1048" i="3" s="1"/>
  <c r="B1049" i="3"/>
  <c r="A1049" i="3" s="1"/>
  <c r="B1050" i="3"/>
  <c r="A1050" i="3" s="1"/>
  <c r="B1051" i="3"/>
  <c r="A1051" i="3" s="1"/>
  <c r="B1052" i="3"/>
  <c r="A1052" i="3" s="1"/>
  <c r="B1053" i="3"/>
  <c r="A1053" i="3" s="1"/>
  <c r="B1054" i="3"/>
  <c r="A1054" i="3" s="1"/>
  <c r="B1055" i="3"/>
  <c r="A1055" i="3" s="1"/>
  <c r="B1056" i="3"/>
  <c r="A1056" i="3" s="1"/>
  <c r="B1057" i="3"/>
  <c r="A1057" i="3" s="1"/>
  <c r="B1058" i="3"/>
  <c r="A1058" i="3" s="1"/>
  <c r="B1059" i="3"/>
  <c r="A1059" i="3" s="1"/>
  <c r="B1060" i="3"/>
  <c r="A1060" i="3" s="1"/>
  <c r="B1061" i="3"/>
  <c r="A1061" i="3" s="1"/>
  <c r="B1062" i="3"/>
  <c r="A1062" i="3" s="1"/>
  <c r="B1063" i="3"/>
  <c r="A1063" i="3" s="1"/>
  <c r="B1064" i="3"/>
  <c r="A1064" i="3" s="1"/>
  <c r="B1065" i="3"/>
  <c r="A1065" i="3" s="1"/>
  <c r="B1066" i="3"/>
  <c r="A1066" i="3" s="1"/>
  <c r="B1067" i="3"/>
  <c r="A1067" i="3" s="1"/>
  <c r="B1068" i="3"/>
  <c r="A1068" i="3" s="1"/>
  <c r="B1069" i="3"/>
  <c r="A1069" i="3" s="1"/>
  <c r="B1070" i="3"/>
  <c r="A1070" i="3" s="1"/>
  <c r="B1071" i="3"/>
  <c r="A1071" i="3" s="1"/>
  <c r="B1072" i="3"/>
  <c r="A1072" i="3" s="1"/>
  <c r="B1073" i="3"/>
  <c r="A1073" i="3" s="1"/>
  <c r="B1074" i="3"/>
  <c r="A1074" i="3" s="1"/>
  <c r="B1075" i="3"/>
  <c r="A1075" i="3" s="1"/>
  <c r="B1076" i="3"/>
  <c r="A1076" i="3" s="1"/>
  <c r="B1077" i="3"/>
  <c r="A1077" i="3" s="1"/>
  <c r="B1078" i="3"/>
  <c r="A1078" i="3" s="1"/>
  <c r="B1079" i="3"/>
  <c r="A1079" i="3" s="1"/>
  <c r="B1080" i="3"/>
  <c r="A1080" i="3" s="1"/>
  <c r="B1081" i="3"/>
  <c r="A1081" i="3" s="1"/>
  <c r="B1082" i="3"/>
  <c r="A1082" i="3" s="1"/>
  <c r="B1083" i="3"/>
  <c r="A1083" i="3" s="1"/>
  <c r="B1084" i="3"/>
  <c r="A1084" i="3" s="1"/>
  <c r="B1085" i="3"/>
  <c r="A1085" i="3" s="1"/>
  <c r="B1086" i="3"/>
  <c r="A1086" i="3" s="1"/>
  <c r="B1087" i="3"/>
  <c r="A1087" i="3" s="1"/>
  <c r="B1088" i="3"/>
  <c r="A1088" i="3" s="1"/>
  <c r="B1089" i="3"/>
  <c r="A1089" i="3" s="1"/>
  <c r="B1090" i="3"/>
  <c r="A1090" i="3" s="1"/>
  <c r="B1091" i="3"/>
  <c r="A1091" i="3" s="1"/>
  <c r="B1092" i="3"/>
  <c r="A1092" i="3" s="1"/>
  <c r="B1093" i="3"/>
  <c r="A1093" i="3" s="1"/>
  <c r="B1094" i="3"/>
  <c r="A1094" i="3" s="1"/>
  <c r="B1095" i="3"/>
  <c r="A1095" i="3" s="1"/>
  <c r="B1096" i="3"/>
  <c r="A1096" i="3" s="1"/>
  <c r="B1097" i="3"/>
  <c r="A1097" i="3" s="1"/>
  <c r="B1098" i="3"/>
  <c r="A1098" i="3" s="1"/>
  <c r="B1099" i="3"/>
  <c r="A1099" i="3" s="1"/>
  <c r="B1100" i="3"/>
  <c r="A1100" i="3" s="1"/>
  <c r="B1101" i="3"/>
  <c r="A1101" i="3" s="1"/>
  <c r="B1102" i="3"/>
  <c r="A1102" i="3" s="1"/>
  <c r="B1103" i="3"/>
  <c r="A1103" i="3" s="1"/>
  <c r="B1104" i="3"/>
  <c r="A1104" i="3" s="1"/>
  <c r="B1105" i="3"/>
  <c r="A1105" i="3" s="1"/>
  <c r="B1106" i="3"/>
  <c r="A1106" i="3" s="1"/>
  <c r="B1107" i="3"/>
  <c r="A1107" i="3" s="1"/>
  <c r="B1108" i="3"/>
  <c r="A1108" i="3" s="1"/>
  <c r="B1109" i="3"/>
  <c r="A1109" i="3" s="1"/>
  <c r="B1110" i="3"/>
  <c r="A1110" i="3" s="1"/>
  <c r="B1111" i="3"/>
  <c r="A1111" i="3" s="1"/>
  <c r="B1112" i="3"/>
  <c r="A1112" i="3" s="1"/>
  <c r="B1113" i="3"/>
  <c r="A1113" i="3" s="1"/>
  <c r="B1114" i="3"/>
  <c r="A1114" i="3" s="1"/>
  <c r="B1115" i="3"/>
  <c r="A1115" i="3" s="1"/>
  <c r="B1116" i="3"/>
  <c r="A1116" i="3" s="1"/>
  <c r="B1117" i="3"/>
  <c r="A1117" i="3" s="1"/>
  <c r="B1118" i="3"/>
  <c r="A1118" i="3" s="1"/>
  <c r="B1119" i="3"/>
  <c r="A1119" i="3" s="1"/>
  <c r="B1120" i="3"/>
  <c r="A1120" i="3" s="1"/>
  <c r="B1121" i="3"/>
  <c r="A1121" i="3" s="1"/>
  <c r="B1122" i="3"/>
  <c r="A1122" i="3" s="1"/>
  <c r="B1123" i="3"/>
  <c r="A1123" i="3" s="1"/>
  <c r="B1124" i="3"/>
  <c r="A1124" i="3" s="1"/>
  <c r="B1125" i="3"/>
  <c r="A1125" i="3" s="1"/>
  <c r="B1126" i="3"/>
  <c r="A1126" i="3" s="1"/>
  <c r="B1127" i="3"/>
  <c r="A1127" i="3" s="1"/>
  <c r="B1128" i="3"/>
  <c r="A1128" i="3" s="1"/>
  <c r="B1129" i="3"/>
  <c r="A1129" i="3" s="1"/>
  <c r="B1130" i="3"/>
  <c r="A1130" i="3" s="1"/>
  <c r="B1131" i="3"/>
  <c r="A1131" i="3" s="1"/>
  <c r="B1132" i="3"/>
  <c r="A1132" i="3" s="1"/>
  <c r="B1133" i="3"/>
  <c r="A1133" i="3" s="1"/>
  <c r="B1134" i="3"/>
  <c r="A1134" i="3" s="1"/>
  <c r="B1135" i="3"/>
  <c r="A1135" i="3" s="1"/>
  <c r="B1136" i="3"/>
  <c r="A1136" i="3" s="1"/>
  <c r="B1137" i="3"/>
  <c r="A1137" i="3" s="1"/>
  <c r="B1138" i="3"/>
  <c r="A1138" i="3" s="1"/>
  <c r="B1139" i="3"/>
  <c r="A1139" i="3" s="1"/>
  <c r="B1140" i="3"/>
  <c r="A1140" i="3" s="1"/>
  <c r="B1141" i="3"/>
  <c r="A1141" i="3" s="1"/>
  <c r="B1142" i="3"/>
  <c r="A1142" i="3" s="1"/>
  <c r="B1143" i="3"/>
  <c r="A1143" i="3" s="1"/>
  <c r="B1144" i="3"/>
  <c r="A1144" i="3" s="1"/>
  <c r="B1145" i="3"/>
  <c r="A1145" i="3" s="1"/>
  <c r="B1146" i="3"/>
  <c r="A1146" i="3" s="1"/>
  <c r="B1147" i="3"/>
  <c r="A1147" i="3" s="1"/>
  <c r="B1148" i="3"/>
  <c r="A1148" i="3" s="1"/>
  <c r="B1149" i="3"/>
  <c r="A1149" i="3" s="1"/>
  <c r="B1150" i="3"/>
  <c r="A1150" i="3" s="1"/>
  <c r="B1151" i="3"/>
  <c r="A1151" i="3" s="1"/>
  <c r="B1152" i="3"/>
  <c r="A1152" i="3" s="1"/>
  <c r="B1153" i="3"/>
  <c r="A1153" i="3" s="1"/>
  <c r="B1154" i="3"/>
  <c r="A1154" i="3" s="1"/>
  <c r="B1155" i="3"/>
  <c r="A1155" i="3" s="1"/>
  <c r="B1156" i="3"/>
  <c r="A1156" i="3" s="1"/>
  <c r="B1157" i="3"/>
  <c r="A1157" i="3" s="1"/>
  <c r="B1158" i="3"/>
  <c r="A1158" i="3" s="1"/>
  <c r="B1159" i="3"/>
  <c r="A1159" i="3" s="1"/>
  <c r="B1160" i="3"/>
  <c r="A1160" i="3" s="1"/>
  <c r="B1161" i="3"/>
  <c r="A1161" i="3" s="1"/>
  <c r="B1162" i="3"/>
  <c r="A1162" i="3" s="1"/>
  <c r="B1163" i="3"/>
  <c r="A1163" i="3" s="1"/>
  <c r="B1164" i="3"/>
  <c r="A1164" i="3" s="1"/>
  <c r="B1165" i="3"/>
  <c r="A1165" i="3" s="1"/>
  <c r="B1166" i="3"/>
  <c r="A1166" i="3" s="1"/>
  <c r="B1167" i="3"/>
  <c r="A1167" i="3" s="1"/>
  <c r="B1168" i="3"/>
  <c r="A1168" i="3" s="1"/>
  <c r="B1169" i="3"/>
  <c r="A1169" i="3" s="1"/>
  <c r="B1170" i="3"/>
  <c r="A1170" i="3" s="1"/>
  <c r="B1171" i="3"/>
  <c r="A1171" i="3" s="1"/>
  <c r="B1172" i="3"/>
  <c r="A1172" i="3" s="1"/>
  <c r="B1173" i="3"/>
  <c r="A1173" i="3" s="1"/>
  <c r="B1174" i="3"/>
  <c r="A1174" i="3" s="1"/>
  <c r="B1175" i="3"/>
  <c r="A1175" i="3" s="1"/>
  <c r="B1176" i="3"/>
  <c r="A1176" i="3" s="1"/>
  <c r="B1177" i="3"/>
  <c r="A1177" i="3" s="1"/>
  <c r="B1178" i="3"/>
  <c r="A1178" i="3" s="1"/>
  <c r="B1179" i="3"/>
  <c r="A1179" i="3" s="1"/>
  <c r="B1180" i="3"/>
  <c r="A1180" i="3" s="1"/>
  <c r="B1181" i="3"/>
  <c r="A1181" i="3" s="1"/>
  <c r="B1182" i="3"/>
  <c r="A1182" i="3" s="1"/>
  <c r="B1183" i="3"/>
  <c r="A1183" i="3" s="1"/>
  <c r="B1184" i="3"/>
  <c r="A1184" i="3" s="1"/>
  <c r="B1185" i="3"/>
  <c r="A1185" i="3" s="1"/>
  <c r="B1186" i="3"/>
  <c r="A1186" i="3" s="1"/>
  <c r="B1187" i="3"/>
  <c r="A1187" i="3" s="1"/>
  <c r="B1188" i="3"/>
  <c r="A1188" i="3" s="1"/>
  <c r="B1189" i="3"/>
  <c r="A1189" i="3" s="1"/>
  <c r="B1190" i="3"/>
  <c r="A1190" i="3" s="1"/>
  <c r="B1191" i="3"/>
  <c r="A1191" i="3" s="1"/>
  <c r="B1192" i="3"/>
  <c r="A1192" i="3" s="1"/>
  <c r="B1193" i="3"/>
  <c r="A1193" i="3" s="1"/>
  <c r="B1194" i="3"/>
  <c r="A1194" i="3" s="1"/>
  <c r="B1195" i="3"/>
  <c r="A1195" i="3" s="1"/>
  <c r="B1196" i="3"/>
  <c r="A1196" i="3" s="1"/>
  <c r="B1197" i="3"/>
  <c r="A1197" i="3" s="1"/>
  <c r="B1198" i="3"/>
  <c r="A1198" i="3" s="1"/>
  <c r="B1199" i="3"/>
  <c r="A1199" i="3" s="1"/>
  <c r="B1200" i="3"/>
  <c r="A1200" i="3" s="1"/>
  <c r="B1201" i="3"/>
  <c r="A1201" i="3" s="1"/>
  <c r="B1202" i="3"/>
  <c r="A1202" i="3" s="1"/>
  <c r="B1203" i="3"/>
  <c r="A1203" i="3" s="1"/>
  <c r="B1204" i="3"/>
  <c r="A1204" i="3" s="1"/>
  <c r="B1205" i="3"/>
  <c r="A1205" i="3" s="1"/>
  <c r="B1206" i="3"/>
  <c r="A1206" i="3" s="1"/>
  <c r="B1207" i="3"/>
  <c r="A1207" i="3" s="1"/>
  <c r="B1208" i="3"/>
  <c r="A1208" i="3" s="1"/>
  <c r="B1209" i="3"/>
  <c r="A1209" i="3" s="1"/>
  <c r="B1210" i="3"/>
  <c r="A1210" i="3" s="1"/>
  <c r="B1211" i="3"/>
  <c r="A1211" i="3" s="1"/>
  <c r="B1212" i="3"/>
  <c r="A1212" i="3" s="1"/>
  <c r="B1213" i="3"/>
  <c r="A1213" i="3" s="1"/>
  <c r="B1214" i="3"/>
  <c r="A1214" i="3" s="1"/>
  <c r="B1215" i="3"/>
  <c r="A1215" i="3" s="1"/>
  <c r="B1216" i="3"/>
  <c r="A1216" i="3" s="1"/>
  <c r="B1217" i="3"/>
  <c r="A1217" i="3" s="1"/>
  <c r="B1218" i="3"/>
  <c r="A1218" i="3" s="1"/>
  <c r="B1219" i="3"/>
  <c r="A1219" i="3" s="1"/>
  <c r="B1220" i="3"/>
  <c r="A1220" i="3" s="1"/>
  <c r="B1221" i="3"/>
  <c r="A1221" i="3" s="1"/>
  <c r="B1222" i="3"/>
  <c r="A1222" i="3" s="1"/>
  <c r="B1223" i="3"/>
  <c r="A1223" i="3" s="1"/>
  <c r="B1224" i="3"/>
  <c r="A1224" i="3" s="1"/>
  <c r="B1225" i="3"/>
  <c r="A1225" i="3" s="1"/>
  <c r="B1226" i="3"/>
  <c r="A1226" i="3" s="1"/>
  <c r="B1227" i="3"/>
  <c r="A1227" i="3" s="1"/>
  <c r="B1228" i="3"/>
  <c r="A1228" i="3" s="1"/>
  <c r="B1229" i="3"/>
  <c r="A1229" i="3" s="1"/>
  <c r="B1230" i="3"/>
  <c r="A1230" i="3" s="1"/>
  <c r="B1231" i="3"/>
  <c r="A1231" i="3" s="1"/>
  <c r="B1232" i="3"/>
  <c r="A1232" i="3" s="1"/>
  <c r="B1233" i="3"/>
  <c r="A1233" i="3" s="1"/>
  <c r="B1234" i="3"/>
  <c r="A1234" i="3" s="1"/>
  <c r="B1235" i="3"/>
  <c r="A1235" i="3" s="1"/>
  <c r="B1236" i="3"/>
  <c r="A1236" i="3" s="1"/>
  <c r="B1237" i="3"/>
  <c r="A1237" i="3" s="1"/>
  <c r="B1238" i="3"/>
  <c r="A1238" i="3" s="1"/>
  <c r="B1239" i="3"/>
  <c r="A1239" i="3" s="1"/>
  <c r="B1240" i="3"/>
  <c r="A1240" i="3" s="1"/>
  <c r="B1241" i="3"/>
  <c r="A1241" i="3" s="1"/>
  <c r="B1242" i="3"/>
  <c r="A1242" i="3" s="1"/>
  <c r="B1243" i="3"/>
  <c r="A1243" i="3" s="1"/>
  <c r="B1244" i="3"/>
  <c r="A1244" i="3" s="1"/>
  <c r="B1245" i="3"/>
  <c r="A1245" i="3" s="1"/>
  <c r="B1246" i="3"/>
  <c r="A1246" i="3" s="1"/>
  <c r="B1247" i="3"/>
  <c r="A1247" i="3" s="1"/>
  <c r="B1248" i="3"/>
  <c r="A1248" i="3" s="1"/>
  <c r="B1249" i="3"/>
  <c r="A1249" i="3" s="1"/>
  <c r="B1250" i="3"/>
  <c r="A1250" i="3" s="1"/>
  <c r="B1251" i="3"/>
  <c r="A1251" i="3" s="1"/>
  <c r="B1252" i="3"/>
  <c r="A1252" i="3" s="1"/>
  <c r="B1253" i="3"/>
  <c r="A1253" i="3" s="1"/>
  <c r="B1254" i="3"/>
  <c r="A1254" i="3" s="1"/>
  <c r="B1255" i="3"/>
  <c r="A1255" i="3" s="1"/>
  <c r="B1256" i="3"/>
  <c r="A1256" i="3" s="1"/>
  <c r="B1257" i="3"/>
  <c r="A1257" i="3" s="1"/>
  <c r="B1258" i="3"/>
  <c r="A1258" i="3" s="1"/>
  <c r="B1259" i="3"/>
  <c r="A1259" i="3" s="1"/>
  <c r="B1260" i="3"/>
  <c r="A1260" i="3" s="1"/>
  <c r="B1261" i="3"/>
  <c r="A1261" i="3" s="1"/>
  <c r="B1262" i="3"/>
  <c r="A1262" i="3" s="1"/>
  <c r="B1263" i="3"/>
  <c r="A1263" i="3" s="1"/>
  <c r="B1264" i="3"/>
  <c r="A1264" i="3" s="1"/>
  <c r="B1265" i="3"/>
  <c r="A1265" i="3" s="1"/>
  <c r="B1266" i="3"/>
  <c r="A1266" i="3" s="1"/>
  <c r="B1267" i="3"/>
  <c r="A1267" i="3" s="1"/>
  <c r="B1268" i="3"/>
  <c r="A1268" i="3" s="1"/>
  <c r="B1269" i="3"/>
  <c r="A1269" i="3" s="1"/>
  <c r="B1270" i="3"/>
  <c r="A1270" i="3" s="1"/>
  <c r="B1271" i="3"/>
  <c r="A1271" i="3" s="1"/>
  <c r="B1272" i="3"/>
  <c r="A1272" i="3" s="1"/>
  <c r="B1273" i="3"/>
  <c r="A1273" i="3" s="1"/>
  <c r="B1274" i="3"/>
  <c r="A1274" i="3" s="1"/>
  <c r="B1275" i="3"/>
  <c r="A1275" i="3" s="1"/>
  <c r="B1276" i="3"/>
  <c r="A1276" i="3" s="1"/>
  <c r="B1277" i="3"/>
  <c r="A1277" i="3" s="1"/>
  <c r="B1278" i="3"/>
  <c r="A1278" i="3" s="1"/>
  <c r="B1279" i="3"/>
  <c r="A1279" i="3" s="1"/>
  <c r="B1280" i="3"/>
  <c r="A1280" i="3" s="1"/>
  <c r="B1281" i="3"/>
  <c r="A1281" i="3" s="1"/>
  <c r="B1282" i="3"/>
  <c r="A1282" i="3" s="1"/>
  <c r="B1283" i="3"/>
  <c r="A1283" i="3" s="1"/>
  <c r="B1284" i="3"/>
  <c r="A1284" i="3" s="1"/>
  <c r="B1285" i="3"/>
  <c r="A1285" i="3" s="1"/>
  <c r="B1286" i="3"/>
  <c r="A1286" i="3" s="1"/>
  <c r="B1287" i="3"/>
  <c r="A1287" i="3" s="1"/>
  <c r="B1288" i="3"/>
  <c r="A1288" i="3" s="1"/>
  <c r="B1289" i="3"/>
  <c r="A1289" i="3" s="1"/>
  <c r="B1290" i="3"/>
  <c r="A1290" i="3" s="1"/>
  <c r="B1291" i="3"/>
  <c r="A1291" i="3" s="1"/>
  <c r="B1292" i="3"/>
  <c r="A1292" i="3" s="1"/>
  <c r="B1293" i="3"/>
  <c r="A1293" i="3" s="1"/>
  <c r="B1294" i="3"/>
  <c r="A1294" i="3" s="1"/>
  <c r="B1295" i="3"/>
  <c r="A1295" i="3" s="1"/>
  <c r="B1296" i="3"/>
  <c r="A1296" i="3" s="1"/>
  <c r="B1297" i="3"/>
  <c r="A1297" i="3" s="1"/>
  <c r="B1298" i="3"/>
  <c r="A1298" i="3" s="1"/>
  <c r="B1299" i="3"/>
  <c r="A1299" i="3" s="1"/>
  <c r="B1300" i="3"/>
  <c r="A1300" i="3" s="1"/>
  <c r="B1301" i="3"/>
  <c r="A1301" i="3" s="1"/>
  <c r="B1302" i="3"/>
  <c r="A1302" i="3" s="1"/>
  <c r="B1303" i="3"/>
  <c r="A1303" i="3" s="1"/>
  <c r="B1304" i="3"/>
  <c r="A1304" i="3" s="1"/>
  <c r="B1305" i="3"/>
  <c r="A1305" i="3" s="1"/>
  <c r="B1306" i="3"/>
  <c r="A1306" i="3" s="1"/>
  <c r="B1307" i="3"/>
  <c r="A1307" i="3" s="1"/>
  <c r="B1308" i="3"/>
  <c r="A1308" i="3" s="1"/>
  <c r="B1309" i="3"/>
  <c r="A1309" i="3" s="1"/>
  <c r="B1310" i="3"/>
  <c r="A1310" i="3" s="1"/>
  <c r="B1311" i="3"/>
  <c r="A1311" i="3" s="1"/>
  <c r="B1312" i="3"/>
  <c r="A1312" i="3" s="1"/>
  <c r="B1313" i="3"/>
  <c r="A1313" i="3" s="1"/>
  <c r="B1314" i="3"/>
  <c r="A1314" i="3" s="1"/>
  <c r="B1315" i="3"/>
  <c r="A1315" i="3" s="1"/>
  <c r="B1316" i="3"/>
  <c r="A1316" i="3" s="1"/>
  <c r="B1317" i="3"/>
  <c r="A1317" i="3" s="1"/>
  <c r="B1318" i="3"/>
  <c r="A1318" i="3" s="1"/>
  <c r="B1319" i="3"/>
  <c r="A1319" i="3" s="1"/>
  <c r="B1320" i="3"/>
  <c r="A1320" i="3" s="1"/>
  <c r="B1321" i="3"/>
  <c r="A1321" i="3" s="1"/>
  <c r="B1322" i="3"/>
  <c r="A1322" i="3" s="1"/>
  <c r="B1323" i="3"/>
  <c r="A1323" i="3" s="1"/>
  <c r="B1324" i="3"/>
  <c r="A1324" i="3" s="1"/>
  <c r="B1325" i="3"/>
  <c r="A1325" i="3" s="1"/>
  <c r="B1326" i="3"/>
  <c r="A1326" i="3" s="1"/>
  <c r="B1327" i="3"/>
  <c r="A1327" i="3" s="1"/>
  <c r="B1328" i="3"/>
  <c r="A1328" i="3" s="1"/>
  <c r="B1329" i="3"/>
  <c r="A1329" i="3" s="1"/>
  <c r="B1330" i="3"/>
  <c r="A1330" i="3" s="1"/>
  <c r="B1331" i="3"/>
  <c r="A1331" i="3" s="1"/>
  <c r="B1332" i="3"/>
  <c r="A1332" i="3" s="1"/>
  <c r="B1333" i="3"/>
  <c r="A1333" i="3" s="1"/>
  <c r="B1334" i="3"/>
  <c r="A1334" i="3" s="1"/>
  <c r="B1335" i="3"/>
  <c r="A1335" i="3" s="1"/>
  <c r="B1336" i="3"/>
  <c r="A1336" i="3" s="1"/>
  <c r="B1337" i="3"/>
  <c r="A1337" i="3" s="1"/>
  <c r="B1338" i="3"/>
  <c r="A1338" i="3" s="1"/>
  <c r="B1339" i="3"/>
  <c r="A1339" i="3" s="1"/>
  <c r="B1340" i="3"/>
  <c r="A1340" i="3" s="1"/>
  <c r="B1341" i="3"/>
  <c r="A1341" i="3" s="1"/>
  <c r="B1342" i="3"/>
  <c r="A1342" i="3" s="1"/>
  <c r="B1343" i="3"/>
  <c r="A1343" i="3" s="1"/>
  <c r="B1344" i="3"/>
  <c r="A1344" i="3" s="1"/>
  <c r="B1345" i="3"/>
  <c r="A1345" i="3" s="1"/>
  <c r="B1346" i="3"/>
  <c r="A1346" i="3" s="1"/>
  <c r="B1347" i="3"/>
  <c r="A1347" i="3" s="1"/>
  <c r="B1348" i="3"/>
  <c r="A1348" i="3" s="1"/>
  <c r="B1349" i="3"/>
  <c r="A1349" i="3" s="1"/>
  <c r="B1350" i="3"/>
  <c r="A1350" i="3" s="1"/>
  <c r="B1351" i="3"/>
  <c r="A1351" i="3" s="1"/>
  <c r="B1352" i="3"/>
  <c r="A1352" i="3" s="1"/>
  <c r="B1353" i="3"/>
  <c r="A1353" i="3" s="1"/>
  <c r="B1354" i="3"/>
  <c r="A1354" i="3" s="1"/>
  <c r="B1355" i="3"/>
  <c r="A1355" i="3" s="1"/>
  <c r="B1356" i="3"/>
  <c r="A1356" i="3" s="1"/>
  <c r="B1357" i="3"/>
  <c r="A1357" i="3" s="1"/>
  <c r="B1358" i="3"/>
  <c r="A1358" i="3" s="1"/>
  <c r="B1359" i="3"/>
  <c r="A1359" i="3" s="1"/>
  <c r="B1360" i="3"/>
  <c r="A1360" i="3" s="1"/>
  <c r="B1361" i="3"/>
  <c r="A1361" i="3" s="1"/>
  <c r="B1362" i="3"/>
  <c r="A1362" i="3" s="1"/>
  <c r="B1363" i="3"/>
  <c r="A1363" i="3" s="1"/>
  <c r="B1364" i="3"/>
  <c r="A1364" i="3" s="1"/>
  <c r="B1365" i="3"/>
  <c r="A1365" i="3" s="1"/>
  <c r="B1366" i="3"/>
  <c r="A1366" i="3" s="1"/>
  <c r="B1367" i="3"/>
  <c r="A1367" i="3" s="1"/>
  <c r="B1368" i="3"/>
  <c r="A1368" i="3" s="1"/>
  <c r="B1369" i="3"/>
  <c r="A1369" i="3" s="1"/>
  <c r="B1370" i="3"/>
  <c r="A1370" i="3" s="1"/>
  <c r="B1371" i="3"/>
  <c r="A1371" i="3" s="1"/>
  <c r="B1372" i="3"/>
  <c r="A1372" i="3" s="1"/>
  <c r="B1373" i="3"/>
  <c r="A1373" i="3" s="1"/>
  <c r="B1374" i="3"/>
  <c r="A1374" i="3" s="1"/>
  <c r="B1375" i="3"/>
  <c r="A1375" i="3" s="1"/>
  <c r="B1376" i="3"/>
  <c r="A1376" i="3" s="1"/>
  <c r="B1377" i="3"/>
  <c r="A1377" i="3" s="1"/>
  <c r="B1378" i="3"/>
  <c r="A1378" i="3" s="1"/>
  <c r="B1379" i="3"/>
  <c r="A1379" i="3" s="1"/>
  <c r="B1380" i="3"/>
  <c r="A1380" i="3" s="1"/>
  <c r="B1381" i="3"/>
  <c r="A1381" i="3" s="1"/>
  <c r="B1382" i="3"/>
  <c r="A1382" i="3" s="1"/>
  <c r="B1383" i="3"/>
  <c r="A1383" i="3" s="1"/>
  <c r="B1384" i="3"/>
  <c r="A1384" i="3" s="1"/>
  <c r="B1385" i="3"/>
  <c r="A1385" i="3" s="1"/>
  <c r="B1386" i="3"/>
  <c r="A1386" i="3" s="1"/>
  <c r="B1387" i="3"/>
  <c r="A1387" i="3" s="1"/>
  <c r="B1388" i="3"/>
  <c r="A1388" i="3" s="1"/>
  <c r="B1389" i="3"/>
  <c r="A1389" i="3" s="1"/>
  <c r="B1390" i="3"/>
  <c r="A1390" i="3" s="1"/>
  <c r="B1391" i="3"/>
  <c r="A1391" i="3" s="1"/>
  <c r="B1392" i="3"/>
  <c r="A1392" i="3" s="1"/>
  <c r="B1393" i="3"/>
  <c r="A1393" i="3" s="1"/>
  <c r="B1394" i="3"/>
  <c r="A1394" i="3" s="1"/>
  <c r="B1395" i="3"/>
  <c r="A1395" i="3" s="1"/>
  <c r="B1396" i="3"/>
  <c r="A1396" i="3" s="1"/>
  <c r="B1397" i="3"/>
  <c r="A1397" i="3" s="1"/>
  <c r="B1398" i="3"/>
  <c r="A1398" i="3" s="1"/>
  <c r="B1399" i="3"/>
  <c r="A1399" i="3" s="1"/>
  <c r="B1400" i="3"/>
  <c r="A1400" i="3" s="1"/>
  <c r="B1401" i="3"/>
  <c r="A1401" i="3" s="1"/>
  <c r="B1402" i="3"/>
  <c r="A1402" i="3" s="1"/>
  <c r="B1403" i="3"/>
  <c r="A1403" i="3" s="1"/>
  <c r="B1404" i="3"/>
  <c r="A1404" i="3" s="1"/>
  <c r="B1405" i="3"/>
  <c r="A1405" i="3" s="1"/>
  <c r="B1406" i="3"/>
  <c r="A1406" i="3" s="1"/>
  <c r="B1407" i="3"/>
  <c r="A1407" i="3" s="1"/>
  <c r="B1408" i="3"/>
  <c r="A1408" i="3" s="1"/>
  <c r="B1409" i="3"/>
  <c r="A1409" i="3" s="1"/>
  <c r="B1410" i="3"/>
  <c r="A1410" i="3" s="1"/>
  <c r="B1411" i="3"/>
  <c r="A1411" i="3" s="1"/>
  <c r="B1412" i="3"/>
  <c r="A1412" i="3" s="1"/>
  <c r="B1413" i="3"/>
  <c r="A1413" i="3" s="1"/>
  <c r="B1414" i="3"/>
  <c r="A1414" i="3" s="1"/>
  <c r="B1415" i="3"/>
  <c r="A1415" i="3" s="1"/>
  <c r="B1416" i="3"/>
  <c r="A1416" i="3" s="1"/>
  <c r="B1417" i="3"/>
  <c r="A1417" i="3" s="1"/>
  <c r="B1418" i="3"/>
  <c r="A1418" i="3" s="1"/>
  <c r="B1419" i="3"/>
  <c r="A1419" i="3" s="1"/>
  <c r="B1420" i="3"/>
  <c r="A1420" i="3" s="1"/>
  <c r="B1421" i="3"/>
  <c r="A1421" i="3" s="1"/>
  <c r="B1422" i="3"/>
  <c r="A1422" i="3" s="1"/>
  <c r="B1423" i="3"/>
  <c r="A1423" i="3" s="1"/>
  <c r="B1424" i="3"/>
  <c r="A1424" i="3" s="1"/>
  <c r="B1425" i="3"/>
  <c r="A1425" i="3" s="1"/>
  <c r="B1426" i="3"/>
  <c r="A1426" i="3" s="1"/>
  <c r="B1427" i="3"/>
  <c r="A1427" i="3" s="1"/>
  <c r="B1428" i="3"/>
  <c r="A1428" i="3" s="1"/>
  <c r="B1429" i="3"/>
  <c r="A1429" i="3" s="1"/>
  <c r="B1430" i="3"/>
  <c r="A1430" i="3" s="1"/>
  <c r="B1431" i="3"/>
  <c r="A1431" i="3" s="1"/>
  <c r="B1432" i="3"/>
  <c r="A1432" i="3" s="1"/>
  <c r="B1433" i="3"/>
  <c r="A1433" i="3" s="1"/>
  <c r="B1434" i="3"/>
  <c r="A1434" i="3" s="1"/>
  <c r="B1435" i="3"/>
  <c r="A1435" i="3" s="1"/>
  <c r="B1436" i="3"/>
  <c r="A1436" i="3" s="1"/>
  <c r="B1437" i="3"/>
  <c r="A1437" i="3" s="1"/>
  <c r="B1438" i="3"/>
  <c r="A1438" i="3" s="1"/>
  <c r="B1439" i="3"/>
  <c r="A1439" i="3" s="1"/>
  <c r="B1440" i="3"/>
  <c r="A1440" i="3" s="1"/>
  <c r="B1441" i="3"/>
  <c r="A1441" i="3" s="1"/>
  <c r="B1442" i="3"/>
  <c r="A1442" i="3" s="1"/>
  <c r="B1443" i="3"/>
  <c r="A1443" i="3" s="1"/>
  <c r="B1444" i="3"/>
  <c r="A1444" i="3" s="1"/>
  <c r="B1445" i="3"/>
  <c r="A1445" i="3" s="1"/>
  <c r="B1446" i="3"/>
  <c r="A1446" i="3" s="1"/>
  <c r="B1447" i="3"/>
  <c r="A1447" i="3" s="1"/>
  <c r="B1448" i="3"/>
  <c r="A1448" i="3" s="1"/>
  <c r="B1449" i="3"/>
  <c r="A1449" i="3" s="1"/>
  <c r="B1450" i="3"/>
  <c r="A1450" i="3" s="1"/>
  <c r="B1451" i="3"/>
  <c r="A1451" i="3" s="1"/>
  <c r="B1452" i="3"/>
  <c r="A1452" i="3" s="1"/>
  <c r="B1453" i="3"/>
  <c r="A1453" i="3" s="1"/>
  <c r="B1454" i="3"/>
  <c r="A1454" i="3" s="1"/>
  <c r="B1455" i="3"/>
  <c r="A1455" i="3" s="1"/>
  <c r="B1456" i="3"/>
  <c r="A1456" i="3" s="1"/>
  <c r="B1457" i="3"/>
  <c r="A1457" i="3" s="1"/>
  <c r="B1458" i="3"/>
  <c r="A1458" i="3" s="1"/>
  <c r="B1459" i="3"/>
  <c r="A1459" i="3" s="1"/>
  <c r="B1460" i="3"/>
  <c r="A1460" i="3" s="1"/>
  <c r="B1461" i="3"/>
  <c r="A1461" i="3" s="1"/>
  <c r="B1462" i="3"/>
  <c r="A1462" i="3" s="1"/>
  <c r="B1463" i="3"/>
  <c r="A1463" i="3" s="1"/>
  <c r="B1464" i="3"/>
  <c r="A1464" i="3" s="1"/>
  <c r="B1465" i="3"/>
  <c r="A1465" i="3" s="1"/>
  <c r="B1466" i="3"/>
  <c r="A1466" i="3" s="1"/>
  <c r="B1467" i="3"/>
  <c r="A1467" i="3" s="1"/>
  <c r="B1468" i="3"/>
  <c r="A1468" i="3" s="1"/>
  <c r="B1469" i="3"/>
  <c r="A1469" i="3" s="1"/>
  <c r="B1470" i="3"/>
  <c r="A1470" i="3" s="1"/>
  <c r="B1471" i="3"/>
  <c r="A1471" i="3" s="1"/>
  <c r="B1472" i="3"/>
  <c r="A1472" i="3" s="1"/>
  <c r="B1473" i="3"/>
  <c r="A1473" i="3" s="1"/>
  <c r="B1474" i="3"/>
  <c r="A1474" i="3" s="1"/>
  <c r="B1475" i="3"/>
  <c r="A1475" i="3" s="1"/>
  <c r="B1476" i="3"/>
  <c r="A1476" i="3" s="1"/>
  <c r="B1477" i="3"/>
  <c r="A1477" i="3" s="1"/>
  <c r="B1478" i="3"/>
  <c r="A1478" i="3" s="1"/>
  <c r="B1479" i="3"/>
  <c r="A1479" i="3" s="1"/>
  <c r="B1480" i="3"/>
  <c r="A1480" i="3" s="1"/>
  <c r="B1481" i="3"/>
  <c r="A1481" i="3" s="1"/>
  <c r="B1482" i="3"/>
  <c r="A1482" i="3" s="1"/>
  <c r="B1483" i="3"/>
  <c r="A1483" i="3" s="1"/>
  <c r="B1484" i="3"/>
  <c r="A1484" i="3" s="1"/>
  <c r="B1485" i="3"/>
  <c r="A1485" i="3" s="1"/>
  <c r="B1486" i="3"/>
  <c r="A1486" i="3" s="1"/>
  <c r="B1487" i="3"/>
  <c r="A1487" i="3" s="1"/>
  <c r="B1488" i="3"/>
  <c r="A1488" i="3" s="1"/>
  <c r="B1489" i="3"/>
  <c r="A1489" i="3" s="1"/>
  <c r="B1490" i="3"/>
  <c r="A1490" i="3" s="1"/>
  <c r="B1491" i="3"/>
  <c r="A1491" i="3" s="1"/>
  <c r="B1492" i="3"/>
  <c r="A1492" i="3" s="1"/>
  <c r="B1493" i="3"/>
  <c r="A1493" i="3" s="1"/>
  <c r="B1494" i="3"/>
  <c r="A1494" i="3" s="1"/>
  <c r="B1495" i="3"/>
  <c r="A1495" i="3" s="1"/>
  <c r="B1496" i="3"/>
  <c r="A1496" i="3" s="1"/>
  <c r="B1497" i="3"/>
  <c r="A1497" i="3" s="1"/>
  <c r="B1498" i="3"/>
  <c r="A1498" i="3" s="1"/>
  <c r="B1499" i="3"/>
  <c r="A1499" i="3" s="1"/>
  <c r="B1500" i="3"/>
  <c r="A1500" i="3" s="1"/>
  <c r="B1501" i="3"/>
  <c r="A1501" i="3" s="1"/>
  <c r="B1502" i="3"/>
  <c r="A1502" i="3" s="1"/>
  <c r="B1503" i="3"/>
  <c r="A1503" i="3" s="1"/>
  <c r="B1504" i="3"/>
  <c r="A1504" i="3" s="1"/>
  <c r="B1505" i="3"/>
  <c r="A1505" i="3" s="1"/>
  <c r="B1506" i="3"/>
  <c r="A1506" i="3" s="1"/>
  <c r="B1507" i="3"/>
  <c r="A1507" i="3" s="1"/>
  <c r="B1508" i="3"/>
  <c r="A1508" i="3" s="1"/>
  <c r="B1509" i="3"/>
  <c r="A1509" i="3" s="1"/>
  <c r="B1510" i="3"/>
  <c r="A1510" i="3" s="1"/>
  <c r="B1511" i="3"/>
  <c r="A1511" i="3" s="1"/>
  <c r="B1512" i="3"/>
  <c r="A1512" i="3" s="1"/>
  <c r="B1513" i="3"/>
  <c r="A1513" i="3" s="1"/>
  <c r="B1514" i="3"/>
  <c r="A1514" i="3" s="1"/>
  <c r="B1515" i="3"/>
  <c r="A1515" i="3" s="1"/>
  <c r="B1516" i="3"/>
  <c r="A1516" i="3" s="1"/>
  <c r="B1517" i="3"/>
  <c r="A1517" i="3" s="1"/>
  <c r="B1518" i="3"/>
  <c r="A1518" i="3" s="1"/>
  <c r="B1519" i="3"/>
  <c r="A1519" i="3" s="1"/>
  <c r="B1520" i="3"/>
  <c r="A1520" i="3" s="1"/>
  <c r="B1521" i="3"/>
  <c r="A1521" i="3" s="1"/>
  <c r="B1522" i="3"/>
  <c r="A1522" i="3" s="1"/>
  <c r="B1523" i="3"/>
  <c r="A1523" i="3" s="1"/>
  <c r="B1524" i="3"/>
  <c r="A1524" i="3" s="1"/>
  <c r="B1525" i="3"/>
  <c r="A1525" i="3" s="1"/>
  <c r="B1526" i="3"/>
  <c r="A1526" i="3" s="1"/>
  <c r="B1527" i="3"/>
  <c r="A1527" i="3" s="1"/>
  <c r="B1528" i="3"/>
  <c r="A1528" i="3" s="1"/>
  <c r="B1529" i="3"/>
  <c r="A1529" i="3" s="1"/>
  <c r="B1530" i="3"/>
  <c r="A1530" i="3" s="1"/>
  <c r="B1531" i="3"/>
  <c r="A1531" i="3" s="1"/>
  <c r="B1532" i="3"/>
  <c r="A1532" i="3" s="1"/>
  <c r="B1533" i="3"/>
  <c r="A1533" i="3" s="1"/>
  <c r="B1534" i="3"/>
  <c r="A1534" i="3" s="1"/>
  <c r="B1535" i="3"/>
  <c r="A1535" i="3" s="1"/>
  <c r="B1536" i="3"/>
  <c r="A1536" i="3" s="1"/>
  <c r="B1537" i="3"/>
  <c r="A1537" i="3" s="1"/>
  <c r="B1538" i="3"/>
  <c r="A1538" i="3" s="1"/>
  <c r="B1539" i="3"/>
  <c r="A1539" i="3" s="1"/>
  <c r="B1540" i="3"/>
  <c r="A1540" i="3" s="1"/>
  <c r="B1541" i="3"/>
  <c r="A1541" i="3" s="1"/>
  <c r="B1542" i="3"/>
  <c r="A1542" i="3" s="1"/>
  <c r="B1543" i="3"/>
  <c r="A1543" i="3" s="1"/>
  <c r="B1544" i="3"/>
  <c r="A1544" i="3" s="1"/>
  <c r="B1545" i="3"/>
  <c r="A1545" i="3" s="1"/>
  <c r="B1546" i="3"/>
  <c r="A1546" i="3" s="1"/>
  <c r="B1547" i="3"/>
  <c r="A1547" i="3" s="1"/>
  <c r="B1548" i="3"/>
  <c r="A1548" i="3" s="1"/>
  <c r="B1549" i="3"/>
  <c r="A1549" i="3" s="1"/>
  <c r="B1550" i="3"/>
  <c r="A1550" i="3" s="1"/>
  <c r="B1551" i="3"/>
  <c r="A1551" i="3" s="1"/>
  <c r="B1552" i="3"/>
  <c r="A1552" i="3" s="1"/>
  <c r="B1553" i="3"/>
  <c r="A1553" i="3" s="1"/>
  <c r="B1554" i="3"/>
  <c r="A1554" i="3" s="1"/>
  <c r="B1555" i="3"/>
  <c r="A1555" i="3" s="1"/>
  <c r="B1556" i="3"/>
  <c r="A1556" i="3" s="1"/>
  <c r="B1557" i="3"/>
  <c r="A1557" i="3" s="1"/>
  <c r="B1558" i="3"/>
  <c r="A1558" i="3" s="1"/>
  <c r="B1559" i="3"/>
  <c r="A1559" i="3" s="1"/>
  <c r="B1560" i="3"/>
  <c r="A1560" i="3" s="1"/>
  <c r="B1561" i="3"/>
  <c r="A1561" i="3" s="1"/>
  <c r="B1562" i="3"/>
  <c r="A1562" i="3" s="1"/>
  <c r="B1563" i="3"/>
  <c r="A1563" i="3" s="1"/>
  <c r="B1564" i="3"/>
  <c r="A1564" i="3" s="1"/>
  <c r="B1565" i="3"/>
  <c r="A1565" i="3" s="1"/>
  <c r="B1566" i="3"/>
  <c r="A1566" i="3" s="1"/>
  <c r="B1567" i="3"/>
  <c r="A1567" i="3" s="1"/>
  <c r="B1568" i="3"/>
  <c r="A1568" i="3" s="1"/>
  <c r="B1569" i="3"/>
  <c r="A1569" i="3" s="1"/>
  <c r="B1570" i="3"/>
  <c r="A1570" i="3" s="1"/>
  <c r="B1571" i="3"/>
  <c r="A1571" i="3" s="1"/>
  <c r="B1572" i="3"/>
  <c r="A1572" i="3" s="1"/>
  <c r="B1573" i="3"/>
  <c r="A1573" i="3" s="1"/>
  <c r="B1574" i="3"/>
  <c r="A1574" i="3" s="1"/>
  <c r="B1575" i="3"/>
  <c r="A1575" i="3" s="1"/>
  <c r="B1576" i="3"/>
  <c r="A1576" i="3" s="1"/>
  <c r="B1577" i="3"/>
  <c r="A1577" i="3" s="1"/>
  <c r="B1578" i="3"/>
  <c r="A1578" i="3" s="1"/>
  <c r="B1579" i="3"/>
  <c r="A1579" i="3" s="1"/>
  <c r="B1580" i="3"/>
  <c r="A1580" i="3" s="1"/>
  <c r="B1581" i="3"/>
  <c r="A1581" i="3" s="1"/>
  <c r="B1582" i="3"/>
  <c r="A1582" i="3" s="1"/>
  <c r="B1583" i="3"/>
  <c r="A1583" i="3" s="1"/>
  <c r="B1584" i="3"/>
  <c r="A1584" i="3" s="1"/>
  <c r="B1585" i="3"/>
  <c r="A1585" i="3" s="1"/>
  <c r="B1586" i="3"/>
  <c r="A1586" i="3" s="1"/>
  <c r="B1587" i="3"/>
  <c r="A1587" i="3" s="1"/>
  <c r="B1588" i="3"/>
  <c r="A1588" i="3" s="1"/>
  <c r="B1589" i="3"/>
  <c r="A1589" i="3" s="1"/>
  <c r="B1590" i="3"/>
  <c r="A1590" i="3" s="1"/>
  <c r="B1591" i="3"/>
  <c r="A1591" i="3" s="1"/>
  <c r="B1592" i="3"/>
  <c r="A1592" i="3" s="1"/>
  <c r="B1593" i="3"/>
  <c r="A1593" i="3" s="1"/>
  <c r="B1594" i="3"/>
  <c r="A1594" i="3" s="1"/>
  <c r="B1595" i="3"/>
  <c r="A1595" i="3" s="1"/>
  <c r="B1596" i="3"/>
  <c r="A1596" i="3" s="1"/>
  <c r="B1597" i="3"/>
  <c r="A1597" i="3" s="1"/>
  <c r="B1598" i="3"/>
  <c r="A1598" i="3" s="1"/>
  <c r="B1599" i="3"/>
  <c r="A1599" i="3" s="1"/>
  <c r="B1600" i="3"/>
  <c r="A1600" i="3" s="1"/>
  <c r="B1601" i="3"/>
  <c r="A1601" i="3" s="1"/>
  <c r="B1602" i="3"/>
  <c r="A1602" i="3" s="1"/>
  <c r="B1603" i="3"/>
  <c r="A1603" i="3" s="1"/>
  <c r="B1604" i="3"/>
  <c r="A1604" i="3" s="1"/>
  <c r="B1605" i="3"/>
  <c r="A1605" i="3" s="1"/>
  <c r="B1606" i="3"/>
  <c r="A1606" i="3" s="1"/>
  <c r="B1607" i="3"/>
  <c r="A1607" i="3" s="1"/>
  <c r="B1608" i="3"/>
  <c r="A1608" i="3" s="1"/>
  <c r="B1609" i="3"/>
  <c r="A1609" i="3" s="1"/>
  <c r="B1610" i="3"/>
  <c r="A1610" i="3" s="1"/>
  <c r="B1611" i="3"/>
  <c r="A1611" i="3" s="1"/>
  <c r="B1612" i="3"/>
  <c r="A1612" i="3" s="1"/>
  <c r="B1613" i="3"/>
  <c r="A1613" i="3" s="1"/>
  <c r="B1614" i="3"/>
  <c r="A1614" i="3" s="1"/>
  <c r="B1615" i="3"/>
  <c r="A1615" i="3" s="1"/>
  <c r="B1616" i="3"/>
  <c r="A1616" i="3" s="1"/>
  <c r="B1617" i="3"/>
  <c r="A1617" i="3" s="1"/>
  <c r="B1618" i="3"/>
  <c r="A1618" i="3" s="1"/>
  <c r="B1619" i="3"/>
  <c r="A1619" i="3" s="1"/>
  <c r="B1620" i="3"/>
  <c r="A1620" i="3" s="1"/>
  <c r="B1621" i="3"/>
  <c r="A1621" i="3" s="1"/>
  <c r="B1622" i="3"/>
  <c r="A1622" i="3" s="1"/>
  <c r="B1623" i="3"/>
  <c r="A1623" i="3" s="1"/>
  <c r="B1624" i="3"/>
  <c r="A1624" i="3" s="1"/>
  <c r="B1625" i="3"/>
  <c r="A1625" i="3" s="1"/>
  <c r="B1626" i="3"/>
  <c r="A1626" i="3" s="1"/>
  <c r="B1627" i="3"/>
  <c r="A1627" i="3" s="1"/>
  <c r="B1628" i="3"/>
  <c r="A1628" i="3" s="1"/>
  <c r="B1629" i="3"/>
  <c r="A1629" i="3" s="1"/>
  <c r="B1630" i="3"/>
  <c r="A1630" i="3" s="1"/>
  <c r="B1631" i="3"/>
  <c r="A1631" i="3" s="1"/>
  <c r="B1632" i="3"/>
  <c r="A1632" i="3" s="1"/>
  <c r="B1633" i="3"/>
  <c r="A1633" i="3" s="1"/>
  <c r="B1634" i="3"/>
  <c r="A1634" i="3" s="1"/>
  <c r="B1635" i="3"/>
  <c r="A1635" i="3" s="1"/>
  <c r="B1636" i="3"/>
  <c r="A1636" i="3" s="1"/>
  <c r="B1637" i="3"/>
  <c r="A1637" i="3" s="1"/>
  <c r="B1638" i="3"/>
  <c r="A1638" i="3" s="1"/>
  <c r="B1639" i="3"/>
  <c r="A1639" i="3" s="1"/>
  <c r="B1640" i="3"/>
  <c r="A1640" i="3" s="1"/>
  <c r="B1641" i="3"/>
  <c r="A1641" i="3" s="1"/>
  <c r="B1642" i="3"/>
  <c r="A1642" i="3" s="1"/>
  <c r="B1643" i="3"/>
  <c r="A1643" i="3" s="1"/>
  <c r="B1644" i="3"/>
  <c r="A1644" i="3" s="1"/>
  <c r="B1645" i="3"/>
  <c r="A1645" i="3" s="1"/>
  <c r="B1646" i="3"/>
  <c r="A1646" i="3" s="1"/>
  <c r="B1647" i="3"/>
  <c r="A1647" i="3" s="1"/>
  <c r="B1648" i="3"/>
  <c r="A1648" i="3" s="1"/>
  <c r="B1649" i="3"/>
  <c r="A1649" i="3" s="1"/>
  <c r="B1650" i="3"/>
  <c r="A1650" i="3" s="1"/>
  <c r="B1651" i="3"/>
  <c r="A1651" i="3" s="1"/>
  <c r="B1652" i="3"/>
  <c r="A1652" i="3" s="1"/>
  <c r="B1653" i="3"/>
  <c r="A1653" i="3" s="1"/>
  <c r="B1654" i="3"/>
  <c r="A1654" i="3" s="1"/>
  <c r="B1655" i="3"/>
  <c r="A1655" i="3" s="1"/>
  <c r="B1656" i="3"/>
  <c r="A1656" i="3" s="1"/>
  <c r="B1657" i="3"/>
  <c r="A1657" i="3" s="1"/>
  <c r="B1658" i="3"/>
  <c r="A1658" i="3" s="1"/>
  <c r="B1659" i="3"/>
  <c r="A1659" i="3" s="1"/>
  <c r="B1660" i="3"/>
  <c r="A1660" i="3" s="1"/>
  <c r="B1661" i="3"/>
  <c r="A1661" i="3" s="1"/>
  <c r="B1662" i="3"/>
  <c r="A1662" i="3" s="1"/>
  <c r="B1663" i="3"/>
  <c r="A1663" i="3" s="1"/>
  <c r="B1664" i="3"/>
  <c r="A1664" i="3" s="1"/>
  <c r="B1665" i="3"/>
  <c r="A1665" i="3" s="1"/>
  <c r="B1666" i="3"/>
  <c r="A1666" i="3" s="1"/>
  <c r="B1667" i="3"/>
  <c r="A1667" i="3" s="1"/>
  <c r="B1668" i="3"/>
  <c r="A1668" i="3" s="1"/>
  <c r="B1669" i="3"/>
  <c r="A1669" i="3" s="1"/>
  <c r="B1670" i="3"/>
  <c r="A1670" i="3" s="1"/>
  <c r="B1671" i="3"/>
  <c r="A1671" i="3" s="1"/>
  <c r="B1672" i="3"/>
  <c r="A1672" i="3" s="1"/>
  <c r="B1673" i="3"/>
  <c r="A1673" i="3" s="1"/>
  <c r="B1674" i="3"/>
  <c r="A1674" i="3" s="1"/>
  <c r="B1675" i="3"/>
  <c r="A1675" i="3" s="1"/>
  <c r="B1676" i="3"/>
  <c r="A1676" i="3" s="1"/>
  <c r="B1677" i="3"/>
  <c r="A1677" i="3" s="1"/>
  <c r="B1678" i="3"/>
  <c r="A1678" i="3" s="1"/>
  <c r="B1679" i="3"/>
  <c r="A1679" i="3" s="1"/>
  <c r="B1680" i="3"/>
  <c r="A1680" i="3" s="1"/>
  <c r="B1681" i="3"/>
  <c r="A1681" i="3" s="1"/>
  <c r="B1682" i="3"/>
  <c r="A1682" i="3" s="1"/>
  <c r="B1683" i="3"/>
  <c r="A1683" i="3" s="1"/>
  <c r="B1684" i="3"/>
  <c r="A1684" i="3" s="1"/>
  <c r="B1685" i="3"/>
  <c r="A1685" i="3" s="1"/>
  <c r="B1686" i="3"/>
  <c r="A1686" i="3" s="1"/>
  <c r="B1687" i="3"/>
  <c r="A1687" i="3" s="1"/>
  <c r="B1688" i="3"/>
  <c r="A1688" i="3" s="1"/>
  <c r="B1689" i="3"/>
  <c r="A1689" i="3" s="1"/>
  <c r="B1690" i="3"/>
  <c r="A1690" i="3" s="1"/>
  <c r="B1691" i="3"/>
  <c r="A1691" i="3" s="1"/>
  <c r="B1692" i="3"/>
  <c r="A1692" i="3" s="1"/>
  <c r="B1693" i="3"/>
  <c r="A1693" i="3" s="1"/>
  <c r="B1694" i="3"/>
  <c r="A1694" i="3" s="1"/>
  <c r="B1695" i="3"/>
  <c r="A1695" i="3" s="1"/>
  <c r="B1696" i="3"/>
  <c r="A1696" i="3" s="1"/>
  <c r="B1697" i="3"/>
  <c r="A1697" i="3" s="1"/>
  <c r="B1698" i="3"/>
  <c r="A1698" i="3" s="1"/>
  <c r="B1699" i="3"/>
  <c r="A1699" i="3" s="1"/>
  <c r="B1700" i="3"/>
  <c r="A1700" i="3" s="1"/>
  <c r="B1701" i="3"/>
  <c r="A1701" i="3" s="1"/>
  <c r="B1702" i="3"/>
  <c r="A1702" i="3" s="1"/>
  <c r="B1703" i="3"/>
  <c r="A1703" i="3" s="1"/>
  <c r="B1704" i="3"/>
  <c r="A1704" i="3" s="1"/>
  <c r="B1705" i="3"/>
  <c r="A1705" i="3" s="1"/>
  <c r="B1706" i="3"/>
  <c r="A1706" i="3" s="1"/>
  <c r="B1707" i="3"/>
  <c r="A1707" i="3" s="1"/>
  <c r="B1708" i="3"/>
  <c r="A1708" i="3" s="1"/>
  <c r="B1709" i="3"/>
  <c r="A1709" i="3" s="1"/>
  <c r="B1710" i="3"/>
  <c r="A1710" i="3" s="1"/>
  <c r="B1711" i="3"/>
  <c r="A1711" i="3" s="1"/>
  <c r="B1712" i="3"/>
  <c r="A1712" i="3" s="1"/>
  <c r="B1713" i="3"/>
  <c r="A1713" i="3" s="1"/>
  <c r="B1714" i="3"/>
  <c r="A1714" i="3" s="1"/>
  <c r="B1715" i="3"/>
  <c r="A1715" i="3" s="1"/>
  <c r="B1716" i="3"/>
  <c r="A1716" i="3" s="1"/>
  <c r="B1717" i="3"/>
  <c r="A1717" i="3" s="1"/>
  <c r="B1718" i="3"/>
  <c r="A1718" i="3" s="1"/>
  <c r="B1719" i="3"/>
  <c r="A1719" i="3" s="1"/>
  <c r="B1720" i="3"/>
  <c r="A1720" i="3" s="1"/>
  <c r="B1721" i="3"/>
  <c r="A1721" i="3" s="1"/>
  <c r="B1722" i="3"/>
  <c r="A1722" i="3" s="1"/>
  <c r="B1723" i="3"/>
  <c r="A1723" i="3" s="1"/>
  <c r="B1724" i="3"/>
  <c r="A1724" i="3" s="1"/>
  <c r="B1725" i="3"/>
  <c r="A1725" i="3" s="1"/>
  <c r="B1726" i="3"/>
  <c r="A1726" i="3" s="1"/>
  <c r="B1727" i="3"/>
  <c r="A1727" i="3" s="1"/>
  <c r="B1728" i="3"/>
  <c r="A1728" i="3" s="1"/>
  <c r="B1729" i="3"/>
  <c r="A1729" i="3" s="1"/>
  <c r="B1730" i="3"/>
  <c r="A1730" i="3" s="1"/>
  <c r="B1731" i="3"/>
  <c r="A1731" i="3" s="1"/>
  <c r="B1732" i="3"/>
  <c r="A1732" i="3" s="1"/>
  <c r="B1733" i="3"/>
  <c r="A1733" i="3" s="1"/>
  <c r="B1734" i="3"/>
  <c r="A1734" i="3" s="1"/>
  <c r="B1735" i="3"/>
  <c r="A1735" i="3" s="1"/>
  <c r="B1736" i="3"/>
  <c r="A1736" i="3" s="1"/>
  <c r="B1737" i="3"/>
  <c r="A1737" i="3" s="1"/>
  <c r="B1738" i="3"/>
  <c r="A1738" i="3" s="1"/>
  <c r="B1739" i="3"/>
  <c r="A1739" i="3" s="1"/>
  <c r="B1740" i="3"/>
  <c r="A1740" i="3" s="1"/>
  <c r="B1741" i="3"/>
  <c r="A1741" i="3" s="1"/>
  <c r="B1742" i="3"/>
  <c r="A1742" i="3" s="1"/>
  <c r="B1743" i="3"/>
  <c r="A1743" i="3" s="1"/>
  <c r="B1744" i="3"/>
  <c r="A1744" i="3" s="1"/>
  <c r="B1745" i="3"/>
  <c r="A1745" i="3" s="1"/>
  <c r="B1746" i="3"/>
  <c r="A1746" i="3" s="1"/>
  <c r="B1747" i="3"/>
  <c r="A1747" i="3" s="1"/>
  <c r="B1748" i="3"/>
  <c r="A1748" i="3" s="1"/>
  <c r="B1749" i="3"/>
  <c r="A1749" i="3" s="1"/>
  <c r="B1750" i="3"/>
  <c r="A1750" i="3" s="1"/>
  <c r="B1751" i="3"/>
  <c r="A1751" i="3" s="1"/>
  <c r="B1752" i="3"/>
  <c r="A1752" i="3" s="1"/>
  <c r="B1753" i="3"/>
  <c r="A1753" i="3" s="1"/>
  <c r="B1754" i="3"/>
  <c r="A1754" i="3" s="1"/>
  <c r="B1755" i="3"/>
  <c r="A1755" i="3" s="1"/>
  <c r="B1756" i="3"/>
  <c r="A1756" i="3" s="1"/>
  <c r="B1757" i="3"/>
  <c r="A1757" i="3" s="1"/>
  <c r="B1758" i="3"/>
  <c r="A1758" i="3" s="1"/>
  <c r="B1759" i="3"/>
  <c r="A1759" i="3" s="1"/>
  <c r="B1760" i="3"/>
  <c r="A1760" i="3" s="1"/>
  <c r="B1761" i="3"/>
  <c r="A1761" i="3" s="1"/>
  <c r="B1762" i="3"/>
  <c r="A1762" i="3" s="1"/>
  <c r="B1763" i="3"/>
  <c r="A1763" i="3" s="1"/>
  <c r="B1764" i="3"/>
  <c r="A1764" i="3" s="1"/>
  <c r="B1765" i="3"/>
  <c r="A1765" i="3" s="1"/>
  <c r="B1766" i="3"/>
  <c r="A1766" i="3" s="1"/>
  <c r="B1767" i="3"/>
  <c r="A1767" i="3" s="1"/>
  <c r="B1768" i="3"/>
  <c r="A1768" i="3" s="1"/>
  <c r="B1769" i="3"/>
  <c r="A1769" i="3" s="1"/>
  <c r="B1770" i="3"/>
  <c r="A1770" i="3" s="1"/>
  <c r="B1771" i="3"/>
  <c r="A1771" i="3" s="1"/>
  <c r="B1772" i="3"/>
  <c r="A1772" i="3" s="1"/>
  <c r="B1773" i="3"/>
  <c r="A1773" i="3" s="1"/>
  <c r="B1774" i="3"/>
  <c r="A1774" i="3" s="1"/>
  <c r="B1775" i="3"/>
  <c r="A1775" i="3" s="1"/>
  <c r="B1776" i="3"/>
  <c r="A1776" i="3" s="1"/>
  <c r="B1777" i="3"/>
  <c r="A1777" i="3" s="1"/>
  <c r="B1778" i="3"/>
  <c r="A1778" i="3" s="1"/>
  <c r="B1779" i="3"/>
  <c r="A1779" i="3" s="1"/>
  <c r="B1780" i="3"/>
  <c r="A1780" i="3" s="1"/>
  <c r="B1781" i="3"/>
  <c r="A1781" i="3" s="1"/>
  <c r="B1782" i="3"/>
  <c r="A1782" i="3" s="1"/>
  <c r="B1783" i="3"/>
  <c r="A1783" i="3" s="1"/>
  <c r="B1784" i="3"/>
  <c r="A1784" i="3" s="1"/>
  <c r="B1785" i="3"/>
  <c r="A1785" i="3" s="1"/>
  <c r="B1786" i="3"/>
  <c r="A1786" i="3" s="1"/>
  <c r="B1787" i="3"/>
  <c r="A1787" i="3" s="1"/>
  <c r="B1788" i="3"/>
  <c r="A1788" i="3" s="1"/>
  <c r="B1789" i="3"/>
  <c r="A1789" i="3" s="1"/>
  <c r="B1790" i="3"/>
  <c r="A1790" i="3" s="1"/>
  <c r="B1791" i="3"/>
  <c r="A1791" i="3" s="1"/>
  <c r="B1792" i="3"/>
  <c r="A1792" i="3" s="1"/>
  <c r="B1793" i="3"/>
  <c r="A1793" i="3" s="1"/>
  <c r="B1794" i="3"/>
  <c r="A1794" i="3" s="1"/>
  <c r="B1795" i="3"/>
  <c r="A1795" i="3" s="1"/>
  <c r="B1796" i="3"/>
  <c r="A1796" i="3" s="1"/>
  <c r="B1797" i="3"/>
  <c r="A1797" i="3" s="1"/>
  <c r="B1798" i="3"/>
  <c r="A1798" i="3" s="1"/>
  <c r="B1799" i="3"/>
  <c r="A1799" i="3" s="1"/>
  <c r="B1800" i="3"/>
  <c r="A1800" i="3" s="1"/>
  <c r="B1801" i="3"/>
  <c r="A1801" i="3" s="1"/>
  <c r="B1802" i="3"/>
  <c r="A1802" i="3" s="1"/>
  <c r="B1803" i="3"/>
  <c r="A1803" i="3" s="1"/>
  <c r="B1804" i="3"/>
  <c r="A1804" i="3" s="1"/>
  <c r="B1805" i="3"/>
  <c r="A1805" i="3" s="1"/>
  <c r="B1806" i="3"/>
  <c r="A1806" i="3" s="1"/>
  <c r="B1807" i="3"/>
  <c r="A1807" i="3" s="1"/>
  <c r="B1808" i="3"/>
  <c r="A1808" i="3" s="1"/>
  <c r="B1809" i="3"/>
  <c r="A1809" i="3" s="1"/>
  <c r="B1810" i="3"/>
  <c r="A1810" i="3" s="1"/>
  <c r="B1811" i="3"/>
  <c r="A1811" i="3" s="1"/>
  <c r="B1812" i="3"/>
  <c r="A1812" i="3" s="1"/>
  <c r="B1813" i="3"/>
  <c r="A1813" i="3" s="1"/>
  <c r="B1814" i="3"/>
  <c r="A1814" i="3" s="1"/>
  <c r="B1815" i="3"/>
  <c r="A1815" i="3" s="1"/>
  <c r="B1816" i="3"/>
  <c r="A1816" i="3" s="1"/>
  <c r="B1817" i="3"/>
  <c r="A1817" i="3" s="1"/>
  <c r="B1818" i="3"/>
  <c r="A1818" i="3" s="1"/>
  <c r="B1819" i="3"/>
  <c r="A1819" i="3" s="1"/>
  <c r="B1820" i="3"/>
  <c r="A1820" i="3" s="1"/>
  <c r="B1821" i="3"/>
  <c r="A1821" i="3" s="1"/>
  <c r="B1822" i="3"/>
  <c r="A1822" i="3" s="1"/>
  <c r="B1823" i="3"/>
  <c r="A1823" i="3" s="1"/>
  <c r="B1824" i="3"/>
  <c r="A1824" i="3" s="1"/>
  <c r="B1825" i="3"/>
  <c r="A1825" i="3" s="1"/>
  <c r="B1826" i="3"/>
  <c r="A1826" i="3" s="1"/>
  <c r="B1827" i="3"/>
  <c r="A1827" i="3" s="1"/>
  <c r="B1828" i="3"/>
  <c r="A1828" i="3" s="1"/>
  <c r="B1829" i="3"/>
  <c r="A1829" i="3" s="1"/>
  <c r="B1830" i="3"/>
  <c r="A1830" i="3" s="1"/>
  <c r="B1831" i="3"/>
  <c r="A1831" i="3" s="1"/>
  <c r="B1832" i="3"/>
  <c r="A1832" i="3" s="1"/>
  <c r="B1833" i="3"/>
  <c r="A1833" i="3" s="1"/>
  <c r="B1834" i="3"/>
  <c r="A1834" i="3" s="1"/>
  <c r="B1835" i="3"/>
  <c r="A1835" i="3" s="1"/>
  <c r="B1836" i="3"/>
  <c r="A1836" i="3" s="1"/>
  <c r="B1837" i="3"/>
  <c r="A1837" i="3" s="1"/>
  <c r="B1838" i="3"/>
  <c r="A1838" i="3" s="1"/>
  <c r="B1839" i="3"/>
  <c r="A1839" i="3" s="1"/>
  <c r="B1840" i="3"/>
  <c r="A1840" i="3" s="1"/>
  <c r="B1841" i="3"/>
  <c r="A1841" i="3" s="1"/>
  <c r="B1842" i="3"/>
  <c r="A1842" i="3" s="1"/>
  <c r="B1843" i="3"/>
  <c r="A1843" i="3" s="1"/>
  <c r="B1844" i="3"/>
  <c r="A1844" i="3" s="1"/>
  <c r="B1845" i="3"/>
  <c r="A1845" i="3" s="1"/>
  <c r="B1846" i="3"/>
  <c r="A1846" i="3" s="1"/>
  <c r="B1847" i="3"/>
  <c r="A1847" i="3" s="1"/>
  <c r="B1848" i="3"/>
  <c r="A1848" i="3" s="1"/>
  <c r="B1849" i="3"/>
  <c r="A1849" i="3" s="1"/>
  <c r="B1850" i="3"/>
  <c r="A1850" i="3" s="1"/>
  <c r="B1851" i="3"/>
  <c r="A1851" i="3" s="1"/>
  <c r="B1852" i="3"/>
  <c r="A1852" i="3" s="1"/>
  <c r="B1853" i="3"/>
  <c r="A1853" i="3" s="1"/>
  <c r="B1854" i="3"/>
  <c r="A1854" i="3" s="1"/>
  <c r="B1855" i="3"/>
  <c r="A1855" i="3" s="1"/>
  <c r="B1856" i="3"/>
  <c r="A1856" i="3" s="1"/>
  <c r="B1857" i="3"/>
  <c r="A1857" i="3" s="1"/>
  <c r="B1858" i="3"/>
  <c r="A1858" i="3" s="1"/>
  <c r="B1859" i="3"/>
  <c r="A1859" i="3" s="1"/>
  <c r="B1860" i="3"/>
  <c r="A1860" i="3" s="1"/>
  <c r="B1861" i="3"/>
  <c r="A1861" i="3" s="1"/>
  <c r="B1862" i="3"/>
  <c r="A1862" i="3" s="1"/>
  <c r="B1863" i="3"/>
  <c r="A1863" i="3" s="1"/>
  <c r="B1864" i="3"/>
  <c r="A1864" i="3" s="1"/>
  <c r="B1865" i="3"/>
  <c r="A1865" i="3" s="1"/>
  <c r="B1866" i="3"/>
  <c r="A1866" i="3" s="1"/>
  <c r="B1867" i="3"/>
  <c r="A1867" i="3" s="1"/>
  <c r="B1868" i="3"/>
  <c r="A1868" i="3" s="1"/>
  <c r="B1869" i="3"/>
  <c r="A1869" i="3" s="1"/>
  <c r="B1870" i="3"/>
  <c r="A1870" i="3" s="1"/>
  <c r="B1871" i="3"/>
  <c r="A1871" i="3" s="1"/>
  <c r="B1872" i="3"/>
  <c r="A1872" i="3" s="1"/>
  <c r="B1873" i="3"/>
  <c r="A1873" i="3" s="1"/>
  <c r="B1874" i="3"/>
  <c r="A1874" i="3" s="1"/>
  <c r="B1875" i="3"/>
  <c r="A1875" i="3" s="1"/>
  <c r="B1876" i="3"/>
  <c r="A1876" i="3" s="1"/>
  <c r="B1877" i="3"/>
  <c r="A1877" i="3" s="1"/>
  <c r="B1878" i="3"/>
  <c r="A1878" i="3" s="1"/>
  <c r="B1879" i="3"/>
  <c r="A1879" i="3" s="1"/>
  <c r="B1880" i="3"/>
  <c r="A1880" i="3" s="1"/>
  <c r="B1881" i="3"/>
  <c r="A1881" i="3" s="1"/>
  <c r="B1882" i="3"/>
  <c r="A1882" i="3" s="1"/>
  <c r="B1883" i="3"/>
  <c r="A1883" i="3" s="1"/>
  <c r="B1884" i="3"/>
  <c r="A1884" i="3" s="1"/>
  <c r="B1885" i="3"/>
  <c r="A1885" i="3" s="1"/>
  <c r="B1886" i="3"/>
  <c r="A1886" i="3" s="1"/>
  <c r="B1887" i="3"/>
  <c r="A1887" i="3" s="1"/>
  <c r="B1888" i="3"/>
  <c r="A1888" i="3" s="1"/>
  <c r="B1889" i="3"/>
  <c r="A1889" i="3" s="1"/>
  <c r="B1890" i="3"/>
  <c r="A1890" i="3" s="1"/>
  <c r="B1891" i="3"/>
  <c r="A1891" i="3" s="1"/>
  <c r="B1892" i="3"/>
  <c r="A1892" i="3" s="1"/>
  <c r="B1893" i="3"/>
  <c r="A1893" i="3" s="1"/>
  <c r="B1894" i="3"/>
  <c r="A1894" i="3" s="1"/>
  <c r="B1895" i="3"/>
  <c r="A1895" i="3" s="1"/>
  <c r="B1896" i="3"/>
  <c r="A1896" i="3" s="1"/>
  <c r="B1897" i="3"/>
  <c r="A1897" i="3" s="1"/>
  <c r="B1898" i="3"/>
  <c r="A1898" i="3" s="1"/>
  <c r="B1899" i="3"/>
  <c r="A1899" i="3" s="1"/>
  <c r="B1900" i="3"/>
  <c r="A1900" i="3" s="1"/>
  <c r="B1901" i="3"/>
  <c r="A1901" i="3" s="1"/>
  <c r="B1902" i="3"/>
  <c r="A1902" i="3" s="1"/>
  <c r="B1903" i="3"/>
  <c r="A1903" i="3" s="1"/>
  <c r="B1904" i="3"/>
  <c r="A1904" i="3" s="1"/>
  <c r="B1905" i="3"/>
  <c r="A1905" i="3" s="1"/>
  <c r="B1906" i="3"/>
  <c r="A1906" i="3" s="1"/>
  <c r="B1907" i="3"/>
  <c r="A1907" i="3" s="1"/>
  <c r="B1908" i="3"/>
  <c r="A1908" i="3" s="1"/>
  <c r="B1909" i="3"/>
  <c r="A1909" i="3" s="1"/>
  <c r="B1910" i="3"/>
  <c r="A1910" i="3" s="1"/>
  <c r="B1911" i="3"/>
  <c r="A1911" i="3" s="1"/>
  <c r="B1912" i="3"/>
  <c r="A1912" i="3" s="1"/>
  <c r="B1913" i="3"/>
  <c r="A1913" i="3" s="1"/>
  <c r="B1914" i="3"/>
  <c r="A1914" i="3" s="1"/>
  <c r="B1915" i="3"/>
  <c r="A1915" i="3" s="1"/>
  <c r="B1916" i="3"/>
  <c r="A1916" i="3" s="1"/>
  <c r="B1917" i="3"/>
  <c r="A1917" i="3" s="1"/>
  <c r="B1918" i="3"/>
  <c r="A1918" i="3" s="1"/>
  <c r="B1919" i="3"/>
  <c r="A1919" i="3" s="1"/>
  <c r="B1920" i="3"/>
  <c r="A1920" i="3" s="1"/>
  <c r="B1921" i="3"/>
  <c r="A1921" i="3" s="1"/>
  <c r="B1922" i="3"/>
  <c r="A1922" i="3" s="1"/>
  <c r="B1923" i="3"/>
  <c r="A1923" i="3" s="1"/>
  <c r="B1924" i="3"/>
  <c r="A1924" i="3" s="1"/>
  <c r="B1925" i="3"/>
  <c r="A1925" i="3" s="1"/>
  <c r="B1926" i="3"/>
  <c r="A1926" i="3" s="1"/>
  <c r="B1927" i="3"/>
  <c r="A1927" i="3" s="1"/>
  <c r="B1928" i="3"/>
  <c r="A1928" i="3" s="1"/>
  <c r="B1929" i="3"/>
  <c r="A1929" i="3" s="1"/>
  <c r="B1930" i="3"/>
  <c r="A1930" i="3" s="1"/>
  <c r="B1931" i="3"/>
  <c r="A1931" i="3" s="1"/>
  <c r="B1932" i="3"/>
  <c r="A1932" i="3" s="1"/>
  <c r="B1933" i="3"/>
  <c r="A1933" i="3" s="1"/>
  <c r="B1934" i="3"/>
  <c r="A1934" i="3" s="1"/>
  <c r="B1935" i="3"/>
  <c r="A1935" i="3" s="1"/>
  <c r="B1936" i="3"/>
  <c r="A1936" i="3" s="1"/>
  <c r="B1937" i="3"/>
  <c r="A1937" i="3" s="1"/>
  <c r="B1938" i="3"/>
  <c r="A1938" i="3" s="1"/>
  <c r="B1939" i="3"/>
  <c r="A1939" i="3" s="1"/>
  <c r="B1940" i="3"/>
  <c r="A1940" i="3" s="1"/>
  <c r="B1941" i="3"/>
  <c r="A1941" i="3" s="1"/>
  <c r="B1942" i="3"/>
  <c r="A1942" i="3" s="1"/>
  <c r="B1943" i="3"/>
  <c r="A1943" i="3" s="1"/>
  <c r="B1944" i="3"/>
  <c r="A1944" i="3" s="1"/>
  <c r="B1945" i="3"/>
  <c r="A1945" i="3" s="1"/>
  <c r="B1946" i="3"/>
  <c r="A1946" i="3" s="1"/>
  <c r="B1947" i="3"/>
  <c r="A1947" i="3" s="1"/>
  <c r="B1948" i="3"/>
  <c r="A1948" i="3" s="1"/>
  <c r="B1949" i="3"/>
  <c r="A1949" i="3" s="1"/>
  <c r="B1950" i="3"/>
  <c r="A1950" i="3" s="1"/>
  <c r="B1951" i="3"/>
  <c r="A1951" i="3" s="1"/>
  <c r="B1952" i="3"/>
  <c r="A1952" i="3" s="1"/>
  <c r="B1953" i="3"/>
  <c r="A1953" i="3" s="1"/>
  <c r="B1954" i="3"/>
  <c r="A1954" i="3" s="1"/>
  <c r="B1955" i="3"/>
  <c r="A1955" i="3" s="1"/>
  <c r="B1956" i="3"/>
  <c r="A1956" i="3" s="1"/>
  <c r="B1957" i="3"/>
  <c r="A1957" i="3" s="1"/>
  <c r="B1958" i="3"/>
  <c r="A1958" i="3" s="1"/>
  <c r="B1959" i="3"/>
  <c r="A1959" i="3" s="1"/>
  <c r="B1960" i="3"/>
  <c r="A1960" i="3" s="1"/>
  <c r="B1961" i="3"/>
  <c r="A1961" i="3" s="1"/>
  <c r="B1962" i="3"/>
  <c r="A1962" i="3" s="1"/>
  <c r="B1963" i="3"/>
  <c r="A1963" i="3" s="1"/>
  <c r="B1964" i="3"/>
  <c r="A1964" i="3" s="1"/>
  <c r="B1965" i="3"/>
  <c r="A1965" i="3" s="1"/>
  <c r="B1966" i="3"/>
  <c r="A1966" i="3" s="1"/>
  <c r="B1967" i="3"/>
  <c r="A1967" i="3" s="1"/>
  <c r="B1968" i="3"/>
  <c r="A1968" i="3" s="1"/>
  <c r="B1969" i="3"/>
  <c r="A1969" i="3" s="1"/>
  <c r="B1970" i="3"/>
  <c r="A1970" i="3" s="1"/>
  <c r="B1971" i="3"/>
  <c r="A1971" i="3" s="1"/>
  <c r="B1972" i="3"/>
  <c r="A1972" i="3" s="1"/>
  <c r="B1973" i="3"/>
  <c r="A1973" i="3" s="1"/>
  <c r="B1974" i="3"/>
  <c r="A1974" i="3" s="1"/>
  <c r="B1975" i="3"/>
  <c r="A1975" i="3" s="1"/>
  <c r="B1976" i="3"/>
  <c r="A1976" i="3" s="1"/>
  <c r="B1977" i="3"/>
  <c r="A1977" i="3" s="1"/>
  <c r="B1978" i="3"/>
  <c r="A1978" i="3" s="1"/>
  <c r="B1979" i="3"/>
  <c r="A1979" i="3" s="1"/>
  <c r="B1980" i="3"/>
  <c r="A1980" i="3" s="1"/>
  <c r="B1981" i="3"/>
  <c r="A1981" i="3" s="1"/>
  <c r="B1982" i="3"/>
  <c r="A1982" i="3" s="1"/>
  <c r="B1983" i="3"/>
  <c r="A1983" i="3" s="1"/>
  <c r="B1984" i="3"/>
  <c r="A1984" i="3" s="1"/>
  <c r="B1985" i="3"/>
  <c r="A1985" i="3" s="1"/>
  <c r="B1986" i="3"/>
  <c r="A1986" i="3" s="1"/>
  <c r="B1987" i="3"/>
  <c r="A1987" i="3" s="1"/>
  <c r="B1988" i="3"/>
  <c r="A1988" i="3" s="1"/>
  <c r="B1989" i="3"/>
  <c r="A1989" i="3" s="1"/>
  <c r="B1990" i="3"/>
  <c r="A1990" i="3" s="1"/>
  <c r="B1991" i="3"/>
  <c r="A1991" i="3" s="1"/>
  <c r="B1992" i="3"/>
  <c r="A1992" i="3" s="1"/>
  <c r="B1993" i="3"/>
  <c r="A1993" i="3" s="1"/>
  <c r="B1994" i="3"/>
  <c r="A1994" i="3" s="1"/>
  <c r="B1995" i="3"/>
  <c r="A1995" i="3" s="1"/>
  <c r="B1996" i="3"/>
  <c r="A1996" i="3" s="1"/>
  <c r="B1997" i="3"/>
  <c r="A1997" i="3" s="1"/>
  <c r="B1998" i="3"/>
  <c r="A1998" i="3" s="1"/>
  <c r="B1999" i="3"/>
  <c r="A1999" i="3" s="1"/>
  <c r="B2000" i="3"/>
  <c r="A2000" i="3" s="1"/>
  <c r="B2001" i="3"/>
  <c r="A2001" i="3" s="1"/>
  <c r="B2002" i="3"/>
  <c r="A2002" i="3" s="1"/>
  <c r="B2003" i="3"/>
  <c r="A2003" i="3" s="1"/>
  <c r="B2004" i="3"/>
  <c r="A2004" i="3" s="1"/>
  <c r="B2005" i="3"/>
  <c r="A2005" i="3" s="1"/>
  <c r="B2006" i="3"/>
  <c r="A2006" i="3" s="1"/>
  <c r="B2007" i="3"/>
  <c r="A2007" i="3" s="1"/>
  <c r="B2008" i="3"/>
  <c r="A2008" i="3" s="1"/>
  <c r="B2009" i="3"/>
  <c r="A2009" i="3" s="1"/>
  <c r="B2010" i="3"/>
  <c r="A2010" i="3" s="1"/>
  <c r="B2011" i="3"/>
  <c r="A2011" i="3" s="1"/>
  <c r="B2012" i="3"/>
  <c r="A2012" i="3" s="1"/>
  <c r="B2013" i="3"/>
  <c r="A2013" i="3" s="1"/>
  <c r="B2014" i="3"/>
  <c r="A2014" i="3" s="1"/>
  <c r="B2015" i="3"/>
  <c r="A2015" i="3" s="1"/>
  <c r="B2016" i="3"/>
  <c r="A2016" i="3" s="1"/>
  <c r="B2017" i="3"/>
  <c r="A2017" i="3" s="1"/>
  <c r="B2018" i="3"/>
  <c r="A2018" i="3" s="1"/>
  <c r="B2019" i="3"/>
  <c r="A2019" i="3" s="1"/>
  <c r="B2020" i="3"/>
  <c r="A2020" i="3" s="1"/>
  <c r="B2021" i="3"/>
  <c r="A2021" i="3" s="1"/>
  <c r="B2022" i="3"/>
  <c r="A2022" i="3" s="1"/>
  <c r="B2023" i="3"/>
  <c r="A2023" i="3" s="1"/>
  <c r="B2024" i="3"/>
  <c r="A2024" i="3" s="1"/>
  <c r="B2025" i="3"/>
  <c r="A2025" i="3" s="1"/>
  <c r="B2026" i="3"/>
  <c r="A2026" i="3" s="1"/>
  <c r="B2027" i="3"/>
  <c r="A2027" i="3" s="1"/>
  <c r="B2028" i="3"/>
  <c r="A2028" i="3" s="1"/>
  <c r="B2029" i="3"/>
  <c r="A2029" i="3" s="1"/>
  <c r="B2030" i="3"/>
  <c r="A2030" i="3" s="1"/>
  <c r="B2031" i="3"/>
  <c r="A2031" i="3" s="1"/>
  <c r="B2032" i="3"/>
  <c r="A2032" i="3" s="1"/>
  <c r="B2033" i="3"/>
  <c r="A2033" i="3" s="1"/>
  <c r="B2034" i="3"/>
  <c r="A2034" i="3" s="1"/>
  <c r="B2035" i="3"/>
  <c r="A2035" i="3" s="1"/>
  <c r="B2036" i="3"/>
  <c r="A2036" i="3" s="1"/>
  <c r="B2037" i="3"/>
  <c r="A2037" i="3" s="1"/>
  <c r="B2038" i="3"/>
  <c r="A2038" i="3" s="1"/>
  <c r="B2039" i="3"/>
  <c r="A2039" i="3" s="1"/>
  <c r="B2040" i="3"/>
  <c r="A2040" i="3" s="1"/>
  <c r="B2041" i="3"/>
  <c r="A2041" i="3" s="1"/>
  <c r="B2042" i="3"/>
  <c r="A2042" i="3" s="1"/>
  <c r="B2043" i="3"/>
  <c r="A2043" i="3" s="1"/>
  <c r="B2044" i="3"/>
  <c r="A2044" i="3" s="1"/>
  <c r="B2045" i="3"/>
  <c r="A2045" i="3" s="1"/>
  <c r="B2046" i="3"/>
  <c r="A2046" i="3" s="1"/>
  <c r="B2047" i="3"/>
  <c r="A2047" i="3" s="1"/>
  <c r="B2048" i="3"/>
  <c r="A2048" i="3" s="1"/>
  <c r="B2049" i="3"/>
  <c r="A2049" i="3" s="1"/>
  <c r="B2050" i="3"/>
  <c r="A2050" i="3" s="1"/>
  <c r="B2051" i="3"/>
  <c r="A2051" i="3" s="1"/>
  <c r="B2052" i="3"/>
  <c r="A2052" i="3" s="1"/>
  <c r="B2053" i="3"/>
  <c r="A2053" i="3" s="1"/>
  <c r="B2054" i="3"/>
  <c r="A2054" i="3" s="1"/>
  <c r="B2055" i="3"/>
  <c r="A2055" i="3" s="1"/>
  <c r="B2056" i="3"/>
  <c r="A2056" i="3" s="1"/>
  <c r="B2057" i="3"/>
  <c r="A2057" i="3" s="1"/>
  <c r="B2058" i="3"/>
  <c r="A2058" i="3" s="1"/>
  <c r="B2059" i="3"/>
  <c r="A2059" i="3" s="1"/>
  <c r="B2060" i="3"/>
  <c r="A2060" i="3" s="1"/>
  <c r="B2061" i="3"/>
  <c r="A2061" i="3" s="1"/>
  <c r="B2062" i="3"/>
  <c r="A2062" i="3" s="1"/>
  <c r="B2063" i="3"/>
  <c r="A2063" i="3" s="1"/>
  <c r="B2064" i="3"/>
  <c r="A2064" i="3" s="1"/>
  <c r="B2065" i="3"/>
  <c r="A2065" i="3" s="1"/>
  <c r="B2066" i="3"/>
  <c r="A2066" i="3" s="1"/>
  <c r="B2067" i="3"/>
  <c r="A2067" i="3" s="1"/>
  <c r="B2068" i="3"/>
  <c r="A2068" i="3" s="1"/>
  <c r="B2069" i="3"/>
  <c r="A2069" i="3" s="1"/>
  <c r="B2070" i="3"/>
  <c r="A2070" i="3" s="1"/>
  <c r="B2071" i="3"/>
  <c r="A2071" i="3" s="1"/>
  <c r="B2072" i="3"/>
  <c r="A2072" i="3" s="1"/>
  <c r="B2073" i="3"/>
  <c r="A2073" i="3" s="1"/>
  <c r="B2074" i="3"/>
  <c r="A2074" i="3" s="1"/>
  <c r="B2075" i="3"/>
  <c r="A2075" i="3" s="1"/>
  <c r="B2076" i="3"/>
  <c r="A2076" i="3" s="1"/>
  <c r="B2077" i="3"/>
  <c r="A2077" i="3" s="1"/>
  <c r="B2078" i="3"/>
  <c r="A2078" i="3" s="1"/>
  <c r="B2079" i="3"/>
  <c r="A2079" i="3" s="1"/>
  <c r="B2080" i="3"/>
  <c r="A2080" i="3" s="1"/>
  <c r="B2081" i="3"/>
  <c r="A2081" i="3" s="1"/>
  <c r="B2082" i="3"/>
  <c r="A2082" i="3" s="1"/>
  <c r="B2083" i="3"/>
  <c r="A2083" i="3" s="1"/>
  <c r="B2084" i="3"/>
  <c r="A2084" i="3" s="1"/>
  <c r="B2085" i="3"/>
  <c r="A2085" i="3" s="1"/>
  <c r="B2086" i="3"/>
  <c r="A2086" i="3" s="1"/>
  <c r="B2087" i="3"/>
  <c r="A2087" i="3" s="1"/>
  <c r="B2088" i="3"/>
  <c r="A2088" i="3" s="1"/>
  <c r="B2089" i="3"/>
  <c r="A2089" i="3" s="1"/>
  <c r="B2090" i="3"/>
  <c r="A2090" i="3" s="1"/>
  <c r="B2091" i="3"/>
  <c r="A2091" i="3" s="1"/>
  <c r="B2092" i="3"/>
  <c r="A2092" i="3" s="1"/>
  <c r="B2093" i="3"/>
  <c r="A2093" i="3" s="1"/>
  <c r="B2094" i="3"/>
  <c r="A2094" i="3" s="1"/>
  <c r="B2095" i="3"/>
  <c r="A2095" i="3" s="1"/>
  <c r="B2096" i="3"/>
  <c r="A2096" i="3" s="1"/>
  <c r="B2097" i="3"/>
  <c r="A2097" i="3" s="1"/>
  <c r="B2098" i="3"/>
  <c r="A2098" i="3" s="1"/>
  <c r="B2099" i="3"/>
  <c r="A2099" i="3" s="1"/>
  <c r="B2100" i="3"/>
  <c r="A2100" i="3" s="1"/>
  <c r="B2101" i="3"/>
  <c r="A2101" i="3" s="1"/>
  <c r="B2102" i="3"/>
  <c r="A2102" i="3" s="1"/>
  <c r="B2103" i="3"/>
  <c r="A2103" i="3" s="1"/>
  <c r="B2104" i="3"/>
  <c r="A2104" i="3" s="1"/>
  <c r="B2105" i="3"/>
  <c r="A2105" i="3" s="1"/>
  <c r="B2106" i="3"/>
  <c r="A2106" i="3" s="1"/>
  <c r="B2107" i="3"/>
  <c r="A2107" i="3" s="1"/>
  <c r="B2108" i="3"/>
  <c r="A2108" i="3" s="1"/>
  <c r="B2109" i="3"/>
  <c r="A2109" i="3" s="1"/>
  <c r="B2110" i="3"/>
  <c r="A2110" i="3" s="1"/>
  <c r="B2111" i="3"/>
  <c r="A2111" i="3" s="1"/>
  <c r="B2112" i="3"/>
  <c r="A2112" i="3" s="1"/>
  <c r="B2113" i="3"/>
  <c r="A2113" i="3" s="1"/>
  <c r="B2114" i="3"/>
  <c r="A2114" i="3" s="1"/>
  <c r="B2115" i="3"/>
  <c r="A2115" i="3" s="1"/>
  <c r="B2116" i="3"/>
  <c r="A2116" i="3" s="1"/>
  <c r="B2117" i="3"/>
  <c r="A2117" i="3" s="1"/>
  <c r="B2118" i="3"/>
  <c r="A2118" i="3" s="1"/>
  <c r="B2119" i="3"/>
  <c r="A2119" i="3" s="1"/>
  <c r="B2120" i="3"/>
  <c r="A2120" i="3" s="1"/>
  <c r="B2121" i="3"/>
  <c r="A2121" i="3" s="1"/>
  <c r="B2122" i="3"/>
  <c r="A2122" i="3" s="1"/>
  <c r="B2123" i="3"/>
  <c r="A2123" i="3" s="1"/>
  <c r="B2124" i="3"/>
  <c r="A2124" i="3" s="1"/>
  <c r="B2125" i="3"/>
  <c r="A2125" i="3" s="1"/>
  <c r="B2126" i="3"/>
  <c r="A2126" i="3" s="1"/>
  <c r="B2128" i="3"/>
  <c r="A2128" i="3" s="1"/>
  <c r="B2129" i="3"/>
  <c r="A2129" i="3" s="1"/>
  <c r="B2130" i="3"/>
  <c r="A2130" i="3" s="1"/>
  <c r="B2131" i="3"/>
  <c r="A2131" i="3" s="1"/>
  <c r="B2132" i="3"/>
  <c r="A2132" i="3" s="1"/>
  <c r="B2" i="3"/>
  <c r="A2" i="3" s="1"/>
  <c r="B95" i="1" l="1"/>
  <c r="C95" i="1"/>
  <c r="D95" i="1"/>
  <c r="F98" i="1"/>
  <c r="B102" i="1"/>
  <c r="D104" i="1"/>
  <c r="F107" i="1"/>
  <c r="B111" i="1"/>
  <c r="D114" i="1"/>
  <c r="F117" i="1"/>
  <c r="B121" i="1"/>
  <c r="D124" i="1"/>
  <c r="F127" i="1"/>
  <c r="B131" i="1"/>
  <c r="D134" i="1"/>
  <c r="F137" i="1"/>
  <c r="B140" i="1"/>
  <c r="D143" i="1"/>
  <c r="F146" i="1"/>
  <c r="B150" i="1"/>
  <c r="D153" i="1"/>
  <c r="F156" i="1"/>
  <c r="B159" i="1"/>
  <c r="D162" i="1"/>
  <c r="F165" i="1"/>
  <c r="B169" i="1"/>
  <c r="D172" i="1"/>
  <c r="F175" i="1"/>
  <c r="B179" i="1"/>
  <c r="G98" i="1"/>
  <c r="C102" i="1"/>
  <c r="E104" i="1"/>
  <c r="G107" i="1"/>
  <c r="C111" i="1"/>
  <c r="E114" i="1"/>
  <c r="G117" i="1"/>
  <c r="C121" i="1"/>
  <c r="E124" i="1"/>
  <c r="G127" i="1"/>
  <c r="C131" i="1"/>
  <c r="E134" i="1"/>
  <c r="G137" i="1"/>
  <c r="C140" i="1"/>
  <c r="E143" i="1"/>
  <c r="G146" i="1"/>
  <c r="C150" i="1"/>
  <c r="E153" i="1"/>
  <c r="C159" i="1"/>
  <c r="E162" i="1"/>
  <c r="G165" i="1"/>
  <c r="C169" i="1"/>
  <c r="E172" i="1"/>
  <c r="G175" i="1"/>
  <c r="C179" i="1"/>
  <c r="E121" i="1"/>
  <c r="G134" i="1"/>
  <c r="E140" i="1"/>
  <c r="C147" i="1"/>
  <c r="G153" i="1"/>
  <c r="E159" i="1"/>
  <c r="G162" i="1"/>
  <c r="E169" i="1"/>
  <c r="C176" i="1"/>
  <c r="D99" i="1"/>
  <c r="B105" i="1"/>
  <c r="F111" i="1"/>
  <c r="B115" i="1"/>
  <c r="D118" i="1"/>
  <c r="B125" i="1"/>
  <c r="D128" i="1"/>
  <c r="D138" i="1"/>
  <c r="F140" i="1"/>
  <c r="D147" i="1"/>
  <c r="B154" i="1"/>
  <c r="F159" i="1"/>
  <c r="B163" i="1"/>
  <c r="B173" i="1"/>
  <c r="D176" i="1"/>
  <c r="E99" i="1"/>
  <c r="C105" i="1"/>
  <c r="C115" i="1"/>
  <c r="E118" i="1"/>
  <c r="G121" i="1"/>
  <c r="C125" i="1"/>
  <c r="C135" i="1"/>
  <c r="G140" i="1"/>
  <c r="E147" i="1"/>
  <c r="E95" i="1"/>
  <c r="G156" i="1"/>
  <c r="G172" i="1"/>
  <c r="D108" i="1"/>
  <c r="B135" i="1"/>
  <c r="F150" i="1"/>
  <c r="D166" i="1"/>
  <c r="G102" i="1"/>
  <c r="G131" i="1"/>
  <c r="E157" i="1"/>
  <c r="F95" i="1"/>
  <c r="B99" i="1"/>
  <c r="D102" i="1"/>
  <c r="F104" i="1"/>
  <c r="B108" i="1"/>
  <c r="D111" i="1"/>
  <c r="F114" i="1"/>
  <c r="B118" i="1"/>
  <c r="D121" i="1"/>
  <c r="F124" i="1"/>
  <c r="B128" i="1"/>
  <c r="D131" i="1"/>
  <c r="F134" i="1"/>
  <c r="B138" i="1"/>
  <c r="D140" i="1"/>
  <c r="F143" i="1"/>
  <c r="B147" i="1"/>
  <c r="D150" i="1"/>
  <c r="F153" i="1"/>
  <c r="B157" i="1"/>
  <c r="D159" i="1"/>
  <c r="F162" i="1"/>
  <c r="B166" i="1"/>
  <c r="D169" i="1"/>
  <c r="F172" i="1"/>
  <c r="B176" i="1"/>
  <c r="D179" i="1"/>
  <c r="C99" i="1"/>
  <c r="E102" i="1"/>
  <c r="G104" i="1"/>
  <c r="C108" i="1"/>
  <c r="E111" i="1"/>
  <c r="G114" i="1"/>
  <c r="C118" i="1"/>
  <c r="G124" i="1"/>
  <c r="C128" i="1"/>
  <c r="E131" i="1"/>
  <c r="C138" i="1"/>
  <c r="G143" i="1"/>
  <c r="E150" i="1"/>
  <c r="C157" i="1"/>
  <c r="C166" i="1"/>
  <c r="E179" i="1"/>
  <c r="F102" i="1"/>
  <c r="F131" i="1"/>
  <c r="B144" i="1"/>
  <c r="D157" i="1"/>
  <c r="F169" i="1"/>
  <c r="F179" i="1"/>
  <c r="E108" i="1"/>
  <c r="E128" i="1"/>
  <c r="E138" i="1"/>
  <c r="C144" i="1"/>
  <c r="C154" i="1"/>
  <c r="C163" i="1"/>
  <c r="G95" i="1"/>
  <c r="B96" i="1"/>
  <c r="F121" i="1"/>
  <c r="G111" i="1"/>
  <c r="G150" i="1"/>
  <c r="C96" i="1"/>
  <c r="D96" i="1"/>
  <c r="E96" i="1"/>
  <c r="F96" i="1"/>
  <c r="G96" i="1"/>
  <c r="C100" i="1"/>
  <c r="E4" i="1"/>
  <c r="G105" i="1"/>
  <c r="C109" i="1"/>
  <c r="E112" i="1"/>
  <c r="G115" i="1"/>
  <c r="C119" i="1"/>
  <c r="E122" i="1"/>
  <c r="G125" i="1"/>
  <c r="C129" i="1"/>
  <c r="E132" i="1"/>
  <c r="G135" i="1"/>
  <c r="C139" i="1"/>
  <c r="E141" i="1"/>
  <c r="G144" i="1"/>
  <c r="C148" i="1"/>
  <c r="E151" i="1"/>
  <c r="G154" i="1"/>
  <c r="C2" i="1"/>
  <c r="E160" i="1"/>
  <c r="G163" i="1"/>
  <c r="C167" i="1"/>
  <c r="E170" i="1"/>
  <c r="G173" i="1"/>
  <c r="C177" i="1"/>
  <c r="E180" i="1"/>
  <c r="D100" i="1"/>
  <c r="F4" i="1"/>
  <c r="B106" i="1"/>
  <c r="D109" i="1"/>
  <c r="F112" i="1"/>
  <c r="B97" i="1"/>
  <c r="C97" i="1"/>
  <c r="D97" i="1"/>
  <c r="E97" i="1"/>
  <c r="G100" i="1"/>
  <c r="C103" i="1"/>
  <c r="E106" i="1"/>
  <c r="G109" i="1"/>
  <c r="C113" i="1"/>
  <c r="E116" i="1"/>
  <c r="G119" i="1"/>
  <c r="C123" i="1"/>
  <c r="E126" i="1"/>
  <c r="G129" i="1"/>
  <c r="C133" i="1"/>
  <c r="E136" i="1"/>
  <c r="G139" i="1"/>
  <c r="C142" i="1"/>
  <c r="E145" i="1"/>
  <c r="G148" i="1"/>
  <c r="C152" i="1"/>
  <c r="E155" i="1"/>
  <c r="G2" i="1"/>
  <c r="C161" i="1"/>
  <c r="E164" i="1"/>
  <c r="G167" i="1"/>
  <c r="C171" i="1"/>
  <c r="E174" i="1"/>
  <c r="G177" i="1"/>
  <c r="C181" i="1"/>
  <c r="C101" i="1"/>
  <c r="G106" i="1"/>
  <c r="C110" i="1"/>
  <c r="E113" i="1"/>
  <c r="C120" i="1"/>
  <c r="G126" i="1"/>
  <c r="E133" i="1"/>
  <c r="C5" i="1"/>
  <c r="E152" i="1"/>
  <c r="C158" i="1"/>
  <c r="G164" i="1"/>
  <c r="E171" i="1"/>
  <c r="G174" i="1"/>
  <c r="E181" i="1"/>
  <c r="D101" i="1"/>
  <c r="B107" i="1"/>
  <c r="D110" i="1"/>
  <c r="F113" i="1"/>
  <c r="B117" i="1"/>
  <c r="D120" i="1"/>
  <c r="B127" i="1"/>
  <c r="D130" i="1"/>
  <c r="B137" i="1"/>
  <c r="D5" i="1"/>
  <c r="B146" i="1"/>
  <c r="F152" i="1"/>
  <c r="D158" i="1"/>
  <c r="B165" i="1"/>
  <c r="B175" i="1"/>
  <c r="F181" i="1"/>
  <c r="E101" i="1"/>
  <c r="C107" i="1"/>
  <c r="E110" i="1"/>
  <c r="G113" i="1"/>
  <c r="C117" i="1"/>
  <c r="E120" i="1"/>
  <c r="G123" i="1"/>
  <c r="E130" i="1"/>
  <c r="G133" i="1"/>
  <c r="E5" i="1"/>
  <c r="G142" i="1"/>
  <c r="E149" i="1"/>
  <c r="C156" i="1"/>
  <c r="E158" i="1"/>
  <c r="C165" i="1"/>
  <c r="E168" i="1"/>
  <c r="C175" i="1"/>
  <c r="E178" i="1"/>
  <c r="D98" i="1"/>
  <c r="B104" i="1"/>
  <c r="D107" i="1"/>
  <c r="F110" i="1"/>
  <c r="D117" i="1"/>
  <c r="F120" i="1"/>
  <c r="D127" i="1"/>
  <c r="B134" i="1"/>
  <c r="F97" i="1"/>
  <c r="B101" i="1"/>
  <c r="D103" i="1"/>
  <c r="F106" i="1"/>
  <c r="B110" i="1"/>
  <c r="D113" i="1"/>
  <c r="F116" i="1"/>
  <c r="B120" i="1"/>
  <c r="D123" i="1"/>
  <c r="F126" i="1"/>
  <c r="B130" i="1"/>
  <c r="D133" i="1"/>
  <c r="F136" i="1"/>
  <c r="B5" i="1"/>
  <c r="D142" i="1"/>
  <c r="F145" i="1"/>
  <c r="B149" i="1"/>
  <c r="D152" i="1"/>
  <c r="F155" i="1"/>
  <c r="B158" i="1"/>
  <c r="D161" i="1"/>
  <c r="F164" i="1"/>
  <c r="B168" i="1"/>
  <c r="D171" i="1"/>
  <c r="F174" i="1"/>
  <c r="B178" i="1"/>
  <c r="D181" i="1"/>
  <c r="E103" i="1"/>
  <c r="G116" i="1"/>
  <c r="E123" i="1"/>
  <c r="C130" i="1"/>
  <c r="G136" i="1"/>
  <c r="E142" i="1"/>
  <c r="G145" i="1"/>
  <c r="C149" i="1"/>
  <c r="G155" i="1"/>
  <c r="E161" i="1"/>
  <c r="C168" i="1"/>
  <c r="C178" i="1"/>
  <c r="F103" i="1"/>
  <c r="F123" i="1"/>
  <c r="F133" i="1"/>
  <c r="F142" i="1"/>
  <c r="D149" i="1"/>
  <c r="B156" i="1"/>
  <c r="F161" i="1"/>
  <c r="D168" i="1"/>
  <c r="F171" i="1"/>
  <c r="D178" i="1"/>
  <c r="G103" i="1"/>
  <c r="C127" i="1"/>
  <c r="C137" i="1"/>
  <c r="C146" i="1"/>
  <c r="G152" i="1"/>
  <c r="G161" i="1"/>
  <c r="G171" i="1"/>
  <c r="G181" i="1"/>
  <c r="F101" i="1"/>
  <c r="B114" i="1"/>
  <c r="B124" i="1"/>
  <c r="F130" i="1"/>
  <c r="D137" i="1"/>
  <c r="G97" i="1"/>
  <c r="B98" i="1"/>
  <c r="C98" i="1"/>
  <c r="E98" i="1"/>
  <c r="G108" i="1"/>
  <c r="B119" i="1"/>
  <c r="G128" i="1"/>
  <c r="F138" i="1"/>
  <c r="C145" i="1"/>
  <c r="D154" i="1"/>
  <c r="F160" i="1"/>
  <c r="F168" i="1"/>
  <c r="E176" i="1"/>
  <c r="G176" i="1"/>
  <c r="F139" i="1"/>
  <c r="D170" i="1"/>
  <c r="C122" i="1"/>
  <c r="F170" i="1"/>
  <c r="D122" i="1"/>
  <c r="F178" i="1"/>
  <c r="F122" i="1"/>
  <c r="B171" i="1"/>
  <c r="F132" i="1"/>
  <c r="C164" i="1"/>
  <c r="G149" i="1"/>
  <c r="E115" i="1"/>
  <c r="E2" i="1"/>
  <c r="F115" i="1"/>
  <c r="B142" i="1"/>
  <c r="E173" i="1"/>
  <c r="F125" i="1"/>
  <c r="F158" i="1"/>
  <c r="F105" i="1"/>
  <c r="C143" i="1"/>
  <c r="B181" i="1"/>
  <c r="D144" i="1"/>
  <c r="C174" i="1"/>
  <c r="D126" i="1"/>
  <c r="B152" i="1"/>
  <c r="D174" i="1"/>
  <c r="D136" i="1"/>
  <c r="E167" i="1"/>
  <c r="G118" i="1"/>
  <c r="F167" i="1"/>
  <c r="F99" i="1"/>
  <c r="B109" i="1"/>
  <c r="D119" i="1"/>
  <c r="B129" i="1"/>
  <c r="G138" i="1"/>
  <c r="D145" i="1"/>
  <c r="E154" i="1"/>
  <c r="G160" i="1"/>
  <c r="G168" i="1"/>
  <c r="F176" i="1"/>
  <c r="B161" i="1"/>
  <c r="G130" i="1"/>
  <c r="D163" i="1"/>
  <c r="B132" i="1"/>
  <c r="E163" i="1"/>
  <c r="B4" i="1"/>
  <c r="F163" i="1"/>
  <c r="D132" i="1"/>
  <c r="B164" i="1"/>
  <c r="G122" i="1"/>
  <c r="F166" i="1"/>
  <c r="G99" i="1"/>
  <c r="E109" i="1"/>
  <c r="E119" i="1"/>
  <c r="D129" i="1"/>
  <c r="B139" i="1"/>
  <c r="D146" i="1"/>
  <c r="F154" i="1"/>
  <c r="G169" i="1"/>
  <c r="G147" i="1"/>
  <c r="G101" i="1"/>
  <c r="B148" i="1"/>
  <c r="C132" i="1"/>
  <c r="G170" i="1"/>
  <c r="B141" i="1"/>
  <c r="F157" i="1"/>
  <c r="B113" i="1"/>
  <c r="G157" i="1"/>
  <c r="G179" i="1"/>
  <c r="D2" i="1"/>
  <c r="C104" i="1"/>
  <c r="B151" i="1"/>
  <c r="D180" i="1"/>
  <c r="D135" i="1"/>
  <c r="E166" i="1"/>
  <c r="E105" i="1"/>
  <c r="B143" i="1"/>
  <c r="G180" i="1"/>
  <c r="F135" i="1"/>
  <c r="B174" i="1"/>
  <c r="C126" i="1"/>
  <c r="G151" i="1"/>
  <c r="D106" i="1"/>
  <c r="D167" i="1"/>
  <c r="E127" i="1"/>
  <c r="C160" i="1"/>
  <c r="F108" i="1"/>
  <c r="C153" i="1"/>
  <c r="B100" i="1"/>
  <c r="F109" i="1"/>
  <c r="F119" i="1"/>
  <c r="E129" i="1"/>
  <c r="D139" i="1"/>
  <c r="E146" i="1"/>
  <c r="B155" i="1"/>
  <c r="B162" i="1"/>
  <c r="B170" i="1"/>
  <c r="B177" i="1"/>
  <c r="B122" i="1"/>
  <c r="E177" i="1"/>
  <c r="F5" i="1"/>
  <c r="F177" i="1"/>
  <c r="G5" i="1"/>
  <c r="E156" i="1"/>
  <c r="C4" i="1"/>
  <c r="G178" i="1"/>
  <c r="C141" i="1"/>
  <c r="G166" i="1"/>
  <c r="E100" i="1"/>
  <c r="G110" i="1"/>
  <c r="G120" i="1"/>
  <c r="F129" i="1"/>
  <c r="E139" i="1"/>
  <c r="F147" i="1"/>
  <c r="C155" i="1"/>
  <c r="C162" i="1"/>
  <c r="C170" i="1"/>
  <c r="D177" i="1"/>
  <c r="B112" i="1"/>
  <c r="D155" i="1"/>
  <c r="C112" i="1"/>
  <c r="D156" i="1"/>
  <c r="D112" i="1"/>
  <c r="D148" i="1"/>
  <c r="G112" i="1"/>
  <c r="E148" i="1"/>
  <c r="D4" i="1"/>
  <c r="F148" i="1"/>
  <c r="B172" i="1"/>
  <c r="F141" i="1"/>
  <c r="C173" i="1"/>
  <c r="D125" i="1"/>
  <c r="E165" i="1"/>
  <c r="D105" i="1"/>
  <c r="C151" i="1"/>
  <c r="F180" i="1"/>
  <c r="E135" i="1"/>
  <c r="F173" i="1"/>
  <c r="C116" i="1"/>
  <c r="F151" i="1"/>
  <c r="D116" i="1"/>
  <c r="G159" i="1"/>
  <c r="E117" i="1"/>
  <c r="E144" i="1"/>
  <c r="F118" i="1"/>
  <c r="F144" i="1"/>
  <c r="D175" i="1"/>
  <c r="E137" i="1"/>
  <c r="E175" i="1"/>
  <c r="F100" i="1"/>
  <c r="G141" i="1"/>
  <c r="B136" i="1"/>
  <c r="B145" i="1"/>
  <c r="G4" i="1"/>
  <c r="C114" i="1"/>
  <c r="B123" i="1"/>
  <c r="G132" i="1"/>
  <c r="D141" i="1"/>
  <c r="F149" i="1"/>
  <c r="B2" i="1"/>
  <c r="D164" i="1"/>
  <c r="C172" i="1"/>
  <c r="B180" i="1"/>
  <c r="B103" i="1"/>
  <c r="D115" i="1"/>
  <c r="C124" i="1"/>
  <c r="B133" i="1"/>
  <c r="D165" i="1"/>
  <c r="C180" i="1"/>
  <c r="C134" i="1"/>
  <c r="D173" i="1"/>
  <c r="E125" i="1"/>
  <c r="F2" i="1"/>
  <c r="B116" i="1"/>
  <c r="D151" i="1"/>
  <c r="B126" i="1"/>
  <c r="G158" i="1"/>
  <c r="C106" i="1"/>
  <c r="B167" i="1"/>
  <c r="C136" i="1"/>
  <c r="B160" i="1"/>
  <c r="E107" i="1"/>
  <c r="B153" i="1"/>
  <c r="F128" i="1"/>
  <c r="D160" i="1"/>
  <c r="G209" i="1"/>
  <c r="F217" i="1"/>
  <c r="E214" i="1"/>
  <c r="D202" i="1"/>
  <c r="E211" i="1"/>
  <c r="E277" i="1"/>
  <c r="D232" i="1"/>
  <c r="B6" i="1"/>
  <c r="D201" i="1"/>
  <c r="E206" i="1"/>
  <c r="F211" i="1"/>
  <c r="E275" i="1"/>
  <c r="G272" i="1"/>
  <c r="C304" i="1"/>
  <c r="E76" i="1"/>
  <c r="C301" i="1"/>
  <c r="G244" i="1"/>
  <c r="F210" i="1"/>
  <c r="D233" i="1"/>
  <c r="D191" i="1"/>
  <c r="C28" i="1"/>
  <c r="G245" i="1"/>
  <c r="C61" i="1"/>
  <c r="D55" i="1"/>
  <c r="E75" i="1"/>
  <c r="C263" i="1"/>
  <c r="C18" i="1"/>
  <c r="D52" i="1"/>
  <c r="E72" i="1"/>
  <c r="B10" i="1"/>
  <c r="B25" i="1"/>
  <c r="B48" i="1"/>
  <c r="B72" i="1"/>
  <c r="B91" i="1"/>
  <c r="B188" i="1"/>
  <c r="B208" i="1"/>
  <c r="B228" i="1"/>
  <c r="B248" i="1"/>
  <c r="B268" i="1"/>
  <c r="B288" i="1"/>
  <c r="B308" i="1"/>
  <c r="B328" i="1"/>
  <c r="B348" i="1"/>
  <c r="G19" i="1"/>
  <c r="G37" i="1"/>
  <c r="G63" i="1"/>
  <c r="G79" i="1"/>
  <c r="G195" i="1"/>
  <c r="G215" i="1"/>
  <c r="G235" i="1"/>
  <c r="G255" i="1"/>
  <c r="G275" i="1"/>
  <c r="G295" i="1"/>
  <c r="G315" i="1"/>
  <c r="G335" i="1"/>
  <c r="G355" i="1"/>
  <c r="F33" i="1"/>
  <c r="F42" i="1"/>
  <c r="F57" i="1"/>
  <c r="F85" i="1"/>
  <c r="F182" i="1"/>
  <c r="F202" i="1"/>
  <c r="F222" i="1"/>
  <c r="F242" i="1"/>
  <c r="F262" i="1"/>
  <c r="F282" i="1"/>
  <c r="F302" i="1"/>
  <c r="F322" i="1"/>
  <c r="F342" i="1"/>
  <c r="E12" i="1"/>
  <c r="E26" i="1"/>
  <c r="E49" i="1"/>
  <c r="E73" i="1"/>
  <c r="E92" i="1"/>
  <c r="E189" i="1"/>
  <c r="E209" i="1"/>
  <c r="E229" i="1"/>
  <c r="E249" i="1"/>
  <c r="E269" i="1"/>
  <c r="E289" i="1"/>
  <c r="E309" i="1"/>
  <c r="E329" i="1"/>
  <c r="E349" i="1"/>
  <c r="D20" i="1"/>
  <c r="D38" i="1"/>
  <c r="D64" i="1"/>
  <c r="D80" i="1"/>
  <c r="D196" i="1"/>
  <c r="D216" i="1"/>
  <c r="D236" i="1"/>
  <c r="D256" i="1"/>
  <c r="D276" i="1"/>
  <c r="B12" i="1"/>
  <c r="B26" i="1"/>
  <c r="B49" i="1"/>
  <c r="B73" i="1"/>
  <c r="B92" i="1"/>
  <c r="B189" i="1"/>
  <c r="B209" i="1"/>
  <c r="B229" i="1"/>
  <c r="B249" i="1"/>
  <c r="B269" i="1"/>
  <c r="B289" i="1"/>
  <c r="B309" i="1"/>
  <c r="B329" i="1"/>
  <c r="B349" i="1"/>
  <c r="G20" i="1"/>
  <c r="G38" i="1"/>
  <c r="G64" i="1"/>
  <c r="G80" i="1"/>
  <c r="G196" i="1"/>
  <c r="G216" i="1"/>
  <c r="G236" i="1"/>
  <c r="G256" i="1"/>
  <c r="G276" i="1"/>
  <c r="G296" i="1"/>
  <c r="G316" i="1"/>
  <c r="G336" i="1"/>
  <c r="G356" i="1"/>
  <c r="F34" i="1"/>
  <c r="F43" i="1"/>
  <c r="F67" i="1"/>
  <c r="F86" i="1"/>
  <c r="F183" i="1"/>
  <c r="F203" i="1"/>
  <c r="F223" i="1"/>
  <c r="F243" i="1"/>
  <c r="F263" i="1"/>
  <c r="F283" i="1"/>
  <c r="F303" i="1"/>
  <c r="F323" i="1"/>
  <c r="F343" i="1"/>
  <c r="E13" i="1"/>
  <c r="E27" i="1"/>
  <c r="E50" i="1"/>
  <c r="E74" i="1"/>
  <c r="E93" i="1"/>
  <c r="E190" i="1"/>
  <c r="E210" i="1"/>
  <c r="E230" i="1"/>
  <c r="E250" i="1"/>
  <c r="E270" i="1"/>
  <c r="E290" i="1"/>
  <c r="E310" i="1"/>
  <c r="E330" i="1"/>
  <c r="E350" i="1"/>
  <c r="D21" i="1"/>
  <c r="D62" i="1"/>
  <c r="D65" i="1"/>
  <c r="D81" i="1"/>
  <c r="D197" i="1"/>
  <c r="D217" i="1"/>
  <c r="D237" i="1"/>
  <c r="D257" i="1"/>
  <c r="D277" i="1"/>
  <c r="B13" i="1"/>
  <c r="B14" i="1"/>
  <c r="B58" i="1"/>
  <c r="B29" i="1"/>
  <c r="B75" i="1"/>
  <c r="B94" i="1"/>
  <c r="B191" i="1"/>
  <c r="B211" i="1"/>
  <c r="B231" i="1"/>
  <c r="B251" i="1"/>
  <c r="B271" i="1"/>
  <c r="B291" i="1"/>
  <c r="B311" i="1"/>
  <c r="B331" i="1"/>
  <c r="B351" i="1"/>
  <c r="G22" i="1"/>
  <c r="G28" i="1"/>
  <c r="G66" i="1"/>
  <c r="G82" i="1"/>
  <c r="G198" i="1"/>
  <c r="G218" i="1"/>
  <c r="G238" i="1"/>
  <c r="G258" i="1"/>
  <c r="G278" i="1"/>
  <c r="G298" i="1"/>
  <c r="G318" i="1"/>
  <c r="G338" i="1"/>
  <c r="B15" i="1"/>
  <c r="B16" i="1"/>
  <c r="B60" i="1"/>
  <c r="B52" i="1"/>
  <c r="B77" i="1"/>
  <c r="B193" i="1"/>
  <c r="B213" i="1"/>
  <c r="B233" i="1"/>
  <c r="B253" i="1"/>
  <c r="B273" i="1"/>
  <c r="B293" i="1"/>
  <c r="B313" i="1"/>
  <c r="B333" i="1"/>
  <c r="B353" i="1"/>
  <c r="G31" i="1"/>
  <c r="G40" i="1"/>
  <c r="G55" i="1"/>
  <c r="G84" i="1"/>
  <c r="G200" i="1"/>
  <c r="G220" i="1"/>
  <c r="G240" i="1"/>
  <c r="G260" i="1"/>
  <c r="G280" i="1"/>
  <c r="G300" i="1"/>
  <c r="G320" i="1"/>
  <c r="G340" i="1"/>
  <c r="B18" i="1"/>
  <c r="B61" i="1"/>
  <c r="B53" i="1"/>
  <c r="B78" i="1"/>
  <c r="B194" i="1"/>
  <c r="B214" i="1"/>
  <c r="B234" i="1"/>
  <c r="B254" i="1"/>
  <c r="B274" i="1"/>
  <c r="B294" i="1"/>
  <c r="B314" i="1"/>
  <c r="B334" i="1"/>
  <c r="B354" i="1"/>
  <c r="G32" i="1"/>
  <c r="G41" i="1"/>
  <c r="G56" i="1"/>
  <c r="G3" i="1"/>
  <c r="G201" i="1"/>
  <c r="G221" i="1"/>
  <c r="G241" i="1"/>
  <c r="G261" i="1"/>
  <c r="G281" i="1"/>
  <c r="G301" i="1"/>
  <c r="G321" i="1"/>
  <c r="G341" i="1"/>
  <c r="F10" i="1"/>
  <c r="F25" i="1"/>
  <c r="F48" i="1"/>
  <c r="F72" i="1"/>
  <c r="F91" i="1"/>
  <c r="F188" i="1"/>
  <c r="F208" i="1"/>
  <c r="F228" i="1"/>
  <c r="F248" i="1"/>
  <c r="F268" i="1"/>
  <c r="F288" i="1"/>
  <c r="F308" i="1"/>
  <c r="F328" i="1"/>
  <c r="F348" i="1"/>
  <c r="E19" i="1"/>
  <c r="E37" i="1"/>
  <c r="E63" i="1"/>
  <c r="E79" i="1"/>
  <c r="B30" i="1"/>
  <c r="B31" i="1"/>
  <c r="B40" i="1"/>
  <c r="B55" i="1"/>
  <c r="B84" i="1"/>
  <c r="B200" i="1"/>
  <c r="B220" i="1"/>
  <c r="B240" i="1"/>
  <c r="B260" i="1"/>
  <c r="B280" i="1"/>
  <c r="B300" i="1"/>
  <c r="B320" i="1"/>
  <c r="B340" i="1"/>
  <c r="G9" i="1"/>
  <c r="G24" i="1"/>
  <c r="G47" i="1"/>
  <c r="G71" i="1"/>
  <c r="G90" i="1"/>
  <c r="G187" i="1"/>
  <c r="G207" i="1"/>
  <c r="G227" i="1"/>
  <c r="G247" i="1"/>
  <c r="G267" i="1"/>
  <c r="G287" i="1"/>
  <c r="G307" i="1"/>
  <c r="G327" i="1"/>
  <c r="B32" i="1"/>
  <c r="B41" i="1"/>
  <c r="B56" i="1"/>
  <c r="B3" i="1"/>
  <c r="B201" i="1"/>
  <c r="B221" i="1"/>
  <c r="B241" i="1"/>
  <c r="B261" i="1"/>
  <c r="B281" i="1"/>
  <c r="B301" i="1"/>
  <c r="B321" i="1"/>
  <c r="B341" i="1"/>
  <c r="G10" i="1"/>
  <c r="G25" i="1"/>
  <c r="G48" i="1"/>
  <c r="G72" i="1"/>
  <c r="G91" i="1"/>
  <c r="G188" i="1"/>
  <c r="G208" i="1"/>
  <c r="G228" i="1"/>
  <c r="G248" i="1"/>
  <c r="G268" i="1"/>
  <c r="G288" i="1"/>
  <c r="G308" i="1"/>
  <c r="G328" i="1"/>
  <c r="G348" i="1"/>
  <c r="F19" i="1"/>
  <c r="F37" i="1"/>
  <c r="F63" i="1"/>
  <c r="F79" i="1"/>
  <c r="F195" i="1"/>
  <c r="F215" i="1"/>
  <c r="B19" i="1"/>
  <c r="B45" i="1"/>
  <c r="B81" i="1"/>
  <c r="B199" i="1"/>
  <c r="B230" i="1"/>
  <c r="B262" i="1"/>
  <c r="B292" i="1"/>
  <c r="B323" i="1"/>
  <c r="B355" i="1"/>
  <c r="G58" i="1"/>
  <c r="G67" i="1"/>
  <c r="G185" i="1"/>
  <c r="G214" i="1"/>
  <c r="G246" i="1"/>
  <c r="G277" i="1"/>
  <c r="G309" i="1"/>
  <c r="G339" i="1"/>
  <c r="F15" i="1"/>
  <c r="F62" i="1"/>
  <c r="F56" i="1"/>
  <c r="F90" i="1"/>
  <c r="B20" i="1"/>
  <c r="B46" i="1"/>
  <c r="B82" i="1"/>
  <c r="B202" i="1"/>
  <c r="B232" i="1"/>
  <c r="B263" i="1"/>
  <c r="B295" i="1"/>
  <c r="B324" i="1"/>
  <c r="B356" i="1"/>
  <c r="B21" i="1"/>
  <c r="B47" i="1"/>
  <c r="B83" i="1"/>
  <c r="B22" i="1"/>
  <c r="B50" i="1"/>
  <c r="B85" i="1"/>
  <c r="B204" i="1"/>
  <c r="B236" i="1"/>
  <c r="B265" i="1"/>
  <c r="B297" i="1"/>
  <c r="B326" i="1"/>
  <c r="G8" i="1"/>
  <c r="G61" i="1"/>
  <c r="G70" i="1"/>
  <c r="G190" i="1"/>
  <c r="G222" i="1"/>
  <c r="G251" i="1"/>
  <c r="G283" i="1"/>
  <c r="G312" i="1"/>
  <c r="G344" i="1"/>
  <c r="F20" i="1"/>
  <c r="F40" i="1"/>
  <c r="F70" i="1"/>
  <c r="F94" i="1"/>
  <c r="B33" i="1"/>
  <c r="B51" i="1"/>
  <c r="B86" i="1"/>
  <c r="B34" i="1"/>
  <c r="B63" i="1"/>
  <c r="B87" i="1"/>
  <c r="B206" i="1"/>
  <c r="B238" i="1"/>
  <c r="B267" i="1"/>
  <c r="B299" i="1"/>
  <c r="B330" i="1"/>
  <c r="G12" i="1"/>
  <c r="G39" i="1"/>
  <c r="G74" i="1"/>
  <c r="G192" i="1"/>
  <c r="G224" i="1"/>
  <c r="G253" i="1"/>
  <c r="G285" i="1"/>
  <c r="G314" i="1"/>
  <c r="G346" i="1"/>
  <c r="F22" i="1"/>
  <c r="F44" i="1"/>
  <c r="F73" i="1"/>
  <c r="F193" i="1"/>
  <c r="F218" i="1"/>
  <c r="F241" i="1"/>
  <c r="F266" i="1"/>
  <c r="F290" i="1"/>
  <c r="F313" i="1"/>
  <c r="F336" i="1"/>
  <c r="E17" i="1"/>
  <c r="E58" i="1"/>
  <c r="E53" i="1"/>
  <c r="E82" i="1"/>
  <c r="E195" i="1"/>
  <c r="E217" i="1"/>
  <c r="B35" i="1"/>
  <c r="B64" i="1"/>
  <c r="B88" i="1"/>
  <c r="B207" i="1"/>
  <c r="B239" i="1"/>
  <c r="B270" i="1"/>
  <c r="B302" i="1"/>
  <c r="B332" i="1"/>
  <c r="G13" i="1"/>
  <c r="B59" i="1"/>
  <c r="B67" i="1"/>
  <c r="B185" i="1"/>
  <c r="B217" i="1"/>
  <c r="B246" i="1"/>
  <c r="B278" i="1"/>
  <c r="B307" i="1"/>
  <c r="B339" i="1"/>
  <c r="G21" i="1"/>
  <c r="G49" i="1"/>
  <c r="G83" i="1"/>
  <c r="G203" i="1"/>
  <c r="G232" i="1"/>
  <c r="G264" i="1"/>
  <c r="G293" i="1"/>
  <c r="G325" i="1"/>
  <c r="G353" i="1"/>
  <c r="F23" i="1"/>
  <c r="F29" i="1"/>
  <c r="F80" i="1"/>
  <c r="F200" i="1"/>
  <c r="F226" i="1"/>
  <c r="F250" i="1"/>
  <c r="F273" i="1"/>
  <c r="F296" i="1"/>
  <c r="F319" i="1"/>
  <c r="F344" i="1"/>
  <c r="E18" i="1"/>
  <c r="E28" i="1"/>
  <c r="E56" i="1"/>
  <c r="E87" i="1"/>
  <c r="E201" i="1"/>
  <c r="E223" i="1"/>
  <c r="E245" i="1"/>
  <c r="B37" i="1"/>
  <c r="B68" i="1"/>
  <c r="B186" i="1"/>
  <c r="B218" i="1"/>
  <c r="B247" i="1"/>
  <c r="B279" i="1"/>
  <c r="B310" i="1"/>
  <c r="B342" i="1"/>
  <c r="G30" i="1"/>
  <c r="G50" i="1"/>
  <c r="G85" i="1"/>
  <c r="G204" i="1"/>
  <c r="G233" i="1"/>
  <c r="G265" i="1"/>
  <c r="G294" i="1"/>
  <c r="G326" i="1"/>
  <c r="G354" i="1"/>
  <c r="F24" i="1"/>
  <c r="F51" i="1"/>
  <c r="F81" i="1"/>
  <c r="F201" i="1"/>
  <c r="F227" i="1"/>
  <c r="F251" i="1"/>
  <c r="F274" i="1"/>
  <c r="F297" i="1"/>
  <c r="F320" i="1"/>
  <c r="F345" i="1"/>
  <c r="E20" i="1"/>
  <c r="E39" i="1"/>
  <c r="E57" i="1"/>
  <c r="E88" i="1"/>
  <c r="E202" i="1"/>
  <c r="E224" i="1"/>
  <c r="E246" i="1"/>
  <c r="E268" i="1"/>
  <c r="E292" i="1"/>
  <c r="E314" i="1"/>
  <c r="E336" i="1"/>
  <c r="D8" i="1"/>
  <c r="D24" i="1"/>
  <c r="D49" i="1"/>
  <c r="D75" i="1"/>
  <c r="D183" i="1"/>
  <c r="D205" i="1"/>
  <c r="D227" i="1"/>
  <c r="D249" i="1"/>
  <c r="D271" i="1"/>
  <c r="D293" i="1"/>
  <c r="D313" i="1"/>
  <c r="D333" i="1"/>
  <c r="D353" i="1"/>
  <c r="C31" i="1"/>
  <c r="C40" i="1"/>
  <c r="C55" i="1"/>
  <c r="C84" i="1"/>
  <c r="C200" i="1"/>
  <c r="C220" i="1"/>
  <c r="C240" i="1"/>
  <c r="C260" i="1"/>
  <c r="C280" i="1"/>
  <c r="C300" i="1"/>
  <c r="C320" i="1"/>
  <c r="B36" i="1"/>
  <c r="B79" i="1"/>
  <c r="B223" i="1"/>
  <c r="B272" i="1"/>
  <c r="B317" i="1"/>
  <c r="G15" i="1"/>
  <c r="G52" i="1"/>
  <c r="G217" i="1"/>
  <c r="G259" i="1"/>
  <c r="G302" i="1"/>
  <c r="B23" i="1"/>
  <c r="B80" i="1"/>
  <c r="B224" i="1"/>
  <c r="B275" i="1"/>
  <c r="B318" i="1"/>
  <c r="G16" i="1"/>
  <c r="G53" i="1"/>
  <c r="G219" i="1"/>
  <c r="G262" i="1"/>
  <c r="G303" i="1"/>
  <c r="B24" i="1"/>
  <c r="B89" i="1"/>
  <c r="B182" i="1"/>
  <c r="B225" i="1"/>
  <c r="B276" i="1"/>
  <c r="B319" i="1"/>
  <c r="G18" i="1"/>
  <c r="G65" i="1"/>
  <c r="G182" i="1"/>
  <c r="G223" i="1"/>
  <c r="G263" i="1"/>
  <c r="G304" i="1"/>
  <c r="B27" i="1"/>
  <c r="B90" i="1"/>
  <c r="B183" i="1"/>
  <c r="B226" i="1"/>
  <c r="B277" i="1"/>
  <c r="B322" i="1"/>
  <c r="G33" i="1"/>
  <c r="G54" i="1"/>
  <c r="G183" i="1"/>
  <c r="G225" i="1"/>
  <c r="G266" i="1"/>
  <c r="G305" i="1"/>
  <c r="B38" i="1"/>
  <c r="B93" i="1"/>
  <c r="B184" i="1"/>
  <c r="B227" i="1"/>
  <c r="B282" i="1"/>
  <c r="B325" i="1"/>
  <c r="G34" i="1"/>
  <c r="G57" i="1"/>
  <c r="G184" i="1"/>
  <c r="G226" i="1"/>
  <c r="G269" i="1"/>
  <c r="G306" i="1"/>
  <c r="G349" i="1"/>
  <c r="F27" i="1"/>
  <c r="F55" i="1"/>
  <c r="F185" i="1"/>
  <c r="F213" i="1"/>
  <c r="F240" i="1"/>
  <c r="F270" i="1"/>
  <c r="F298" i="1"/>
  <c r="F326" i="1"/>
  <c r="F353" i="1"/>
  <c r="E23" i="1"/>
  <c r="E64" i="1"/>
  <c r="E85" i="1"/>
  <c r="E193" i="1"/>
  <c r="E219" i="1"/>
  <c r="E243" i="1"/>
  <c r="E267" i="1"/>
  <c r="E293" i="1"/>
  <c r="E316" i="1"/>
  <c r="E339" i="1"/>
  <c r="D12" i="1"/>
  <c r="D59" i="1"/>
  <c r="D63" i="1"/>
  <c r="D84" i="1"/>
  <c r="D195" i="1"/>
  <c r="D220" i="1"/>
  <c r="D243" i="1"/>
  <c r="D266" i="1"/>
  <c r="D289" i="1"/>
  <c r="D310" i="1"/>
  <c r="D331" i="1"/>
  <c r="D352" i="1"/>
  <c r="C32" i="1"/>
  <c r="C42" i="1"/>
  <c r="C67" i="1"/>
  <c r="C87" i="1"/>
  <c r="C189" i="1"/>
  <c r="C210" i="1"/>
  <c r="C231" i="1"/>
  <c r="C252" i="1"/>
  <c r="C273" i="1"/>
  <c r="C294" i="1"/>
  <c r="C315" i="1"/>
  <c r="C336" i="1"/>
  <c r="C356" i="1"/>
  <c r="B62" i="1"/>
  <c r="B187" i="1"/>
  <c r="B235" i="1"/>
  <c r="B283" i="1"/>
  <c r="B327" i="1"/>
  <c r="G35" i="1"/>
  <c r="G68" i="1"/>
  <c r="G186" i="1"/>
  <c r="G229" i="1"/>
  <c r="G270" i="1"/>
  <c r="G310" i="1"/>
  <c r="G350" i="1"/>
  <c r="F58" i="1"/>
  <c r="F68" i="1"/>
  <c r="F186" i="1"/>
  <c r="F214" i="1"/>
  <c r="F244" i="1"/>
  <c r="F271" i="1"/>
  <c r="F299" i="1"/>
  <c r="F327" i="1"/>
  <c r="F354" i="1"/>
  <c r="E24" i="1"/>
  <c r="E65" i="1"/>
  <c r="E86" i="1"/>
  <c r="E194" i="1"/>
  <c r="E220" i="1"/>
  <c r="E244" i="1"/>
  <c r="E271" i="1"/>
  <c r="E294" i="1"/>
  <c r="E317" i="1"/>
  <c r="E340" i="1"/>
  <c r="D13" i="1"/>
  <c r="D60" i="1"/>
  <c r="D66" i="1"/>
  <c r="D3" i="1"/>
  <c r="D198" i="1"/>
  <c r="D221" i="1"/>
  <c r="D244" i="1"/>
  <c r="D267" i="1"/>
  <c r="D290" i="1"/>
  <c r="D311" i="1"/>
  <c r="D332" i="1"/>
  <c r="D354" i="1"/>
  <c r="C33" i="1"/>
  <c r="C43" i="1"/>
  <c r="C68" i="1"/>
  <c r="C88" i="1"/>
  <c r="C190" i="1"/>
  <c r="C211" i="1"/>
  <c r="C232" i="1"/>
  <c r="C253" i="1"/>
  <c r="C274" i="1"/>
  <c r="C295" i="1"/>
  <c r="C316" i="1"/>
  <c r="C337" i="1"/>
  <c r="B7" i="1"/>
  <c r="B28" i="1"/>
  <c r="B190" i="1"/>
  <c r="B237" i="1"/>
  <c r="B284" i="1"/>
  <c r="B335" i="1"/>
  <c r="G36" i="1"/>
  <c r="G69" i="1"/>
  <c r="G189" i="1"/>
  <c r="G230" i="1"/>
  <c r="G271" i="1"/>
  <c r="G311" i="1"/>
  <c r="G351" i="1"/>
  <c r="F59" i="1"/>
  <c r="F69" i="1"/>
  <c r="F187" i="1"/>
  <c r="F216" i="1"/>
  <c r="F245" i="1"/>
  <c r="F272" i="1"/>
  <c r="F300" i="1"/>
  <c r="F329" i="1"/>
  <c r="F355" i="1"/>
  <c r="E25" i="1"/>
  <c r="E66" i="1"/>
  <c r="E89" i="1"/>
  <c r="E196" i="1"/>
  <c r="E221" i="1"/>
  <c r="E247" i="1"/>
  <c r="E272" i="1"/>
  <c r="E295" i="1"/>
  <c r="E318" i="1"/>
  <c r="E341" i="1"/>
  <c r="D14" i="1"/>
  <c r="D61" i="1"/>
  <c r="D54" i="1"/>
  <c r="D85" i="1"/>
  <c r="D199" i="1"/>
  <c r="B66" i="1"/>
  <c r="B203" i="1"/>
  <c r="B252" i="1"/>
  <c r="B298" i="1"/>
  <c r="B345" i="1"/>
  <c r="G62" i="1"/>
  <c r="G81" i="1"/>
  <c r="G202" i="1"/>
  <c r="G243" i="1"/>
  <c r="G284" i="1"/>
  <c r="G324" i="1"/>
  <c r="F12" i="1"/>
  <c r="F41" i="1"/>
  <c r="F78" i="1"/>
  <c r="F196" i="1"/>
  <c r="F225" i="1"/>
  <c r="F254" i="1"/>
  <c r="F280" i="1"/>
  <c r="F309" i="1"/>
  <c r="F335" i="1"/>
  <c r="E14" i="1"/>
  <c r="E40" i="1"/>
  <c r="E70" i="1"/>
  <c r="E204" i="1"/>
  <c r="E231" i="1"/>
  <c r="E255" i="1"/>
  <c r="E278" i="1"/>
  <c r="E301" i="1"/>
  <c r="E324" i="1"/>
  <c r="E347" i="1"/>
  <c r="D30" i="1"/>
  <c r="D42" i="1"/>
  <c r="D69" i="1"/>
  <c r="D91" i="1"/>
  <c r="D182" i="1"/>
  <c r="D206" i="1"/>
  <c r="D229" i="1"/>
  <c r="D252" i="1"/>
  <c r="D275" i="1"/>
  <c r="D298" i="1"/>
  <c r="D319" i="1"/>
  <c r="D340" i="1"/>
  <c r="C10" i="1"/>
  <c r="C26" i="1"/>
  <c r="C50" i="1"/>
  <c r="C75" i="1"/>
  <c r="C197" i="1"/>
  <c r="C218" i="1"/>
  <c r="C239" i="1"/>
  <c r="C261" i="1"/>
  <c r="C282" i="1"/>
  <c r="C303" i="1"/>
  <c r="C324" i="1"/>
  <c r="B39" i="1"/>
  <c r="B198" i="1"/>
  <c r="B285" i="1"/>
  <c r="B352" i="1"/>
  <c r="G78" i="1"/>
  <c r="G210" i="1"/>
  <c r="G282" i="1"/>
  <c r="G342" i="1"/>
  <c r="F60" i="1"/>
  <c r="F77" i="1"/>
  <c r="F189" i="1"/>
  <c r="F224" i="1"/>
  <c r="F258" i="1"/>
  <c r="F292" i="1"/>
  <c r="F330" i="1"/>
  <c r="B42" i="1"/>
  <c r="B205" i="1"/>
  <c r="B286" i="1"/>
  <c r="G7" i="1"/>
  <c r="G86" i="1"/>
  <c r="G211" i="1"/>
  <c r="G286" i="1"/>
  <c r="G343" i="1"/>
  <c r="F61" i="1"/>
  <c r="F82" i="1"/>
  <c r="F190" i="1"/>
  <c r="F229" i="1"/>
  <c r="F259" i="1"/>
  <c r="F293" i="1"/>
  <c r="F331" i="1"/>
  <c r="E15" i="1"/>
  <c r="E45" i="1"/>
  <c r="E83" i="1"/>
  <c r="E184" i="1"/>
  <c r="E215" i="1"/>
  <c r="E251" i="1"/>
  <c r="E279" i="1"/>
  <c r="E306" i="1"/>
  <c r="E335" i="1"/>
  <c r="D16" i="1"/>
  <c r="D43" i="1"/>
  <c r="D74" i="1"/>
  <c r="D188" i="1"/>
  <c r="D215" i="1"/>
  <c r="D245" i="1"/>
  <c r="D272" i="1"/>
  <c r="D299" i="1"/>
  <c r="D323" i="1"/>
  <c r="D347" i="1"/>
  <c r="C22" i="1"/>
  <c r="C45" i="1"/>
  <c r="C73" i="1"/>
  <c r="C193" i="1"/>
  <c r="C217" i="1"/>
  <c r="C243" i="1"/>
  <c r="C267" i="1"/>
  <c r="C291" i="1"/>
  <c r="C317" i="1"/>
  <c r="C341" i="1"/>
  <c r="E6" i="1"/>
  <c r="B43" i="1"/>
  <c r="B210" i="1"/>
  <c r="B287" i="1"/>
  <c r="G17" i="1"/>
  <c r="G87" i="1"/>
  <c r="G212" i="1"/>
  <c r="G289" i="1"/>
  <c r="G345" i="1"/>
  <c r="F38" i="1"/>
  <c r="F83" i="1"/>
  <c r="F191" i="1"/>
  <c r="F230" i="1"/>
  <c r="F260" i="1"/>
  <c r="F294" i="1"/>
  <c r="F332" i="1"/>
  <c r="E16" i="1"/>
  <c r="E46" i="1"/>
  <c r="E84" i="1"/>
  <c r="E185" i="1"/>
  <c r="E216" i="1"/>
  <c r="E252" i="1"/>
  <c r="E280" i="1"/>
  <c r="E307" i="1"/>
  <c r="E337" i="1"/>
  <c r="D18" i="1"/>
  <c r="D44" i="1"/>
  <c r="D76" i="1"/>
  <c r="D189" i="1"/>
  <c r="D218" i="1"/>
  <c r="D246" i="1"/>
  <c r="D273" i="1"/>
  <c r="D300" i="1"/>
  <c r="D324" i="1"/>
  <c r="D348" i="1"/>
  <c r="C30" i="1"/>
  <c r="C46" i="1"/>
  <c r="C74" i="1"/>
  <c r="C194" i="1"/>
  <c r="C219" i="1"/>
  <c r="C244" i="1"/>
  <c r="C268" i="1"/>
  <c r="C292" i="1"/>
  <c r="C318" i="1"/>
  <c r="C342" i="1"/>
  <c r="D6" i="1"/>
  <c r="B44" i="1"/>
  <c r="B212" i="1"/>
  <c r="B290" i="1"/>
  <c r="G14" i="1"/>
  <c r="G88" i="1"/>
  <c r="G213" i="1"/>
  <c r="G290" i="1"/>
  <c r="G347" i="1"/>
  <c r="F28" i="1"/>
  <c r="F84" i="1"/>
  <c r="F192" i="1"/>
  <c r="F231" i="1"/>
  <c r="F261" i="1"/>
  <c r="F295" i="1"/>
  <c r="F333" i="1"/>
  <c r="E21" i="1"/>
  <c r="E47" i="1"/>
  <c r="E3" i="1"/>
  <c r="E186" i="1"/>
  <c r="E218" i="1"/>
  <c r="E253" i="1"/>
  <c r="E281" i="1"/>
  <c r="E308" i="1"/>
  <c r="E338" i="1"/>
  <c r="D19" i="1"/>
  <c r="D45" i="1"/>
  <c r="D77" i="1"/>
  <c r="D190" i="1"/>
  <c r="D219" i="1"/>
  <c r="D247" i="1"/>
  <c r="D274" i="1"/>
  <c r="D301" i="1"/>
  <c r="D325" i="1"/>
  <c r="D349" i="1"/>
  <c r="C34" i="1"/>
  <c r="C47" i="1"/>
  <c r="C76" i="1"/>
  <c r="C195" i="1"/>
  <c r="C221" i="1"/>
  <c r="C245" i="1"/>
  <c r="C269" i="1"/>
  <c r="C293" i="1"/>
  <c r="C319" i="1"/>
  <c r="C343" i="1"/>
  <c r="C6" i="1"/>
  <c r="B65" i="1"/>
  <c r="B215" i="1"/>
  <c r="B296" i="1"/>
  <c r="G23" i="1"/>
  <c r="G89" i="1"/>
  <c r="G231" i="1"/>
  <c r="G291" i="1"/>
  <c r="G352" i="1"/>
  <c r="F39" i="1"/>
  <c r="F3" i="1"/>
  <c r="F194" i="1"/>
  <c r="F232" i="1"/>
  <c r="F264" i="1"/>
  <c r="F301" i="1"/>
  <c r="F334" i="1"/>
  <c r="B54" i="1"/>
  <c r="B216" i="1"/>
  <c r="B303" i="1"/>
  <c r="G26" i="1"/>
  <c r="G92" i="1"/>
  <c r="G234" i="1"/>
  <c r="G292" i="1"/>
  <c r="F7" i="1"/>
  <c r="F45" i="1"/>
  <c r="F87" i="1"/>
  <c r="F197" i="1"/>
  <c r="F233" i="1"/>
  <c r="F265" i="1"/>
  <c r="F304" i="1"/>
  <c r="F337" i="1"/>
  <c r="E30" i="1"/>
  <c r="E29" i="1"/>
  <c r="E91" i="1"/>
  <c r="E188" i="1"/>
  <c r="E225" i="1"/>
  <c r="E256" i="1"/>
  <c r="E283" i="1"/>
  <c r="E312" i="1"/>
  <c r="E343" i="1"/>
  <c r="D31" i="1"/>
  <c r="D47" i="1"/>
  <c r="D79" i="1"/>
  <c r="D192" i="1"/>
  <c r="D223" i="1"/>
  <c r="D250" i="1"/>
  <c r="D279" i="1"/>
  <c r="D303" i="1"/>
  <c r="D327" i="1"/>
  <c r="D351" i="1"/>
  <c r="C36" i="1"/>
  <c r="C49" i="1"/>
  <c r="C78" i="1"/>
  <c r="C198" i="1"/>
  <c r="C223" i="1"/>
  <c r="C247" i="1"/>
  <c r="C271" i="1"/>
  <c r="C297" i="1"/>
  <c r="C322" i="1"/>
  <c r="C345" i="1"/>
  <c r="B57" i="1"/>
  <c r="B219" i="1"/>
  <c r="B304" i="1"/>
  <c r="G27" i="1"/>
  <c r="G93" i="1"/>
  <c r="G237" i="1"/>
  <c r="G297" i="1"/>
  <c r="F8" i="1"/>
  <c r="F46" i="1"/>
  <c r="F88" i="1"/>
  <c r="F198" i="1"/>
  <c r="F234" i="1"/>
  <c r="F267" i="1"/>
  <c r="F305" i="1"/>
  <c r="F338" i="1"/>
  <c r="E31" i="1"/>
  <c r="E51" i="1"/>
  <c r="E94" i="1"/>
  <c r="E191" i="1"/>
  <c r="E226" i="1"/>
  <c r="E257" i="1"/>
  <c r="E284" i="1"/>
  <c r="E313" i="1"/>
  <c r="E344" i="1"/>
  <c r="D32" i="1"/>
  <c r="D48" i="1"/>
  <c r="D82" i="1"/>
  <c r="D193" i="1"/>
  <c r="D224" i="1"/>
  <c r="D251" i="1"/>
  <c r="D280" i="1"/>
  <c r="D304" i="1"/>
  <c r="D328" i="1"/>
  <c r="D355" i="1"/>
  <c r="C23" i="1"/>
  <c r="C29" i="1"/>
  <c r="C79" i="1"/>
  <c r="C199" i="1"/>
  <c r="C224" i="1"/>
  <c r="C248" i="1"/>
  <c r="C272" i="1"/>
  <c r="C298" i="1"/>
  <c r="C323" i="1"/>
  <c r="C346" i="1"/>
  <c r="B69" i="1"/>
  <c r="B222" i="1"/>
  <c r="B305" i="1"/>
  <c r="G59" i="1"/>
  <c r="G94" i="1"/>
  <c r="G239" i="1"/>
  <c r="G299" i="1"/>
  <c r="F17" i="1"/>
  <c r="F47" i="1"/>
  <c r="F89" i="1"/>
  <c r="F199" i="1"/>
  <c r="F235" i="1"/>
  <c r="F269" i="1"/>
  <c r="F306" i="1"/>
  <c r="F339" i="1"/>
  <c r="E32" i="1"/>
  <c r="E52" i="1"/>
  <c r="E192" i="1"/>
  <c r="E227" i="1"/>
  <c r="E258" i="1"/>
  <c r="E285" i="1"/>
  <c r="E315" i="1"/>
  <c r="E345" i="1"/>
  <c r="D33" i="1"/>
  <c r="D50" i="1"/>
  <c r="D83" i="1"/>
  <c r="D194" i="1"/>
  <c r="D225" i="1"/>
  <c r="D253" i="1"/>
  <c r="D281" i="1"/>
  <c r="D305" i="1"/>
  <c r="D329" i="1"/>
  <c r="D356" i="1"/>
  <c r="C24" i="1"/>
  <c r="C51" i="1"/>
  <c r="C80" i="1"/>
  <c r="C201" i="1"/>
  <c r="C225" i="1"/>
  <c r="C249" i="1"/>
  <c r="C275" i="1"/>
  <c r="B76" i="1"/>
  <c r="B245" i="1"/>
  <c r="B316" i="1"/>
  <c r="G44" i="1"/>
  <c r="G249" i="1"/>
  <c r="G322" i="1"/>
  <c r="F16" i="1"/>
  <c r="F53" i="1"/>
  <c r="F207" i="1"/>
  <c r="F239" i="1"/>
  <c r="F278" i="1"/>
  <c r="F312" i="1"/>
  <c r="F347" i="1"/>
  <c r="E36" i="1"/>
  <c r="E68" i="1"/>
  <c r="E200" i="1"/>
  <c r="E234" i="1"/>
  <c r="E262" i="1"/>
  <c r="E291" i="1"/>
  <c r="E322" i="1"/>
  <c r="E352" i="1"/>
  <c r="D23" i="1"/>
  <c r="D53" i="1"/>
  <c r="D89" i="1"/>
  <c r="D203" i="1"/>
  <c r="D231" i="1"/>
  <c r="D259" i="1"/>
  <c r="D285" i="1"/>
  <c r="D309" i="1"/>
  <c r="D336" i="1"/>
  <c r="C9" i="1"/>
  <c r="C59" i="1"/>
  <c r="C64" i="1"/>
  <c r="C3" i="1"/>
  <c r="C205" i="1"/>
  <c r="C229" i="1"/>
  <c r="C255" i="1"/>
  <c r="C279" i="1"/>
  <c r="C305" i="1"/>
  <c r="C329" i="1"/>
  <c r="C351" i="1"/>
  <c r="B70" i="1"/>
  <c r="B196" i="1"/>
  <c r="B344" i="1"/>
  <c r="G250" i="1"/>
  <c r="F13" i="1"/>
  <c r="F76" i="1"/>
  <c r="F212" i="1"/>
  <c r="F281" i="1"/>
  <c r="F346" i="1"/>
  <c r="E42" i="1"/>
  <c r="E205" i="1"/>
  <c r="E248" i="1"/>
  <c r="E298" i="1"/>
  <c r="E342" i="1"/>
  <c r="D58" i="1"/>
  <c r="D86" i="1"/>
  <c r="D211" i="1"/>
  <c r="D258" i="1"/>
  <c r="D295" i="1"/>
  <c r="D337" i="1"/>
  <c r="C20" i="1"/>
  <c r="C66" i="1"/>
  <c r="B71" i="1"/>
  <c r="B74" i="1"/>
  <c r="B242" i="1"/>
  <c r="B347" i="1"/>
  <c r="G254" i="1"/>
  <c r="F18" i="1"/>
  <c r="F93" i="1"/>
  <c r="F219" i="1"/>
  <c r="F285" i="1"/>
  <c r="F350" i="1"/>
  <c r="E44" i="1"/>
  <c r="E207" i="1"/>
  <c r="E259" i="1"/>
  <c r="E300" i="1"/>
  <c r="E348" i="1"/>
  <c r="D28" i="1"/>
  <c r="D88" i="1"/>
  <c r="D213" i="1"/>
  <c r="D261" i="1"/>
  <c r="D297" i="1"/>
  <c r="D339" i="1"/>
  <c r="C35" i="1"/>
  <c r="C56" i="1"/>
  <c r="C213" i="1"/>
  <c r="C254" i="1"/>
  <c r="C288" i="1"/>
  <c r="C327" i="1"/>
  <c r="B8" i="1"/>
  <c r="B243" i="1"/>
  <c r="B350" i="1"/>
  <c r="G257" i="1"/>
  <c r="F21" i="1"/>
  <c r="F220" i="1"/>
  <c r="F286" i="1"/>
  <c r="F351" i="1"/>
  <c r="E48" i="1"/>
  <c r="E208" i="1"/>
  <c r="E260" i="1"/>
  <c r="E302" i="1"/>
  <c r="E351" i="1"/>
  <c r="D39" i="1"/>
  <c r="D90" i="1"/>
  <c r="D214" i="1"/>
  <c r="D262" i="1"/>
  <c r="D302" i="1"/>
  <c r="D341" i="1"/>
  <c r="C25" i="1"/>
  <c r="C57" i="1"/>
  <c r="B250" i="1"/>
  <c r="G42" i="1"/>
  <c r="G273" i="1"/>
  <c r="F31" i="1"/>
  <c r="F236" i="1"/>
  <c r="F289" i="1"/>
  <c r="F356" i="1"/>
  <c r="E55" i="1"/>
  <c r="E212" i="1"/>
  <c r="E263" i="1"/>
  <c r="E304" i="1"/>
  <c r="E354" i="1"/>
  <c r="D41" i="1"/>
  <c r="D93" i="1"/>
  <c r="D226" i="1"/>
  <c r="D264" i="1"/>
  <c r="D307" i="1"/>
  <c r="D343" i="1"/>
  <c r="C58" i="1"/>
  <c r="C70" i="1"/>
  <c r="C183" i="1"/>
  <c r="C216" i="1"/>
  <c r="C258" i="1"/>
  <c r="C296" i="1"/>
  <c r="C331" i="1"/>
  <c r="G6" i="1"/>
  <c r="B255" i="1"/>
  <c r="G43" i="1"/>
  <c r="G274" i="1"/>
  <c r="F32" i="1"/>
  <c r="F237" i="1"/>
  <c r="F291" i="1"/>
  <c r="E7" i="1"/>
  <c r="E67" i="1"/>
  <c r="E213" i="1"/>
  <c r="E264" i="1"/>
  <c r="E305" i="1"/>
  <c r="E355" i="1"/>
  <c r="D46" i="1"/>
  <c r="D94" i="1"/>
  <c r="D228" i="1"/>
  <c r="D265" i="1"/>
  <c r="D308" i="1"/>
  <c r="D344" i="1"/>
  <c r="C60" i="1"/>
  <c r="C71" i="1"/>
  <c r="C184" i="1"/>
  <c r="C222" i="1"/>
  <c r="C259" i="1"/>
  <c r="C299" i="1"/>
  <c r="C332" i="1"/>
  <c r="F6" i="1"/>
  <c r="B266" i="1"/>
  <c r="G75" i="1"/>
  <c r="G197" i="1"/>
  <c r="G329" i="1"/>
  <c r="F52" i="1"/>
  <c r="F253" i="1"/>
  <c r="F316" i="1"/>
  <c r="E34" i="1"/>
  <c r="E77" i="1"/>
  <c r="E235" i="1"/>
  <c r="E276" i="1"/>
  <c r="E325" i="1"/>
  <c r="D15" i="1"/>
  <c r="D57" i="1"/>
  <c r="D200" i="1"/>
  <c r="D238" i="1"/>
  <c r="D283" i="1"/>
  <c r="D318" i="1"/>
  <c r="C17" i="1"/>
  <c r="C39" i="1"/>
  <c r="C85" i="1"/>
  <c r="C192" i="1"/>
  <c r="C234" i="1"/>
  <c r="C270" i="1"/>
  <c r="C308" i="1"/>
  <c r="C340" i="1"/>
  <c r="B315" i="1"/>
  <c r="G330" i="1"/>
  <c r="F75" i="1"/>
  <c r="F276" i="1"/>
  <c r="E9" i="1"/>
  <c r="E81" i="1"/>
  <c r="E236" i="1"/>
  <c r="E297" i="1"/>
  <c r="D9" i="1"/>
  <c r="D72" i="1"/>
  <c r="D204" i="1"/>
  <c r="D263" i="1"/>
  <c r="D320" i="1"/>
  <c r="C19" i="1"/>
  <c r="C82" i="1"/>
  <c r="C227" i="1"/>
  <c r="C276" i="1"/>
  <c r="C313" i="1"/>
  <c r="C355" i="1"/>
  <c r="B336" i="1"/>
  <c r="G331" i="1"/>
  <c r="F92" i="1"/>
  <c r="F277" i="1"/>
  <c r="E10" i="1"/>
  <c r="E90" i="1"/>
  <c r="E237" i="1"/>
  <c r="E299" i="1"/>
  <c r="D10" i="1"/>
  <c r="D73" i="1"/>
  <c r="D207" i="1"/>
  <c r="D268" i="1"/>
  <c r="D321" i="1"/>
  <c r="C21" i="1"/>
  <c r="C83" i="1"/>
  <c r="C228" i="1"/>
  <c r="C277" i="1"/>
  <c r="C314" i="1"/>
  <c r="B17" i="1"/>
  <c r="B337" i="1"/>
  <c r="G332" i="1"/>
  <c r="F184" i="1"/>
  <c r="F279" i="1"/>
  <c r="E22" i="1"/>
  <c r="E238" i="1"/>
  <c r="E303" i="1"/>
  <c r="D22" i="1"/>
  <c r="D78" i="1"/>
  <c r="D208" i="1"/>
  <c r="D269" i="1"/>
  <c r="D322" i="1"/>
  <c r="C27" i="1"/>
  <c r="C86" i="1"/>
  <c r="C182" i="1"/>
  <c r="C230" i="1"/>
  <c r="C278" i="1"/>
  <c r="B343" i="1"/>
  <c r="G193" i="1"/>
  <c r="G334" i="1"/>
  <c r="F205" i="1"/>
  <c r="F287" i="1"/>
  <c r="E35" i="1"/>
  <c r="E240" i="1"/>
  <c r="E319" i="1"/>
  <c r="D35" i="1"/>
  <c r="D92" i="1"/>
  <c r="D210" i="1"/>
  <c r="D278" i="1"/>
  <c r="D330" i="1"/>
  <c r="C37" i="1"/>
  <c r="C90" i="1"/>
  <c r="C186" i="1"/>
  <c r="C235" i="1"/>
  <c r="C283" i="1"/>
  <c r="C326" i="1"/>
  <c r="B346" i="1"/>
  <c r="G194" i="1"/>
  <c r="G337" i="1"/>
  <c r="F206" i="1"/>
  <c r="F307" i="1"/>
  <c r="E59" i="1"/>
  <c r="E241" i="1"/>
  <c r="E320" i="1"/>
  <c r="D36" i="1"/>
  <c r="D212" i="1"/>
  <c r="D282" i="1"/>
  <c r="D334" i="1"/>
  <c r="C38" i="1"/>
  <c r="C91" i="1"/>
  <c r="C187" i="1"/>
  <c r="C236" i="1"/>
  <c r="C284" i="1"/>
  <c r="C328" i="1"/>
  <c r="B195" i="1"/>
  <c r="G51" i="1"/>
  <c r="G242" i="1"/>
  <c r="F36" i="1"/>
  <c r="F221" i="1"/>
  <c r="F317" i="1"/>
  <c r="E41" i="1"/>
  <c r="E198" i="1"/>
  <c r="E266" i="1"/>
  <c r="E328" i="1"/>
  <c r="D40" i="1"/>
  <c r="D234" i="1"/>
  <c r="D291" i="1"/>
  <c r="D346" i="1"/>
  <c r="C48" i="1"/>
  <c r="C203" i="1"/>
  <c r="C246" i="1"/>
  <c r="C290" i="1"/>
  <c r="C338" i="1"/>
  <c r="G73" i="1"/>
  <c r="G317" i="1"/>
  <c r="F252" i="1"/>
  <c r="E60" i="1"/>
  <c r="E233" i="1"/>
  <c r="E331" i="1"/>
  <c r="D68" i="1"/>
  <c r="D242" i="1"/>
  <c r="D335" i="1"/>
  <c r="C63" i="1"/>
  <c r="C204" i="1"/>
  <c r="C264" i="1"/>
  <c r="C333" i="1"/>
  <c r="G76" i="1"/>
  <c r="G319" i="1"/>
  <c r="F255" i="1"/>
  <c r="E61" i="1"/>
  <c r="E239" i="1"/>
  <c r="E332" i="1"/>
  <c r="D70" i="1"/>
  <c r="D248" i="1"/>
  <c r="D338" i="1"/>
  <c r="C65" i="1"/>
  <c r="C206" i="1"/>
  <c r="C265" i="1"/>
  <c r="C334" i="1"/>
  <c r="G77" i="1"/>
  <c r="G323" i="1"/>
  <c r="F256" i="1"/>
  <c r="E38" i="1"/>
  <c r="E242" i="1"/>
  <c r="E333" i="1"/>
  <c r="D71" i="1"/>
  <c r="D254" i="1"/>
  <c r="D342" i="1"/>
  <c r="C54" i="1"/>
  <c r="C207" i="1"/>
  <c r="C266" i="1"/>
  <c r="C335" i="1"/>
  <c r="G333" i="1"/>
  <c r="F257" i="1"/>
  <c r="E62" i="1"/>
  <c r="E254" i="1"/>
  <c r="E334" i="1"/>
  <c r="D87" i="1"/>
  <c r="D255" i="1"/>
  <c r="D345" i="1"/>
  <c r="C69" i="1"/>
  <c r="C208" i="1"/>
  <c r="C281" i="1"/>
  <c r="C339" i="1"/>
  <c r="F9" i="1"/>
  <c r="F275" i="1"/>
  <c r="E43" i="1"/>
  <c r="E261" i="1"/>
  <c r="E346" i="1"/>
  <c r="D184" i="1"/>
  <c r="D260" i="1"/>
  <c r="D350" i="1"/>
  <c r="C72" i="1"/>
  <c r="C209" i="1"/>
  <c r="C285" i="1"/>
  <c r="C344" i="1"/>
  <c r="B192" i="1"/>
  <c r="F14" i="1"/>
  <c r="F284" i="1"/>
  <c r="E54" i="1"/>
  <c r="E265" i="1"/>
  <c r="E353" i="1"/>
  <c r="D185" i="1"/>
  <c r="D270" i="1"/>
  <c r="C7" i="1"/>
  <c r="C77" i="1"/>
  <c r="C212" i="1"/>
  <c r="C286" i="1"/>
  <c r="C347" i="1"/>
  <c r="B197" i="1"/>
  <c r="F30" i="1"/>
  <c r="F310" i="1"/>
  <c r="E69" i="1"/>
  <c r="E273" i="1"/>
  <c r="E356" i="1"/>
  <c r="D186" i="1"/>
  <c r="D284" i="1"/>
  <c r="C8" i="1"/>
  <c r="C81" i="1"/>
  <c r="C214" i="1"/>
  <c r="C287" i="1"/>
  <c r="C348" i="1"/>
  <c r="B244" i="1"/>
  <c r="F35" i="1"/>
  <c r="F311" i="1"/>
  <c r="E71" i="1"/>
  <c r="E274" i="1"/>
  <c r="D7" i="1"/>
  <c r="D187" i="1"/>
  <c r="D286" i="1"/>
  <c r="C12" i="1"/>
  <c r="C89" i="1"/>
  <c r="C215" i="1"/>
  <c r="C289" i="1"/>
  <c r="C349" i="1"/>
  <c r="B259" i="1"/>
  <c r="G205" i="1"/>
  <c r="F64" i="1"/>
  <c r="F204" i="1"/>
  <c r="F321" i="1"/>
  <c r="E78" i="1"/>
  <c r="E197" i="1"/>
  <c r="E286" i="1"/>
  <c r="D26" i="1"/>
  <c r="D209" i="1"/>
  <c r="D294" i="1"/>
  <c r="C16" i="1"/>
  <c r="C238" i="1"/>
  <c r="C306" i="1"/>
  <c r="C354" i="1"/>
  <c r="B256" i="1"/>
  <c r="G279" i="1"/>
  <c r="F238" i="1"/>
  <c r="E287" i="1"/>
  <c r="D241" i="1"/>
  <c r="C44" i="1"/>
  <c r="C185" i="1"/>
  <c r="C309" i="1"/>
  <c r="B257" i="1"/>
  <c r="G313" i="1"/>
  <c r="F246" i="1"/>
  <c r="E288" i="1"/>
  <c r="D287" i="1"/>
  <c r="C52" i="1"/>
  <c r="C188" i="1"/>
  <c r="C310" i="1"/>
  <c r="F324" i="1"/>
  <c r="B258" i="1"/>
  <c r="F26" i="1"/>
  <c r="F247" i="1"/>
  <c r="E296" i="1"/>
  <c r="D288" i="1"/>
  <c r="C53" i="1"/>
  <c r="C191" i="1"/>
  <c r="C311" i="1"/>
  <c r="E183" i="1"/>
  <c r="D314" i="1"/>
  <c r="C237" i="1"/>
  <c r="B264" i="1"/>
  <c r="F49" i="1"/>
  <c r="F249" i="1"/>
  <c r="E311" i="1"/>
  <c r="D292" i="1"/>
  <c r="C92" i="1"/>
  <c r="C196" i="1"/>
  <c r="C312" i="1"/>
  <c r="F54" i="1"/>
  <c r="C350" i="1"/>
  <c r="B306" i="1"/>
  <c r="F50" i="1"/>
  <c r="F314" i="1"/>
  <c r="E321" i="1"/>
  <c r="D296" i="1"/>
  <c r="C93" i="1"/>
  <c r="C202" i="1"/>
  <c r="C321" i="1"/>
  <c r="G60" i="1"/>
  <c r="B312" i="1"/>
  <c r="F65" i="1"/>
  <c r="F315" i="1"/>
  <c r="E323" i="1"/>
  <c r="D306" i="1"/>
  <c r="C94" i="1"/>
  <c r="C226" i="1"/>
  <c r="C325" i="1"/>
  <c r="E327" i="1"/>
  <c r="B338" i="1"/>
  <c r="F66" i="1"/>
  <c r="F318" i="1"/>
  <c r="E182" i="1"/>
  <c r="E326" i="1"/>
  <c r="D312" i="1"/>
  <c r="C233" i="1"/>
  <c r="C330" i="1"/>
  <c r="G45" i="1"/>
  <c r="F71" i="1"/>
  <c r="F325" i="1"/>
  <c r="E187" i="1"/>
  <c r="D17" i="1"/>
  <c r="D315" i="1"/>
  <c r="C241" i="1"/>
  <c r="C352" i="1"/>
  <c r="G46" i="1"/>
  <c r="F74" i="1"/>
  <c r="F340" i="1"/>
  <c r="E199" i="1"/>
  <c r="D34" i="1"/>
  <c r="D316" i="1"/>
  <c r="C242" i="1"/>
  <c r="C353" i="1"/>
  <c r="E232" i="1"/>
  <c r="E228" i="1"/>
  <c r="D222" i="1"/>
  <c r="G252" i="1"/>
  <c r="D56" i="1"/>
  <c r="C262" i="1"/>
  <c r="C15" i="1"/>
  <c r="D51" i="1"/>
  <c r="E33" i="1"/>
  <c r="G206" i="1"/>
  <c r="D230" i="1"/>
  <c r="B9" i="1"/>
  <c r="C307" i="1"/>
  <c r="D67" i="1"/>
  <c r="C302" i="1"/>
  <c r="C257" i="1"/>
  <c r="C14" i="1"/>
  <c r="D29" i="1"/>
  <c r="E8" i="1"/>
  <c r="G199" i="1"/>
  <c r="E282" i="1"/>
  <c r="D235" i="1"/>
  <c r="E222" i="1"/>
  <c r="E203" i="1"/>
  <c r="C41" i="1"/>
  <c r="E80" i="1"/>
  <c r="C62" i="1"/>
  <c r="C256" i="1"/>
  <c r="C13" i="1"/>
  <c r="D37" i="1"/>
  <c r="F352" i="1"/>
  <c r="G191" i="1"/>
  <c r="D240" i="1"/>
  <c r="F209" i="1"/>
  <c r="C251" i="1"/>
  <c r="D326" i="1"/>
  <c r="D27" i="1"/>
  <c r="F349" i="1"/>
  <c r="D239" i="1"/>
  <c r="C250" i="1"/>
  <c r="D317" i="1"/>
  <c r="D25" i="1"/>
  <c r="F341" i="1"/>
  <c r="G29" i="1"/>
  <c r="C11" i="1"/>
  <c r="F11" i="1"/>
  <c r="B11" i="1"/>
  <c r="G11" i="1"/>
  <c r="E11" i="1"/>
  <c r="D11" i="1"/>
  <c r="K9" i="2" l="1"/>
  <c r="K8" i="2"/>
  <c r="K7" i="2"/>
  <c r="K6" i="2"/>
  <c r="K5" i="2"/>
  <c r="G9" i="2"/>
  <c r="G8" i="2"/>
  <c r="G5" i="2"/>
  <c r="G7" i="2"/>
  <c r="G6" i="2"/>
  <c r="H9" i="2"/>
  <c r="H8" i="2"/>
  <c r="H7" i="2"/>
  <c r="H5" i="2"/>
  <c r="H6" i="2"/>
  <c r="I9" i="2"/>
  <c r="I8" i="2"/>
  <c r="I5" i="2"/>
  <c r="I7" i="2"/>
  <c r="I6" i="2"/>
  <c r="F5" i="2"/>
  <c r="F9" i="2"/>
  <c r="F8" i="2"/>
  <c r="F7" i="2"/>
  <c r="F6" i="2"/>
  <c r="J9" i="2"/>
  <c r="J8" i="2"/>
  <c r="J7" i="2"/>
  <c r="J6" i="2"/>
  <c r="J5" i="2"/>
  <c r="K10" i="2" l="1"/>
  <c r="H10" i="2"/>
  <c r="J10" i="2"/>
  <c r="I10" i="2"/>
  <c r="G10" i="2"/>
  <c r="F10" i="2"/>
</calcChain>
</file>

<file path=xl/sharedStrings.xml><?xml version="1.0" encoding="utf-8"?>
<sst xmlns="http://schemas.openxmlformats.org/spreadsheetml/2006/main" count="37699" uniqueCount="4043">
  <si>
    <t>FLAT NO</t>
  </si>
  <si>
    <t>C2</t>
  </si>
  <si>
    <t>D2</t>
  </si>
  <si>
    <t>D4</t>
  </si>
  <si>
    <t>F2</t>
  </si>
  <si>
    <t>F3</t>
  </si>
  <si>
    <t>D7</t>
  </si>
  <si>
    <t>TOTAL</t>
  </si>
  <si>
    <t>OPEN</t>
  </si>
  <si>
    <t>PENDING</t>
  </si>
  <si>
    <t>REVIEW</t>
  </si>
  <si>
    <t>CLOSED</t>
  </si>
  <si>
    <t>SUMMARY</t>
  </si>
  <si>
    <t>STAMS :</t>
  </si>
  <si>
    <t>Task #</t>
  </si>
  <si>
    <t>Stamp</t>
  </si>
  <si>
    <t>Title</t>
  </si>
  <si>
    <t>Description</t>
  </si>
  <si>
    <t>Date</t>
  </si>
  <si>
    <t>Status</t>
  </si>
  <si>
    <t>Type</t>
  </si>
  <si>
    <t>Sheet</t>
  </si>
  <si>
    <t>Location</t>
  </si>
  <si>
    <t>Root Cause</t>
  </si>
  <si>
    <t>Created By</t>
  </si>
  <si>
    <t>Assigned To</t>
  </si>
  <si>
    <t>Watchers</t>
  </si>
  <si>
    <t># Photos</t>
  </si>
  <si>
    <t>Color</t>
  </si>
  <si>
    <t>Archived</t>
  </si>
  <si>
    <t>Start Date</t>
  </si>
  <si>
    <t>Due Date</t>
  </si>
  <si>
    <t>Cost Impact</t>
  </si>
  <si>
    <t>Cost Impact Amount</t>
  </si>
  <si>
    <t>Schedule Impact</t>
  </si>
  <si>
    <t>Schedule Impact Amount (days)</t>
  </si>
  <si>
    <t>List</t>
  </si>
  <si>
    <t>Last Updated</t>
  </si>
  <si>
    <t>Closed On</t>
  </si>
  <si>
    <t>23871</t>
  </si>
  <si>
    <t>F3 FAS Integration IR</t>
  </si>
  <si>
    <t>Jun 01, 2026 @ 16:53</t>
  </si>
  <si>
    <t>closed</t>
  </si>
  <si>
    <t>Issue</t>
  </si>
  <si>
    <t>1905_Main 1 Sub B C D E F</t>
  </si>
  <si>
    <t>vivek.muralidharan@sobhaconst.com</t>
  </si>
  <si>
    <t>1</t>
  </si>
  <si>
    <t>blue</t>
  </si>
  <si>
    <t>No</t>
  </si>
  <si>
    <t>Unspecified</t>
  </si>
  <si>
    <t>Jun 09, 2026 @ 09:13</t>
  </si>
  <si>
    <t>23727</t>
  </si>
  <si>
    <t>D4 Intercom IR</t>
  </si>
  <si>
    <t>Intercom IR</t>
  </si>
  <si>
    <t>Apr 30, 2026 @ 04:00</t>
  </si>
  <si>
    <t>3210 _Main 1 Sub B C D E F</t>
  </si>
  <si>
    <t>202</t>
  </si>
  <si>
    <t>dharmaraja.kalimuthu@sobhaconst.com</t>
  </si>
  <si>
    <t>2</t>
  </si>
  <si>
    <t>Sub D - Electrical T&amp;C</t>
  </si>
  <si>
    <t>Jul 22, 2026 @ 12:53</t>
  </si>
  <si>
    <t>23726</t>
  </si>
  <si>
    <t>D2 ONU Panel/Data Points IR</t>
  </si>
  <si>
    <t xml:space="preserve"> ONU Panel/Data Points IR</t>
  </si>
  <si>
    <t>23713</t>
  </si>
  <si>
    <t>C2 Gas Detector/FAS Integration IR</t>
  </si>
  <si>
    <t>Gas Detector/FAS Integration IR</t>
  </si>
  <si>
    <t>Planned Work</t>
  </si>
  <si>
    <t>3109 _Main 1 Sub B C D E F</t>
  </si>
  <si>
    <t>3</t>
  </si>
  <si>
    <t>Sub C - LPG T&amp;C</t>
  </si>
  <si>
    <t>Jul 20, 2026 @ 17:49</t>
  </si>
  <si>
    <t>23699</t>
  </si>
  <si>
    <t>FAS Integration IR</t>
  </si>
  <si>
    <t>Sub F - Fire Fighting T&amp;C</t>
  </si>
  <si>
    <t>Jun 24, 2026 @ 12:27</t>
  </si>
  <si>
    <t>23697</t>
  </si>
  <si>
    <t>F2 Heat/Smoke Detector IR</t>
  </si>
  <si>
    <t>Heat/Smoke Detector IR</t>
  </si>
  <si>
    <t>6</t>
  </si>
  <si>
    <t>23420</t>
  </si>
  <si>
    <t>May 01, 2026 @ 17:13</t>
  </si>
  <si>
    <t>1204_Main 1 Sub B C D E F</t>
  </si>
  <si>
    <t>abishek.govindan@sobhaconst.com</t>
  </si>
  <si>
    <t>May 03, 2026 @ 09:50</t>
  </si>
  <si>
    <t>23417</t>
  </si>
  <si>
    <t>May 01, 2026 @ 15:40</t>
  </si>
  <si>
    <t>2002_Main 1 Sub B C D E F</t>
  </si>
  <si>
    <t>mohammad.mujiburrahman@sobhaconst.com</t>
  </si>
  <si>
    <t>Jul 17, 2026 @ 16:07</t>
  </si>
  <si>
    <t>23416</t>
  </si>
  <si>
    <t>9</t>
  </si>
  <si>
    <t>Jul 21, 2026 @ 15:54</t>
  </si>
  <si>
    <t>23412</t>
  </si>
  <si>
    <t>D7 Booster IR</t>
  </si>
  <si>
    <t>Jun 02, 2026 @ 12:15</t>
  </si>
  <si>
    <t>23409</t>
  </si>
  <si>
    <t>May 01, 2026 @ 15:39</t>
  </si>
  <si>
    <t>review</t>
  </si>
  <si>
    <t>23407</t>
  </si>
  <si>
    <t>Jul 22, 2026 @ 17:52</t>
  </si>
  <si>
    <t>23404</t>
  </si>
  <si>
    <t>Jul 22, 2026 @ 17:53</t>
  </si>
  <si>
    <t>16951</t>
  </si>
  <si>
    <t>Jan 09, 2026 @ 04:00</t>
  </si>
  <si>
    <t>1909_Main 1 Sub B C D E F</t>
  </si>
  <si>
    <t>sathvik@sobhaconst.com</t>
  </si>
  <si>
    <t>Jun 02, 2026 @ 15:21</t>
  </si>
  <si>
    <t>16946</t>
  </si>
  <si>
    <t>May 12, 2026 @ 17:57</t>
  </si>
  <si>
    <t>16944</t>
  </si>
  <si>
    <t>Booster IR</t>
  </si>
  <si>
    <t>May 12, 2026 @ 13:40</t>
  </si>
  <si>
    <t>16942</t>
  </si>
  <si>
    <t xml:space="preserve">Intercom IR
</t>
  </si>
  <si>
    <t>Jun 03, 2026 @ 15:34</t>
  </si>
  <si>
    <t>16939</t>
  </si>
  <si>
    <t>May 12, 2026 @ 17:59</t>
  </si>
  <si>
    <t>May 12, 2026 @ 17:58</t>
  </si>
  <si>
    <t>16931</t>
  </si>
  <si>
    <t xml:space="preserve"> ONU Panel/Data Points IR
</t>
  </si>
  <si>
    <t>Jun 03, 2026 @ 15:24</t>
  </si>
  <si>
    <t>16922</t>
  </si>
  <si>
    <t>1309_Main 1 Sub B C D E F</t>
  </si>
  <si>
    <t>Jun 04, 2026 @ 17:05</t>
  </si>
  <si>
    <t>16917</t>
  </si>
  <si>
    <t>1309</t>
  </si>
  <si>
    <t>Apr 23, 2026 @ 12:41</t>
  </si>
  <si>
    <t>16915</t>
  </si>
  <si>
    <t>Apr 22, 2026 @ 18:10</t>
  </si>
  <si>
    <t>16913</t>
  </si>
  <si>
    <t>May 11, 2026 @ 12:10</t>
  </si>
  <si>
    <t>16910</t>
  </si>
  <si>
    <t>Apr 23, 2026 @ 12:49</t>
  </si>
  <si>
    <t>16902</t>
  </si>
  <si>
    <t>May 05, 2026 @ 08:18</t>
  </si>
  <si>
    <t>16887</t>
  </si>
  <si>
    <t>3301_Main 1 Sub B C D E F</t>
  </si>
  <si>
    <t>8</t>
  </si>
  <si>
    <t>Jul 15, 2026 @ 13:13</t>
  </si>
  <si>
    <t>16885</t>
  </si>
  <si>
    <t>16880</t>
  </si>
  <si>
    <t>16877</t>
  </si>
  <si>
    <t>Jun 24, 2026 @ 12:29</t>
  </si>
  <si>
    <t>16871</t>
  </si>
  <si>
    <t>16869</t>
  </si>
  <si>
    <t>Jun 01, 2026 @ 14:03</t>
  </si>
  <si>
    <t>16858</t>
  </si>
  <si>
    <t>3302_Main 1 Sub B C D E F</t>
  </si>
  <si>
    <t>Jul 15, 2026 @ 13:14</t>
  </si>
  <si>
    <t>16856</t>
  </si>
  <si>
    <t>16851</t>
  </si>
  <si>
    <t>16848</t>
  </si>
  <si>
    <t>Jun 24, 2026 @ 12:30</t>
  </si>
  <si>
    <t>16842</t>
  </si>
  <si>
    <t>16840</t>
  </si>
  <si>
    <t>16829</t>
  </si>
  <si>
    <t>3303_Main 1 Sub B C D E F</t>
  </si>
  <si>
    <t>Jul 17, 2026 @ 14:03</t>
  </si>
  <si>
    <t>16827</t>
  </si>
  <si>
    <t>16822</t>
  </si>
  <si>
    <t>Jul 22, 2026 @ 14:12</t>
  </si>
  <si>
    <t>Jul 22, 2026 @ 12:54</t>
  </si>
  <si>
    <t>16819</t>
  </si>
  <si>
    <t>16813</t>
  </si>
  <si>
    <t>16811</t>
  </si>
  <si>
    <t>Jun 01, 2026 @ 14:04</t>
  </si>
  <si>
    <t>16800</t>
  </si>
  <si>
    <t>3304_Main 1 Sub B C D E F</t>
  </si>
  <si>
    <t>Jul 17, 2026 @ 14:10</t>
  </si>
  <si>
    <t>16798</t>
  </si>
  <si>
    <t>16793</t>
  </si>
  <si>
    <t>16790</t>
  </si>
  <si>
    <t>16784</t>
  </si>
  <si>
    <t>Jul 23, 2026 @ 08:34</t>
  </si>
  <si>
    <t>16782</t>
  </si>
  <si>
    <t>16771</t>
  </si>
  <si>
    <t>3305_Main 1 Sub B C D E F</t>
  </si>
  <si>
    <t>10</t>
  </si>
  <si>
    <t>16769</t>
  </si>
  <si>
    <t>Jul 22, 2026 @ 12:47</t>
  </si>
  <si>
    <t>16764</t>
  </si>
  <si>
    <t>16761</t>
  </si>
  <si>
    <t>Jul 17, 2026 @ 14:11</t>
  </si>
  <si>
    <t>16755</t>
  </si>
  <si>
    <t>16753</t>
  </si>
  <si>
    <t>Jun 01, 2026 @ 14:12</t>
  </si>
  <si>
    <t>16742</t>
  </si>
  <si>
    <t>3306_Main 1 Sub B C D E F</t>
  </si>
  <si>
    <t>5</t>
  </si>
  <si>
    <t>16740</t>
  </si>
  <si>
    <t>Jul 22, 2026 @ 17:16</t>
  </si>
  <si>
    <t>16735</t>
  </si>
  <si>
    <t>Jul 22, 2026 @ 12:38</t>
  </si>
  <si>
    <t>16732</t>
  </si>
  <si>
    <t>16726</t>
  </si>
  <si>
    <t>16724</t>
  </si>
  <si>
    <t>Jun 01, 2026 @ 14:13</t>
  </si>
  <si>
    <t>16713</t>
  </si>
  <si>
    <t>3307_Main 1 Sub B C D E F</t>
  </si>
  <si>
    <t>16711</t>
  </si>
  <si>
    <t>Jul 23, 2026 @ 08:35</t>
  </si>
  <si>
    <t>16706</t>
  </si>
  <si>
    <t>16703</t>
  </si>
  <si>
    <t>16697</t>
  </si>
  <si>
    <t>16695</t>
  </si>
  <si>
    <t>16684</t>
  </si>
  <si>
    <t>3308_Main 1 Sub B C D E F</t>
  </si>
  <si>
    <t>16682</t>
  </si>
  <si>
    <t>Jul 23, 2026 @ 09:42</t>
  </si>
  <si>
    <t>16677</t>
  </si>
  <si>
    <t>Jul 23, 2026 @ 09:43</t>
  </si>
  <si>
    <t>16674</t>
  </si>
  <si>
    <t>Jul 17, 2026 @ 14:12</t>
  </si>
  <si>
    <t>16668</t>
  </si>
  <si>
    <t>Jul 23, 2026 @ 11:55</t>
  </si>
  <si>
    <t>16666</t>
  </si>
  <si>
    <t>16655</t>
  </si>
  <si>
    <t>3309 _Main 1 Sub B C D E F</t>
  </si>
  <si>
    <t>16653</t>
  </si>
  <si>
    <t>16648</t>
  </si>
  <si>
    <t>Jul 22, 2026 @ 12:55</t>
  </si>
  <si>
    <t>16645</t>
  </si>
  <si>
    <t>16639</t>
  </si>
  <si>
    <t>16637</t>
  </si>
  <si>
    <t>Jun 01, 2026 @ 14:24</t>
  </si>
  <si>
    <t>Jun 01, 2026 @ 14:22</t>
  </si>
  <si>
    <t>16626</t>
  </si>
  <si>
    <t>3401_Main 1 Sub B C D E F</t>
  </si>
  <si>
    <t>Jul 21, 2026 @ 14:36</t>
  </si>
  <si>
    <t>16624</t>
  </si>
  <si>
    <t>Jul 24, 2026 @ 09:41</t>
  </si>
  <si>
    <t>16619</t>
  </si>
  <si>
    <t>16616</t>
  </si>
  <si>
    <t>16610</t>
  </si>
  <si>
    <t>Jul 24, 2026 @ 09:42</t>
  </si>
  <si>
    <t>16608</t>
  </si>
  <si>
    <t>Jun 01, 2026 @ 14:30</t>
  </si>
  <si>
    <t>16597</t>
  </si>
  <si>
    <t>3402_Main 1 Sub B C D E F</t>
  </si>
  <si>
    <t>16595</t>
  </si>
  <si>
    <t>16590</t>
  </si>
  <si>
    <t>16587</t>
  </si>
  <si>
    <t>16581</t>
  </si>
  <si>
    <t>16579</t>
  </si>
  <si>
    <t>Jun 01, 2026 @ 14:31</t>
  </si>
  <si>
    <t>16568</t>
  </si>
  <si>
    <t>3403_Main 1 Sub B C D E F</t>
  </si>
  <si>
    <t>16566</t>
  </si>
  <si>
    <t>16561</t>
  </si>
  <si>
    <t>Jul 24, 2026 @ 09:43</t>
  </si>
  <si>
    <t>16558</t>
  </si>
  <si>
    <t>16552</t>
  </si>
  <si>
    <t>16550</t>
  </si>
  <si>
    <t>16539</t>
  </si>
  <si>
    <t>3404_Main 1 Sub B C D E F</t>
  </si>
  <si>
    <t>16537</t>
  </si>
  <si>
    <t>16532</t>
  </si>
  <si>
    <t>16529</t>
  </si>
  <si>
    <t>16523</t>
  </si>
  <si>
    <t>Jul 24, 2026 @ 09:44</t>
  </si>
  <si>
    <t>16521</t>
  </si>
  <si>
    <t>16510</t>
  </si>
  <si>
    <t>3405_Main 1 Sub B C D E F</t>
  </si>
  <si>
    <t>16508</t>
  </si>
  <si>
    <t>16503</t>
  </si>
  <si>
    <t>16500</t>
  </si>
  <si>
    <t>Jul 17, 2026 @ 14:13</t>
  </si>
  <si>
    <t>16494</t>
  </si>
  <si>
    <t>16492</t>
  </si>
  <si>
    <t>Jun 01, 2026 @ 14:32</t>
  </si>
  <si>
    <t>16481</t>
  </si>
  <si>
    <t>3406_Main 1 Sub B C D E F</t>
  </si>
  <si>
    <t>4</t>
  </si>
  <si>
    <t>16479</t>
  </si>
  <si>
    <t>16474</t>
  </si>
  <si>
    <t>Jul 24, 2026 @ 09:45</t>
  </si>
  <si>
    <t>16471</t>
  </si>
  <si>
    <t>16465</t>
  </si>
  <si>
    <t>Jul 24, 2026 @ 12:50</t>
  </si>
  <si>
    <t>16463</t>
  </si>
  <si>
    <t>16452</t>
  </si>
  <si>
    <t>3407_Main 1 Sub B C D E F</t>
  </si>
  <si>
    <t>Jul 21, 2026 @ 14:37</t>
  </si>
  <si>
    <t>16450</t>
  </si>
  <si>
    <t>Jul 23, 2026 @ 17:49</t>
  </si>
  <si>
    <t>16445</t>
  </si>
  <si>
    <t>Jul 23, 2026 @ 17:48</t>
  </si>
  <si>
    <t>16442</t>
  </si>
  <si>
    <t>16436</t>
  </si>
  <si>
    <t>16434</t>
  </si>
  <si>
    <t>Jun 01, 2026 @ 14:33</t>
  </si>
  <si>
    <t>16423</t>
  </si>
  <si>
    <t>3408_Main 1 Sub B C D E F</t>
  </si>
  <si>
    <t>16421</t>
  </si>
  <si>
    <t>Jul 23, 2026 @ 17:54</t>
  </si>
  <si>
    <t>16416</t>
  </si>
  <si>
    <t>16413</t>
  </si>
  <si>
    <t>16407</t>
  </si>
  <si>
    <t>Jul 23, 2026 @ 17:53</t>
  </si>
  <si>
    <t>16405</t>
  </si>
  <si>
    <t>Jun 01, 2026 @ 14:35</t>
  </si>
  <si>
    <t>16394</t>
  </si>
  <si>
    <t>3409_Main 1 Sub B C D E F</t>
  </si>
  <si>
    <t>13</t>
  </si>
  <si>
    <t>16392</t>
  </si>
  <si>
    <t>16387</t>
  </si>
  <si>
    <t>16384</t>
  </si>
  <si>
    <t>Jul 17, 2026 @ 14:14</t>
  </si>
  <si>
    <t>16378</t>
  </si>
  <si>
    <t>16376</t>
  </si>
  <si>
    <t>16365</t>
  </si>
  <si>
    <t>3410 _Main 1 Sub B C D E F</t>
  </si>
  <si>
    <t>16363</t>
  </si>
  <si>
    <t>Jul 23, 2026 @ 17:55</t>
  </si>
  <si>
    <t>16358</t>
  </si>
  <si>
    <t>16355</t>
  </si>
  <si>
    <t>16349</t>
  </si>
  <si>
    <t>16347</t>
  </si>
  <si>
    <t>Jun 01, 2026 @ 14:36</t>
  </si>
  <si>
    <t>16336</t>
  </si>
  <si>
    <t>3501_Main 1 Sub B C D E F</t>
  </si>
  <si>
    <t>Jul 17, 2026 @ 14:15</t>
  </si>
  <si>
    <t>16334</t>
  </si>
  <si>
    <t>Jul 25, 2026 @ 08:35</t>
  </si>
  <si>
    <t>16329</t>
  </si>
  <si>
    <t>16326</t>
  </si>
  <si>
    <t>Jul 14, 2026 @ 10:45</t>
  </si>
  <si>
    <t>16320</t>
  </si>
  <si>
    <t>16318</t>
  </si>
  <si>
    <t>May 09, 2026 @ 13:58</t>
  </si>
  <si>
    <t>16307</t>
  </si>
  <si>
    <t>3502_Main 1 Sub B C D E F</t>
  </si>
  <si>
    <t>16305</t>
  </si>
  <si>
    <t>Jul 25, 2026 @ 08:36</t>
  </si>
  <si>
    <t>16300</t>
  </si>
  <si>
    <t>16297</t>
  </si>
  <si>
    <t>16291</t>
  </si>
  <si>
    <t>Jul 24, 2026 @ 14:15</t>
  </si>
  <si>
    <t>16289</t>
  </si>
  <si>
    <t>May 09, 2026 @ 13:57</t>
  </si>
  <si>
    <t>16278</t>
  </si>
  <si>
    <t>3503_Main 1 Sub B C D E F</t>
  </si>
  <si>
    <t>16276</t>
  </si>
  <si>
    <t>16271</t>
  </si>
  <si>
    <t>Jul 25, 2026 @ 08:37</t>
  </si>
  <si>
    <t>16268</t>
  </si>
  <si>
    <t>16262</t>
  </si>
  <si>
    <t>Jul 24, 2026 @ 14:16</t>
  </si>
  <si>
    <t>16260</t>
  </si>
  <si>
    <t>May 09, 2026 @ 13:56</t>
  </si>
  <si>
    <t>16249</t>
  </si>
  <si>
    <t>3504_Main 1 Sub B C D E F</t>
  </si>
  <si>
    <t>16247</t>
  </si>
  <si>
    <t>16242</t>
  </si>
  <si>
    <t>16239</t>
  </si>
  <si>
    <t>16233</t>
  </si>
  <si>
    <t>16231</t>
  </si>
  <si>
    <t>May 09, 2026 @ 13:55</t>
  </si>
  <si>
    <t>16220</t>
  </si>
  <si>
    <t>3505_Main 1 Sub B C D E F</t>
  </si>
  <si>
    <t>16218</t>
  </si>
  <si>
    <t>16213</t>
  </si>
  <si>
    <t>16210</t>
  </si>
  <si>
    <t>Jul 17, 2026 @ 14:16</t>
  </si>
  <si>
    <t>16204</t>
  </si>
  <si>
    <t>16202</t>
  </si>
  <si>
    <t>Jul 21, 2026 @ 17:05</t>
  </si>
  <si>
    <t>16191</t>
  </si>
  <si>
    <t>3506_Main 1 Sub B C D E F</t>
  </si>
  <si>
    <t>Jul 17, 2026 @ 14:17</t>
  </si>
  <si>
    <t>16189</t>
  </si>
  <si>
    <t>16184</t>
  </si>
  <si>
    <t>16181</t>
  </si>
  <si>
    <t>16175</t>
  </si>
  <si>
    <t>16173</t>
  </si>
  <si>
    <t>May 09, 2026 @ 13:54</t>
  </si>
  <si>
    <t>16162</t>
  </si>
  <si>
    <t>3507_Main 1 Sub B C D E F</t>
  </si>
  <si>
    <t>16160</t>
  </si>
  <si>
    <t>16155</t>
  </si>
  <si>
    <t>Jul 25, 2026 @ 09:08</t>
  </si>
  <si>
    <t>16152</t>
  </si>
  <si>
    <t>16146</t>
  </si>
  <si>
    <t>16144</t>
  </si>
  <si>
    <t>Jul 21, 2026 @ 17:09</t>
  </si>
  <si>
    <t>16133</t>
  </si>
  <si>
    <t>3508_Main 1 Sub B C D E F</t>
  </si>
  <si>
    <t>16131</t>
  </si>
  <si>
    <t>16126</t>
  </si>
  <si>
    <t>16123</t>
  </si>
  <si>
    <t>16117</t>
  </si>
  <si>
    <t>Jul 24, 2026 @ 14:17</t>
  </si>
  <si>
    <t>16115</t>
  </si>
  <si>
    <t>16104</t>
  </si>
  <si>
    <t>3509 _Main 1 Sub B C D E F</t>
  </si>
  <si>
    <t>16102</t>
  </si>
  <si>
    <t>16097</t>
  </si>
  <si>
    <t>Jul 25, 2026 @ 08:41</t>
  </si>
  <si>
    <t>16094</t>
  </si>
  <si>
    <t>16088</t>
  </si>
  <si>
    <t>16086</t>
  </si>
  <si>
    <t>Jul 21, 2026 @ 18:03</t>
  </si>
  <si>
    <t>May 09, 2026 @ 13:53</t>
  </si>
  <si>
    <t>16075</t>
  </si>
  <si>
    <t>3601_Main 1 Sub B C D E F</t>
  </si>
  <si>
    <t>16073</t>
  </si>
  <si>
    <t>0</t>
  </si>
  <si>
    <t>16068</t>
  </si>
  <si>
    <t>16065</t>
  </si>
  <si>
    <t>Jul 17, 2026 @ 16:00</t>
  </si>
  <si>
    <t>16059</t>
  </si>
  <si>
    <t>16057</t>
  </si>
  <si>
    <t>May 04, 2026 @ 12:28</t>
  </si>
  <si>
    <t>16046</t>
  </si>
  <si>
    <t>3605_Main 1 Sub B C D E F</t>
  </si>
  <si>
    <t>16044</t>
  </si>
  <si>
    <t>16039</t>
  </si>
  <si>
    <t>16036</t>
  </si>
  <si>
    <t>Jul 17, 2026 @ 16:01</t>
  </si>
  <si>
    <t>16030</t>
  </si>
  <si>
    <t>16028</t>
  </si>
  <si>
    <t>May 04, 2026 @ 12:26</t>
  </si>
  <si>
    <t>16017</t>
  </si>
  <si>
    <t>3606_Main 1 Sub B C D E F</t>
  </si>
  <si>
    <t>16015</t>
  </si>
  <si>
    <t>16010</t>
  </si>
  <si>
    <t>16007</t>
  </si>
  <si>
    <t>16001</t>
  </si>
  <si>
    <t>15999</t>
  </si>
  <si>
    <t>15988</t>
  </si>
  <si>
    <t>15978</t>
  </si>
  <si>
    <t>15972</t>
  </si>
  <si>
    <t>15970</t>
  </si>
  <si>
    <t>Jun 23, 2026 @ 08:35</t>
  </si>
  <si>
    <t>Jun 01, 2026 @ 14:19</t>
  </si>
  <si>
    <t>15959</t>
  </si>
  <si>
    <t>3209_Main 1 Sub B C D E F</t>
  </si>
  <si>
    <t>12</t>
  </si>
  <si>
    <t>Jun 24, 2026 @ 13:19</t>
  </si>
  <si>
    <t>15957</t>
  </si>
  <si>
    <t>Jul 22, 2026 @ 12:56</t>
  </si>
  <si>
    <t>15952</t>
  </si>
  <si>
    <t>15949</t>
  </si>
  <si>
    <t>15943</t>
  </si>
  <si>
    <t>Jul 23, 2026 @ 11:58</t>
  </si>
  <si>
    <t>15941</t>
  </si>
  <si>
    <t>Jun 01, 2026 @ 14:18</t>
  </si>
  <si>
    <t>15930</t>
  </si>
  <si>
    <t>3208_Main 1 Sub B C D E F</t>
  </si>
  <si>
    <t>15928</t>
  </si>
  <si>
    <t>Jul 21, 2026 @ 08:48</t>
  </si>
  <si>
    <t>15923</t>
  </si>
  <si>
    <t>15920</t>
  </si>
  <si>
    <t>Jun 24, 2026 @ 13:20</t>
  </si>
  <si>
    <t>15914</t>
  </si>
  <si>
    <t>Jul 21, 2026 @ 14:38</t>
  </si>
  <si>
    <t>15912</t>
  </si>
  <si>
    <t>15901</t>
  </si>
  <si>
    <t>3207_Main 1 Sub B C D E F</t>
  </si>
  <si>
    <t>15899</t>
  </si>
  <si>
    <t>Jul 21, 2026 @ 13:26</t>
  </si>
  <si>
    <t>15894</t>
  </si>
  <si>
    <t>15891</t>
  </si>
  <si>
    <t>15885</t>
  </si>
  <si>
    <t>Jul 22, 2026 @ 17:26</t>
  </si>
  <si>
    <t>Jul 21, 2026 @ 15:49</t>
  </si>
  <si>
    <t>15883</t>
  </si>
  <si>
    <t>Jul 20, 2026 @ 16:14</t>
  </si>
  <si>
    <t>Jun 01, 2026 @ 14:17</t>
  </si>
  <si>
    <t>15872</t>
  </si>
  <si>
    <t>3206_Main 1 Sub B C D E F</t>
  </si>
  <si>
    <t>Jul 15, 2026 @ 13:17</t>
  </si>
  <si>
    <t>15870</t>
  </si>
  <si>
    <t>Jul 20, 2026 @ 17:51</t>
  </si>
  <si>
    <t>15865</t>
  </si>
  <si>
    <t>15862</t>
  </si>
  <si>
    <t>Jun 24, 2026 @ 13:21</t>
  </si>
  <si>
    <t>15856</t>
  </si>
  <si>
    <t>Jul 22, 2026 @ 17:25</t>
  </si>
  <si>
    <t>Jul 21, 2026 @ 15:47</t>
  </si>
  <si>
    <t>15854</t>
  </si>
  <si>
    <t>15843</t>
  </si>
  <si>
    <t>3205_Main 1 Sub B C D E F</t>
  </si>
  <si>
    <t>15841</t>
  </si>
  <si>
    <t>15836</t>
  </si>
  <si>
    <t>Jul 22, 2026 @ 12:57</t>
  </si>
  <si>
    <t>15833</t>
  </si>
  <si>
    <t>15827</t>
  </si>
  <si>
    <t>Jul 23, 2026 @ 11:59</t>
  </si>
  <si>
    <t>15825</t>
  </si>
  <si>
    <t>Jul 20, 2026 @ 16:12</t>
  </si>
  <si>
    <t>15814</t>
  </si>
  <si>
    <t>3204_Main 1 Sub B C D E F</t>
  </si>
  <si>
    <t>15812</t>
  </si>
  <si>
    <t>15807</t>
  </si>
  <si>
    <t>15804</t>
  </si>
  <si>
    <t>Jun 24, 2026 @ 13:22</t>
  </si>
  <si>
    <t>15798</t>
  </si>
  <si>
    <t>15796</t>
  </si>
  <si>
    <t>Jun 01, 2026 @ 14:16</t>
  </si>
  <si>
    <t>Jun 01, 2026 @ 08:37</t>
  </si>
  <si>
    <t>15785</t>
  </si>
  <si>
    <t>3203_Main 1 Sub B C D E F</t>
  </si>
  <si>
    <t>15783</t>
  </si>
  <si>
    <t>15778</t>
  </si>
  <si>
    <t>Jul 21, 2026 @ 08:49</t>
  </si>
  <si>
    <t>15775</t>
  </si>
  <si>
    <t>15769</t>
  </si>
  <si>
    <t>15767</t>
  </si>
  <si>
    <t>Jun 01, 2026 @ 14:15</t>
  </si>
  <si>
    <t>May 07, 2026 @ 13:35</t>
  </si>
  <si>
    <t>15756</t>
  </si>
  <si>
    <t>3202_Main 1 Sub B C D E F</t>
  </si>
  <si>
    <t>15754</t>
  </si>
  <si>
    <t>Jul 22, 2026 @ 12:58</t>
  </si>
  <si>
    <t>15749</t>
  </si>
  <si>
    <t>15746</t>
  </si>
  <si>
    <t>Jun 24, 2026 @ 13:23</t>
  </si>
  <si>
    <t>15740</t>
  </si>
  <si>
    <t>Jul 22, 2026 @ 12:59</t>
  </si>
  <si>
    <t>15738</t>
  </si>
  <si>
    <t>Jun 01, 2026 @ 08:41</t>
  </si>
  <si>
    <t>May 07, 2026 @ 13:34</t>
  </si>
  <si>
    <t>15727</t>
  </si>
  <si>
    <t>3201_Main 1 Sub B C D E F</t>
  </si>
  <si>
    <t>15725</t>
  </si>
  <si>
    <t>15720</t>
  </si>
  <si>
    <t>15717</t>
  </si>
  <si>
    <t>15711</t>
  </si>
  <si>
    <t>15709</t>
  </si>
  <si>
    <t>Jun 01, 2026 @ 08:40</t>
  </si>
  <si>
    <t>15696</t>
  </si>
  <si>
    <t>15691</t>
  </si>
  <si>
    <t>Jul 20, 2026 @ 17:53</t>
  </si>
  <si>
    <t>15680</t>
  </si>
  <si>
    <t>Jun 23, 2026 @ 08:34</t>
  </si>
  <si>
    <t>May 04, 2026 @ 17:46</t>
  </si>
  <si>
    <t>15669</t>
  </si>
  <si>
    <t>3108_Main 1 Sub B C D E F</t>
  </si>
  <si>
    <t>Jun 24, 2026 @ 13:27</t>
  </si>
  <si>
    <t>Jun 24, 2026 @ 13:26</t>
  </si>
  <si>
    <t>15667</t>
  </si>
  <si>
    <t>15662</t>
  </si>
  <si>
    <t>15659</t>
  </si>
  <si>
    <t>15653</t>
  </si>
  <si>
    <t>15651</t>
  </si>
  <si>
    <t>15640</t>
  </si>
  <si>
    <t>3107_Main 1 Sub B C D E F</t>
  </si>
  <si>
    <t>Jun 24, 2026 @ 13:28</t>
  </si>
  <si>
    <t>15638</t>
  </si>
  <si>
    <t>Jul 20, 2026 @ 17:54</t>
  </si>
  <si>
    <t>15633</t>
  </si>
  <si>
    <t>15630</t>
  </si>
  <si>
    <t>15624</t>
  </si>
  <si>
    <t>Jul 20, 2026 @ 15:06</t>
  </si>
  <si>
    <t>15622</t>
  </si>
  <si>
    <t>15611</t>
  </si>
  <si>
    <t>3106_Main 1 Sub B C D E F</t>
  </si>
  <si>
    <t>15609</t>
  </si>
  <si>
    <t>Jul 22, 2026 @ 14:32</t>
  </si>
  <si>
    <t>15604</t>
  </si>
  <si>
    <t>15601</t>
  </si>
  <si>
    <t>15595</t>
  </si>
  <si>
    <t>15593</t>
  </si>
  <si>
    <t>May 04, 2026 @ 17:45</t>
  </si>
  <si>
    <t>15582</t>
  </si>
  <si>
    <t>3105_Main 1 Sub B C D E F</t>
  </si>
  <si>
    <t>Jun 24, 2026 @ 13:29</t>
  </si>
  <si>
    <t>15580</t>
  </si>
  <si>
    <t>Jul 23, 2026 @ 14:02</t>
  </si>
  <si>
    <t>15575</t>
  </si>
  <si>
    <t>15572</t>
  </si>
  <si>
    <t>15566</t>
  </si>
  <si>
    <t>Jul 20, 2026 @ 18:00</t>
  </si>
  <si>
    <t>15564</t>
  </si>
  <si>
    <t>15553</t>
  </si>
  <si>
    <t>3104_Main 1 Sub B C D E F</t>
  </si>
  <si>
    <t>15551</t>
  </si>
  <si>
    <t>Jul 20, 2026 @ 18:01</t>
  </si>
  <si>
    <t>15546</t>
  </si>
  <si>
    <t>Jul 20, 2026 @ 18:02</t>
  </si>
  <si>
    <t>15543</t>
  </si>
  <si>
    <t>15537</t>
  </si>
  <si>
    <t>Jul 20, 2026 @ 14:30</t>
  </si>
  <si>
    <t>15535</t>
  </si>
  <si>
    <t>15524</t>
  </si>
  <si>
    <t>3103_Main 1 Sub B C D E F</t>
  </si>
  <si>
    <t>15522</t>
  </si>
  <si>
    <t>15517</t>
  </si>
  <si>
    <t>15514</t>
  </si>
  <si>
    <t>Jun 24, 2026 @ 13:30</t>
  </si>
  <si>
    <t>15508</t>
  </si>
  <si>
    <t>15506</t>
  </si>
  <si>
    <t>May 04, 2026 @ 17:44</t>
  </si>
  <si>
    <t>15495</t>
  </si>
  <si>
    <t>3102_Main 1 Sub B C D E F</t>
  </si>
  <si>
    <t>15493</t>
  </si>
  <si>
    <t>Jul 23, 2026 @ 12:14</t>
  </si>
  <si>
    <t>15488</t>
  </si>
  <si>
    <t>Jul 23, 2026 @ 13:42</t>
  </si>
  <si>
    <t>15485</t>
  </si>
  <si>
    <t>15479</t>
  </si>
  <si>
    <t>Jul 20, 2026 @ 18:03</t>
  </si>
  <si>
    <t>15477</t>
  </si>
  <si>
    <t>15466</t>
  </si>
  <si>
    <t>3101_Main 1 Sub B C D E F</t>
  </si>
  <si>
    <t>15464</t>
  </si>
  <si>
    <t>15459</t>
  </si>
  <si>
    <t>15456</t>
  </si>
  <si>
    <t>15450</t>
  </si>
  <si>
    <t>15448</t>
  </si>
  <si>
    <t>Jun 01, 2026 @ 14:02</t>
  </si>
  <si>
    <t>15437</t>
  </si>
  <si>
    <t>3010 _Main 1 Sub B C D E F</t>
  </si>
  <si>
    <t>Jun 24, 2026 @ 13:31</t>
  </si>
  <si>
    <t>15435</t>
  </si>
  <si>
    <t>Jul 20, 2026 @ 18:04</t>
  </si>
  <si>
    <t>15430</t>
  </si>
  <si>
    <t>15427</t>
  </si>
  <si>
    <t>15421</t>
  </si>
  <si>
    <t>Jul 20, 2026 @ 18:05</t>
  </si>
  <si>
    <t>15419</t>
  </si>
  <si>
    <t>May 04, 2026 @ 17:38</t>
  </si>
  <si>
    <t>15408</t>
  </si>
  <si>
    <t>3604_Main 1 Sub B C D E F</t>
  </si>
  <si>
    <t>15406</t>
  </si>
  <si>
    <t>15401</t>
  </si>
  <si>
    <t>15398</t>
  </si>
  <si>
    <t>15392</t>
  </si>
  <si>
    <t>15390</t>
  </si>
  <si>
    <t>15379</t>
  </si>
  <si>
    <t>3603_Main 1 Sub B C D E F</t>
  </si>
  <si>
    <t>15377</t>
  </si>
  <si>
    <t>15372</t>
  </si>
  <si>
    <t>15369</t>
  </si>
  <si>
    <t>15363</t>
  </si>
  <si>
    <t>15361</t>
  </si>
  <si>
    <t>15350</t>
  </si>
  <si>
    <t>3602_Main 1 Sub B C D E F</t>
  </si>
  <si>
    <t>15348</t>
  </si>
  <si>
    <t>15343</t>
  </si>
  <si>
    <t>15340</t>
  </si>
  <si>
    <t>Jul 17, 2026 @ 16:02</t>
  </si>
  <si>
    <t>15334</t>
  </si>
  <si>
    <t>15332</t>
  </si>
  <si>
    <t>May 04, 2026 @ 12:27</t>
  </si>
  <si>
    <t>15321</t>
  </si>
  <si>
    <t>3607_Main 1 Sub B C D E F</t>
  </si>
  <si>
    <t>15319</t>
  </si>
  <si>
    <t>15314</t>
  </si>
  <si>
    <t>15311</t>
  </si>
  <si>
    <t>15305</t>
  </si>
  <si>
    <t>15303</t>
  </si>
  <si>
    <t>Jul 22, 2026 @ 14:24</t>
  </si>
  <si>
    <t>May 04, 2026 @ 12:25</t>
  </si>
  <si>
    <t>15292</t>
  </si>
  <si>
    <t>3608_Main 1 Sub B C D E F</t>
  </si>
  <si>
    <t>15290</t>
  </si>
  <si>
    <t>15285</t>
  </si>
  <si>
    <t>15282</t>
  </si>
  <si>
    <t>15276</t>
  </si>
  <si>
    <t>15274</t>
  </si>
  <si>
    <t>15263</t>
  </si>
  <si>
    <t>3609_Main 1 Sub B C D E F</t>
  </si>
  <si>
    <t>Jul 21, 2026 @ 14:39</t>
  </si>
  <si>
    <t>15261</t>
  </si>
  <si>
    <t>15256</t>
  </si>
  <si>
    <t>15253</t>
  </si>
  <si>
    <t>15247</t>
  </si>
  <si>
    <t>15245</t>
  </si>
  <si>
    <t>Jun 26, 2026 @ 08:42</t>
  </si>
  <si>
    <t>Jun 26, 2026 @ 08:41</t>
  </si>
  <si>
    <t>15234</t>
  </si>
  <si>
    <t>3610 _Main 1 Sub B C D E F</t>
  </si>
  <si>
    <t>Jul 21, 2026 @ 15:50</t>
  </si>
  <si>
    <t>15232</t>
  </si>
  <si>
    <t>15227</t>
  </si>
  <si>
    <t>15224</t>
  </si>
  <si>
    <t>15218</t>
  </si>
  <si>
    <t>15216</t>
  </si>
  <si>
    <t>May 04, 2026 @ 12:24</t>
  </si>
  <si>
    <t>15205</t>
  </si>
  <si>
    <t>3701_Main 1 Sub B C D E F</t>
  </si>
  <si>
    <t>15203</t>
  </si>
  <si>
    <t>15198</t>
  </si>
  <si>
    <t>15195</t>
  </si>
  <si>
    <t>Jul 14, 2026 @ 10:46</t>
  </si>
  <si>
    <t>15189</t>
  </si>
  <si>
    <t>15187</t>
  </si>
  <si>
    <t>May 04, 2026 @ 12:20</t>
  </si>
  <si>
    <t>15176</t>
  </si>
  <si>
    <t>3702_Main 1 Sub B C D E F</t>
  </si>
  <si>
    <t>15174</t>
  </si>
  <si>
    <t>15169</t>
  </si>
  <si>
    <t>15166</t>
  </si>
  <si>
    <t>Jul 17, 2026 @ 16:03</t>
  </si>
  <si>
    <t>15160</t>
  </si>
  <si>
    <t>15158</t>
  </si>
  <si>
    <t>May 04, 2026 @ 12:21</t>
  </si>
  <si>
    <t>15147</t>
  </si>
  <si>
    <t>3703_Main 1 Sub B C D E F</t>
  </si>
  <si>
    <t>Jul 21, 2026 @ 15:51</t>
  </si>
  <si>
    <t>15145</t>
  </si>
  <si>
    <t>15140</t>
  </si>
  <si>
    <t>15137</t>
  </si>
  <si>
    <t>15131</t>
  </si>
  <si>
    <t>15129</t>
  </si>
  <si>
    <t>15118</t>
  </si>
  <si>
    <t>3704_Main 1 Sub B C D E F</t>
  </si>
  <si>
    <t>7</t>
  </si>
  <si>
    <t>15116</t>
  </si>
  <si>
    <t>15111</t>
  </si>
  <si>
    <t>15108</t>
  </si>
  <si>
    <t>15102</t>
  </si>
  <si>
    <t>15100</t>
  </si>
  <si>
    <t>15089</t>
  </si>
  <si>
    <t>3705_Main 1 Sub B C D E F</t>
  </si>
  <si>
    <t>15087</t>
  </si>
  <si>
    <t>15082</t>
  </si>
  <si>
    <t>15079</t>
  </si>
  <si>
    <t>15073</t>
  </si>
  <si>
    <t>15071</t>
  </si>
  <si>
    <t>May 04, 2026 @ 12:22</t>
  </si>
  <si>
    <t>15060</t>
  </si>
  <si>
    <t>3706_Main 1 Sub B C D E F</t>
  </si>
  <si>
    <t>15058</t>
  </si>
  <si>
    <t>15053</t>
  </si>
  <si>
    <t>15050</t>
  </si>
  <si>
    <t>15044</t>
  </si>
  <si>
    <t>15042</t>
  </si>
  <si>
    <t>15031</t>
  </si>
  <si>
    <t>3707_Main 1 Sub B C D E F</t>
  </si>
  <si>
    <t>Jul 21, 2026 @ 15:53</t>
  </si>
  <si>
    <t>15029</t>
  </si>
  <si>
    <t>15024</t>
  </si>
  <si>
    <t>15021</t>
  </si>
  <si>
    <t>15015</t>
  </si>
  <si>
    <t>15013</t>
  </si>
  <si>
    <t>15002</t>
  </si>
  <si>
    <t>3708_Main 1 Sub B C D E F</t>
  </si>
  <si>
    <t>15000</t>
  </si>
  <si>
    <t>14995</t>
  </si>
  <si>
    <t>14992</t>
  </si>
  <si>
    <t>14986</t>
  </si>
  <si>
    <t>14984</t>
  </si>
  <si>
    <t>May 04, 2026 @ 12:23</t>
  </si>
  <si>
    <t>14973</t>
  </si>
  <si>
    <t>3709_Main 1 Sub B C D E F</t>
  </si>
  <si>
    <t>14971</t>
  </si>
  <si>
    <t>14966</t>
  </si>
  <si>
    <t>14963</t>
  </si>
  <si>
    <t>Jul 17, 2026 @ 16:04</t>
  </si>
  <si>
    <t>14957</t>
  </si>
  <si>
    <t>14955</t>
  </si>
  <si>
    <t>Jul 22, 2026 @ 16:09</t>
  </si>
  <si>
    <t>14944</t>
  </si>
  <si>
    <t>Jan 08, 2026 @ 04:00</t>
  </si>
  <si>
    <t>3009_Main 1 Sub B C D E F</t>
  </si>
  <si>
    <t>Jun 24, 2026 @ 13:32</t>
  </si>
  <si>
    <t>14942</t>
  </si>
  <si>
    <t>Jul 23, 2026 @ 12:00</t>
  </si>
  <si>
    <t>14937</t>
  </si>
  <si>
    <t>Jul 23, 2026 @ 12:01</t>
  </si>
  <si>
    <t>14934</t>
  </si>
  <si>
    <t>14928</t>
  </si>
  <si>
    <t>14926</t>
  </si>
  <si>
    <t>14915</t>
  </si>
  <si>
    <t>3008_Main 1 Sub B C D E F</t>
  </si>
  <si>
    <t>Jun 24, 2026 @ 13:35</t>
  </si>
  <si>
    <t>14913</t>
  </si>
  <si>
    <t>Jul 20, 2026 @ 10:48</t>
  </si>
  <si>
    <t>Jul 18, 2026 @ 17:44</t>
  </si>
  <si>
    <t>14908</t>
  </si>
  <si>
    <t>Jul 18, 2026 @ 17:43</t>
  </si>
  <si>
    <t>14905</t>
  </si>
  <si>
    <t>14899</t>
  </si>
  <si>
    <t>14897</t>
  </si>
  <si>
    <t>14886</t>
  </si>
  <si>
    <t>3007_Main 1 Sub B C D E F</t>
  </si>
  <si>
    <t>14884</t>
  </si>
  <si>
    <t>Jul 20, 2026 @ 17:50</t>
  </si>
  <si>
    <t>14879</t>
  </si>
  <si>
    <t>14876</t>
  </si>
  <si>
    <t>Jun 24, 2026 @ 13:36</t>
  </si>
  <si>
    <t>14870</t>
  </si>
  <si>
    <t>14868</t>
  </si>
  <si>
    <t>May 04, 2026 @ 17:37</t>
  </si>
  <si>
    <t>14857</t>
  </si>
  <si>
    <t>3006_Main 1 Sub B C D E F</t>
  </si>
  <si>
    <t>Jul 16, 2026 @ 16:43</t>
  </si>
  <si>
    <t>14855</t>
  </si>
  <si>
    <t>Jul 16, 2026 @ 18:04</t>
  </si>
  <si>
    <t>14850</t>
  </si>
  <si>
    <t>Jul 16, 2026 @ 18:03</t>
  </si>
  <si>
    <t>14847</t>
  </si>
  <si>
    <t>14841</t>
  </si>
  <si>
    <t>Jul 16, 2026 @ 18:02</t>
  </si>
  <si>
    <t>14839</t>
  </si>
  <si>
    <t>14828</t>
  </si>
  <si>
    <t>3005_Main 1 Sub B C D E F</t>
  </si>
  <si>
    <t>14826</t>
  </si>
  <si>
    <t>Jul 23, 2026 @ 12:03</t>
  </si>
  <si>
    <t>Jul 23, 2026 @ 12:02</t>
  </si>
  <si>
    <t>14821</t>
  </si>
  <si>
    <t>14818</t>
  </si>
  <si>
    <t>14812</t>
  </si>
  <si>
    <t>14810</t>
  </si>
  <si>
    <t>Jun 01, 2026 @ 14:00</t>
  </si>
  <si>
    <t>14799</t>
  </si>
  <si>
    <t>3004_Main 1 Sub B C D E F</t>
  </si>
  <si>
    <t>Jul 16, 2026 @ 17:38</t>
  </si>
  <si>
    <t>14797</t>
  </si>
  <si>
    <t>Jul 17, 2026 @ 14:28</t>
  </si>
  <si>
    <t>14792</t>
  </si>
  <si>
    <t>14789</t>
  </si>
  <si>
    <t>14783</t>
  </si>
  <si>
    <t>14781</t>
  </si>
  <si>
    <t>May 04, 2026 @ 17:36</t>
  </si>
  <si>
    <t>14770</t>
  </si>
  <si>
    <t>3002_Main 1 Sub B C D E F</t>
  </si>
  <si>
    <t>14768</t>
  </si>
  <si>
    <t>Jul 24, 2026 @ 17:16</t>
  </si>
  <si>
    <t>14763</t>
  </si>
  <si>
    <t>14760</t>
  </si>
  <si>
    <t>Jun 24, 2026 @ 13:37</t>
  </si>
  <si>
    <t>14754</t>
  </si>
  <si>
    <t>Jul 23, 2026 @ 12:04</t>
  </si>
  <si>
    <t>14752</t>
  </si>
  <si>
    <t>14741</t>
  </si>
  <si>
    <t>3003_Main 1 Sub B C D E F</t>
  </si>
  <si>
    <t>14739</t>
  </si>
  <si>
    <t>Jul 16, 2026 @ 17:36</t>
  </si>
  <si>
    <t>14734</t>
  </si>
  <si>
    <t>14731</t>
  </si>
  <si>
    <t>14725</t>
  </si>
  <si>
    <t>Jul 16, 2026 @ 17:34</t>
  </si>
  <si>
    <t>Jul 16, 2026 @ 16:55</t>
  </si>
  <si>
    <t>14723</t>
  </si>
  <si>
    <t>14712</t>
  </si>
  <si>
    <t>3001_Main 1 Sub B C D E F</t>
  </si>
  <si>
    <t>Jun 23, 2026 @ 08:59</t>
  </si>
  <si>
    <t>14710</t>
  </si>
  <si>
    <t>14705</t>
  </si>
  <si>
    <t>14702</t>
  </si>
  <si>
    <t>Jun 23, 2026 @ 09:00</t>
  </si>
  <si>
    <t>14696</t>
  </si>
  <si>
    <t>14694</t>
  </si>
  <si>
    <t>May 04, 2026 @ 17:35</t>
  </si>
  <si>
    <t>14683</t>
  </si>
  <si>
    <t>2909 _Main 1 Sub B C D E F</t>
  </si>
  <si>
    <t>Jun 10, 2026 @ 10:19</t>
  </si>
  <si>
    <t>14681</t>
  </si>
  <si>
    <t>Jul 16, 2026 @ 18:30</t>
  </si>
  <si>
    <t>14676</t>
  </si>
  <si>
    <t>14673</t>
  </si>
  <si>
    <t>14667</t>
  </si>
  <si>
    <t>Jul 16, 2026 @ 18:29</t>
  </si>
  <si>
    <t>14665</t>
  </si>
  <si>
    <t>14654</t>
  </si>
  <si>
    <t>2908 _Main 1 Sub B C D E F</t>
  </si>
  <si>
    <t>14652</t>
  </si>
  <si>
    <t>14647</t>
  </si>
  <si>
    <t>14644</t>
  </si>
  <si>
    <t>14638</t>
  </si>
  <si>
    <t>14636</t>
  </si>
  <si>
    <t>May 04, 2026 @ 17:34</t>
  </si>
  <si>
    <t>14625</t>
  </si>
  <si>
    <t>2907_Main 1 Sub B C D E F</t>
  </si>
  <si>
    <t>14623</t>
  </si>
  <si>
    <t>Jul 17, 2026 @ 07:48</t>
  </si>
  <si>
    <t>Jul 16, 2026 @ 18:17</t>
  </si>
  <si>
    <t>14618</t>
  </si>
  <si>
    <t>Jul 16, 2026 @ 17:51</t>
  </si>
  <si>
    <t>14615</t>
  </si>
  <si>
    <t>14609</t>
  </si>
  <si>
    <t>14607</t>
  </si>
  <si>
    <t>14596</t>
  </si>
  <si>
    <t>2906_Main 1 Sub B C D E F</t>
  </si>
  <si>
    <t>14594</t>
  </si>
  <si>
    <t>Jul 17, 2026 @ 07:47</t>
  </si>
  <si>
    <t>14589</t>
  </si>
  <si>
    <t>Jul 16, 2026 @ 17:49</t>
  </si>
  <si>
    <t>14586</t>
  </si>
  <si>
    <t>14580</t>
  </si>
  <si>
    <t>14578</t>
  </si>
  <si>
    <t>May 04, 2026 @ 17:29</t>
  </si>
  <si>
    <t>14567</t>
  </si>
  <si>
    <t>2905_Main 1 Sub B C D E F</t>
  </si>
  <si>
    <t>14565</t>
  </si>
  <si>
    <t>14560</t>
  </si>
  <si>
    <t>14557</t>
  </si>
  <si>
    <t>14551</t>
  </si>
  <si>
    <t>Jul 24, 2026 @ 14:21</t>
  </si>
  <si>
    <t>14549</t>
  </si>
  <si>
    <t>14538</t>
  </si>
  <si>
    <t>2904_Main 1 Sub B C D E F</t>
  </si>
  <si>
    <t>Jun 08, 2026 @ 09:02</t>
  </si>
  <si>
    <t>14536</t>
  </si>
  <si>
    <t>Jul 17, 2026 @ 08:46</t>
  </si>
  <si>
    <t>14531</t>
  </si>
  <si>
    <t>14528</t>
  </si>
  <si>
    <t>Jun 08, 2026 @ 09:06</t>
  </si>
  <si>
    <t>14522</t>
  </si>
  <si>
    <t>14520</t>
  </si>
  <si>
    <t>May 04, 2026 @ 17:28</t>
  </si>
  <si>
    <t>14509</t>
  </si>
  <si>
    <t>2903_Main 1 Sub B C D E F</t>
  </si>
  <si>
    <t>14507</t>
  </si>
  <si>
    <t>Jul 17, 2026 @ 08:43</t>
  </si>
  <si>
    <t>14502</t>
  </si>
  <si>
    <t>14499</t>
  </si>
  <si>
    <t>14493</t>
  </si>
  <si>
    <t>14491</t>
  </si>
  <si>
    <t>14480</t>
  </si>
  <si>
    <t>2902_Main 1 Sub B C D E F</t>
  </si>
  <si>
    <t>14478</t>
  </si>
  <si>
    <t>14473</t>
  </si>
  <si>
    <t>Jul 25, 2026 @ 08:38</t>
  </si>
  <si>
    <t>14470</t>
  </si>
  <si>
    <t>14464</t>
  </si>
  <si>
    <t>14462</t>
  </si>
  <si>
    <t>May 04, 2026 @ 17:27</t>
  </si>
  <si>
    <t>14451</t>
  </si>
  <si>
    <t>2901 _Main 1 Sub B C D E F</t>
  </si>
  <si>
    <t>14449</t>
  </si>
  <si>
    <t>Jul 24, 2026 @ 17:17</t>
  </si>
  <si>
    <t>14444</t>
  </si>
  <si>
    <t>Jul 24, 2026 @ 17:22</t>
  </si>
  <si>
    <t>14441</t>
  </si>
  <si>
    <t>14435</t>
  </si>
  <si>
    <t>14433</t>
  </si>
  <si>
    <t>14422</t>
  </si>
  <si>
    <t>2810 _Main 1 Sub B C D E F</t>
  </si>
  <si>
    <t>Jun 05, 2026 @ 18:19</t>
  </si>
  <si>
    <t>14420</t>
  </si>
  <si>
    <t>Jul 17, 2026 @ 12:37</t>
  </si>
  <si>
    <t>14415</t>
  </si>
  <si>
    <t>14412</t>
  </si>
  <si>
    <t>14406</t>
  </si>
  <si>
    <t>Jul 17, 2026 @ 12:36</t>
  </si>
  <si>
    <t>14404</t>
  </si>
  <si>
    <t>Jun 06, 2026 @ 12:42</t>
  </si>
  <si>
    <t>14393</t>
  </si>
  <si>
    <t>2809_Main 1 Sub B C D E F</t>
  </si>
  <si>
    <t>14391</t>
  </si>
  <si>
    <t>14386</t>
  </si>
  <si>
    <t>Jul 23, 2026 @ 12:05</t>
  </si>
  <si>
    <t>14383</t>
  </si>
  <si>
    <t>14377</t>
  </si>
  <si>
    <t>14375</t>
  </si>
  <si>
    <t>Jun 06, 2026 @ 12:41</t>
  </si>
  <si>
    <t>14364</t>
  </si>
  <si>
    <t>2808_Main 1 Sub B C D E F</t>
  </si>
  <si>
    <t>Jun 05, 2026 @ 18:20</t>
  </si>
  <si>
    <t>14362</t>
  </si>
  <si>
    <t>Jul 16, 2026 @ 16:09</t>
  </si>
  <si>
    <t>14357</t>
  </si>
  <si>
    <t>14354</t>
  </si>
  <si>
    <t>14348</t>
  </si>
  <si>
    <t>Jul 16, 2026 @ 16:08</t>
  </si>
  <si>
    <t>14346</t>
  </si>
  <si>
    <t>14335</t>
  </si>
  <si>
    <t>2807_Main 1 Sub B C D E F</t>
  </si>
  <si>
    <t>14333</t>
  </si>
  <si>
    <t>Jul 16, 2026 @ 08:40</t>
  </si>
  <si>
    <t>14328</t>
  </si>
  <si>
    <t>14325</t>
  </si>
  <si>
    <t>Jun 05, 2026 @ 18:21</t>
  </si>
  <si>
    <t>14319</t>
  </si>
  <si>
    <t>14317</t>
  </si>
  <si>
    <t>Jun 06, 2026 @ 12:40</t>
  </si>
  <si>
    <t>14306</t>
  </si>
  <si>
    <t>2806_Main 1 Sub B C D E F</t>
  </si>
  <si>
    <t>14304</t>
  </si>
  <si>
    <t>Jul 16, 2026 @ 13:57</t>
  </si>
  <si>
    <t>14299</t>
  </si>
  <si>
    <t>14296</t>
  </si>
  <si>
    <t>14290</t>
  </si>
  <si>
    <t>14288</t>
  </si>
  <si>
    <t>14277</t>
  </si>
  <si>
    <t>2805_Main 1 Sub B C D E F</t>
  </si>
  <si>
    <t>14275</t>
  </si>
  <si>
    <t>14270</t>
  </si>
  <si>
    <t>14267</t>
  </si>
  <si>
    <t>14261</t>
  </si>
  <si>
    <t>Jul 23, 2026 @ 15:19</t>
  </si>
  <si>
    <t>14259</t>
  </si>
  <si>
    <t>Jun 06, 2026 @ 12:39</t>
  </si>
  <si>
    <t>14248</t>
  </si>
  <si>
    <t>2804_Main 1 Sub B C D E F</t>
  </si>
  <si>
    <t>Jun 05, 2026 @ 18:22</t>
  </si>
  <si>
    <t>14246</t>
  </si>
  <si>
    <t>Jul 10, 2026 @ 11:26</t>
  </si>
  <si>
    <t>14241</t>
  </si>
  <si>
    <t>Jul 10, 2026 @ 11:25</t>
  </si>
  <si>
    <t>14238</t>
  </si>
  <si>
    <t>14232</t>
  </si>
  <si>
    <t>14230</t>
  </si>
  <si>
    <t>14219</t>
  </si>
  <si>
    <t>2709 _Main 1 Sub B C D E F</t>
  </si>
  <si>
    <t>May 21, 2026 @ 16:47</t>
  </si>
  <si>
    <t>14217</t>
  </si>
  <si>
    <t>Jul 13, 2026 @ 17:16</t>
  </si>
  <si>
    <t>14212</t>
  </si>
  <si>
    <t>14209</t>
  </si>
  <si>
    <t>14203</t>
  </si>
  <si>
    <t>Jul 13, 2026 @ 17:15</t>
  </si>
  <si>
    <t>14201</t>
  </si>
  <si>
    <t>May 11, 2026 @ 10:24</t>
  </si>
  <si>
    <t>14190</t>
  </si>
  <si>
    <t>2803_Main 1 Sub B C D E F</t>
  </si>
  <si>
    <t>14188</t>
  </si>
  <si>
    <t>14183</t>
  </si>
  <si>
    <t>14180</t>
  </si>
  <si>
    <t>14174</t>
  </si>
  <si>
    <t>14172</t>
  </si>
  <si>
    <t>Jun 06, 2026 @ 12:38</t>
  </si>
  <si>
    <t>14161</t>
  </si>
  <si>
    <t>2802_Main 1 Sub B C D E F</t>
  </si>
  <si>
    <t>14159</t>
  </si>
  <si>
    <t>14154</t>
  </si>
  <si>
    <t>Jul 20, 2026 @ 14:15</t>
  </si>
  <si>
    <t>14151</t>
  </si>
  <si>
    <t>Jun 05, 2026 @ 18:23</t>
  </si>
  <si>
    <t>14145</t>
  </si>
  <si>
    <t>14143</t>
  </si>
  <si>
    <t>Jun 01, 2026 @ 14:41</t>
  </si>
  <si>
    <t>14132</t>
  </si>
  <si>
    <t>2801_Main 1 Sub B C D E F</t>
  </si>
  <si>
    <t>14130</t>
  </si>
  <si>
    <t>Jul 20, 2026 @ 10:53</t>
  </si>
  <si>
    <t>14125</t>
  </si>
  <si>
    <t>Jul 20, 2026 @ 10:52</t>
  </si>
  <si>
    <t>14122</t>
  </si>
  <si>
    <t>14116</t>
  </si>
  <si>
    <t>14114</t>
  </si>
  <si>
    <t>Jun 01, 2026 @ 14:40</t>
  </si>
  <si>
    <t>14103</t>
  </si>
  <si>
    <t>2708_Main 1 Sub B C D E F</t>
  </si>
  <si>
    <t>May 21, 2026 @ 16:48</t>
  </si>
  <si>
    <t>14101</t>
  </si>
  <si>
    <t>Jul 13, 2026 @ 17:08</t>
  </si>
  <si>
    <t>14096</t>
  </si>
  <si>
    <t>14093</t>
  </si>
  <si>
    <t>14087</t>
  </si>
  <si>
    <t>14085</t>
  </si>
  <si>
    <t>May 11, 2026 @ 10:23</t>
  </si>
  <si>
    <t>14074</t>
  </si>
  <si>
    <t>2707_Main 1 Sub B C D E F</t>
  </si>
  <si>
    <t>14072</t>
  </si>
  <si>
    <t>Jul 17, 2026 @ 18:28</t>
  </si>
  <si>
    <t>14067</t>
  </si>
  <si>
    <t>14064</t>
  </si>
  <si>
    <t>May 21, 2026 @ 16:49</t>
  </si>
  <si>
    <t>14058</t>
  </si>
  <si>
    <t>Jul 17, 2026 @ 18:20</t>
  </si>
  <si>
    <t>14056</t>
  </si>
  <si>
    <t>May 11, 2026 @ 10:22</t>
  </si>
  <si>
    <t>14045</t>
  </si>
  <si>
    <t>2706_Main 1 Sub B C D E F</t>
  </si>
  <si>
    <t>14043</t>
  </si>
  <si>
    <t>Jul 13, 2026 @ 16:52</t>
  </si>
  <si>
    <t>14038</t>
  </si>
  <si>
    <t>14035</t>
  </si>
  <si>
    <t>14029</t>
  </si>
  <si>
    <t>Jul 13, 2026 @ 16:51</t>
  </si>
  <si>
    <t>14027</t>
  </si>
  <si>
    <t>14016</t>
  </si>
  <si>
    <t>2705_Main 1 Sub B C D E F</t>
  </si>
  <si>
    <t>14014</t>
  </si>
  <si>
    <t>14009</t>
  </si>
  <si>
    <t>14006</t>
  </si>
  <si>
    <t>14000</t>
  </si>
  <si>
    <t>13998</t>
  </si>
  <si>
    <t>13987</t>
  </si>
  <si>
    <t>2704_Main 1 Sub B C D E F</t>
  </si>
  <si>
    <t>13985</t>
  </si>
  <si>
    <t>Jul 22, 2026 @ 18:20</t>
  </si>
  <si>
    <t>13980</t>
  </si>
  <si>
    <t>Jul 14, 2026 @ 09:48</t>
  </si>
  <si>
    <t>13977</t>
  </si>
  <si>
    <t>May 21, 2026 @ 16:50</t>
  </si>
  <si>
    <t>13971</t>
  </si>
  <si>
    <t>Jul 14, 2026 @ 09:47</t>
  </si>
  <si>
    <t>13969</t>
  </si>
  <si>
    <t>May 11, 2026 @ 10:21</t>
  </si>
  <si>
    <t>13958</t>
  </si>
  <si>
    <t>2703_Main 1 Sub B C D E F</t>
  </si>
  <si>
    <t>13956</t>
  </si>
  <si>
    <t>Jul 09, 2026 @ 18:32</t>
  </si>
  <si>
    <t>13951</t>
  </si>
  <si>
    <t>Jul 09, 2026 @ 18:34</t>
  </si>
  <si>
    <t>13948</t>
  </si>
  <si>
    <t>13942</t>
  </si>
  <si>
    <t>13940</t>
  </si>
  <si>
    <t>13929</t>
  </si>
  <si>
    <t>2702_Main 1 Sub B C D E F</t>
  </si>
  <si>
    <t>13927</t>
  </si>
  <si>
    <t>13922</t>
  </si>
  <si>
    <t>13919</t>
  </si>
  <si>
    <t>13913</t>
  </si>
  <si>
    <t>13911</t>
  </si>
  <si>
    <t>13900</t>
  </si>
  <si>
    <t>2701_Main 1 Sub B C D E F</t>
  </si>
  <si>
    <t>May 21, 2026 @ 16:51</t>
  </si>
  <si>
    <t>13898</t>
  </si>
  <si>
    <t>Jul 17, 2026 @ 16:46</t>
  </si>
  <si>
    <t>13893</t>
  </si>
  <si>
    <t>13890</t>
  </si>
  <si>
    <t>13884</t>
  </si>
  <si>
    <t>Jul 17, 2026 @ 16:45</t>
  </si>
  <si>
    <t>13882</t>
  </si>
  <si>
    <t>May 11, 2026 @ 10:20</t>
  </si>
  <si>
    <t>13871</t>
  </si>
  <si>
    <t>2610 _Main 1 Sub B C D E F</t>
  </si>
  <si>
    <t>Jul 21, 2026 @ 09:13</t>
  </si>
  <si>
    <t>13869</t>
  </si>
  <si>
    <t>Jul 15, 2026 @ 17:16</t>
  </si>
  <si>
    <t>13864</t>
  </si>
  <si>
    <t>13861</t>
  </si>
  <si>
    <t>May 21, 2026 @ 16:52</t>
  </si>
  <si>
    <t>13855</t>
  </si>
  <si>
    <t>Jul 15, 2026 @ 17:15</t>
  </si>
  <si>
    <t>13853</t>
  </si>
  <si>
    <t>13842</t>
  </si>
  <si>
    <t>2609_Main 1 Sub B C D E F</t>
  </si>
  <si>
    <t>Jul 21, 2026 @ 15:56</t>
  </si>
  <si>
    <t>13840</t>
  </si>
  <si>
    <t>Jul 23, 2026 @ 09:44</t>
  </si>
  <si>
    <t>13835</t>
  </si>
  <si>
    <t>13832</t>
  </si>
  <si>
    <t>May 21, 2026 @ 17:14</t>
  </si>
  <si>
    <t>13826</t>
  </si>
  <si>
    <t>13824</t>
  </si>
  <si>
    <t>Jun 02, 2026 @ 16:48</t>
  </si>
  <si>
    <t>13813</t>
  </si>
  <si>
    <t>2608_Main 1 Sub B C D E F</t>
  </si>
  <si>
    <t>May 21, 2026 @ 17:15</t>
  </si>
  <si>
    <t>13811</t>
  </si>
  <si>
    <t>Jul 13, 2026 @ 12:07</t>
  </si>
  <si>
    <t>13806</t>
  </si>
  <si>
    <t>Jul 13, 2026 @ 12:08</t>
  </si>
  <si>
    <t>13803</t>
  </si>
  <si>
    <t>13797</t>
  </si>
  <si>
    <t>Jul 13, 2026 @ 12:15</t>
  </si>
  <si>
    <t>13795</t>
  </si>
  <si>
    <t>May 11, 2026 @ 10:19</t>
  </si>
  <si>
    <t>13784</t>
  </si>
  <si>
    <t>2607_Main 1 Sub B C D E F</t>
  </si>
  <si>
    <t>May 22, 2026 @ 14:06</t>
  </si>
  <si>
    <t>13782</t>
  </si>
  <si>
    <t>13777</t>
  </si>
  <si>
    <t>13774</t>
  </si>
  <si>
    <t>13768</t>
  </si>
  <si>
    <t>Jul 13, 2026 @ 12:19</t>
  </si>
  <si>
    <t>13766</t>
  </si>
  <si>
    <t>13755</t>
  </si>
  <si>
    <t>2606_Main 1 Sub B C D E F</t>
  </si>
  <si>
    <t>May 22, 2026 @ 14:07</t>
  </si>
  <si>
    <t>13753</t>
  </si>
  <si>
    <t>13748</t>
  </si>
  <si>
    <t>Jul 13, 2026 @ 12:09</t>
  </si>
  <si>
    <t>13745</t>
  </si>
  <si>
    <t>13739</t>
  </si>
  <si>
    <t>13737</t>
  </si>
  <si>
    <t>13726</t>
  </si>
  <si>
    <t>2605_Main 1 Sub B C D E F</t>
  </si>
  <si>
    <t>May 23, 2026 @ 09:29</t>
  </si>
  <si>
    <t>13724</t>
  </si>
  <si>
    <t>13719</t>
  </si>
  <si>
    <t>13716</t>
  </si>
  <si>
    <t>13710</t>
  </si>
  <si>
    <t>Jul 23, 2026 @ 12:06</t>
  </si>
  <si>
    <t>13708</t>
  </si>
  <si>
    <t>Jun 02, 2026 @ 16:50</t>
  </si>
  <si>
    <t>13697</t>
  </si>
  <si>
    <t>2604_Main 1 Sub B C D E F</t>
  </si>
  <si>
    <t>May 23, 2026 @ 09:30</t>
  </si>
  <si>
    <t>13695</t>
  </si>
  <si>
    <t>Jul 08, 2026 @ 18:01</t>
  </si>
  <si>
    <t>Jul 08, 2026 @ 13:08</t>
  </si>
  <si>
    <t>13690</t>
  </si>
  <si>
    <t>Jul 08, 2026 @ 18:02</t>
  </si>
  <si>
    <t>Jul 08, 2026 @ 13:07</t>
  </si>
  <si>
    <t>13687</t>
  </si>
  <si>
    <t>13681</t>
  </si>
  <si>
    <t>Jul 08, 2026 @ 18:10</t>
  </si>
  <si>
    <t>13679</t>
  </si>
  <si>
    <t>May 11, 2026 @ 10:17</t>
  </si>
  <si>
    <t>13668</t>
  </si>
  <si>
    <t>2603_Main 1 Sub B C D E F</t>
  </si>
  <si>
    <t>May 11, 2026 @ 16:50</t>
  </si>
  <si>
    <t>13666</t>
  </si>
  <si>
    <t>Jul 23, 2026 @ 07:15</t>
  </si>
  <si>
    <t>13661</t>
  </si>
  <si>
    <t>Jul 08, 2026 @ 13:01</t>
  </si>
  <si>
    <t>13658</t>
  </si>
  <si>
    <t>May 11, 2026 @ 17:01</t>
  </si>
  <si>
    <t>13652</t>
  </si>
  <si>
    <t>Jul 08, 2026 @ 13:00</t>
  </si>
  <si>
    <t>13650</t>
  </si>
  <si>
    <t>13639</t>
  </si>
  <si>
    <t>2602_Main 1 Sub B C D E F</t>
  </si>
  <si>
    <t>13637</t>
  </si>
  <si>
    <t>Jul 23, 2026 @ 09:45</t>
  </si>
  <si>
    <t>13632</t>
  </si>
  <si>
    <t>13629</t>
  </si>
  <si>
    <t>13623</t>
  </si>
  <si>
    <t>13621</t>
  </si>
  <si>
    <t>13610</t>
  </si>
  <si>
    <t>2601_Main 1 Sub B C D E F</t>
  </si>
  <si>
    <t>13608</t>
  </si>
  <si>
    <t>13603</t>
  </si>
  <si>
    <t>13600</t>
  </si>
  <si>
    <t>May 11, 2026 @ 17:02</t>
  </si>
  <si>
    <t>13594</t>
  </si>
  <si>
    <t>13592</t>
  </si>
  <si>
    <t>May 11, 2026 @ 10:16</t>
  </si>
  <si>
    <t>13581</t>
  </si>
  <si>
    <t>2509 _Main 1 Sub B C D E F</t>
  </si>
  <si>
    <t>May 11, 2026 @ 16:54</t>
  </si>
  <si>
    <t>May 11, 2026 @ 16:51</t>
  </si>
  <si>
    <t>13579</t>
  </si>
  <si>
    <t>13574</t>
  </si>
  <si>
    <t>13571</t>
  </si>
  <si>
    <t>13565</t>
  </si>
  <si>
    <t>Jul 13, 2026 @ 12:20</t>
  </si>
  <si>
    <t>13563</t>
  </si>
  <si>
    <t>May 09, 2026 @ 17:59</t>
  </si>
  <si>
    <t>13552</t>
  </si>
  <si>
    <t>2508_Main 1 Sub B C D E F</t>
  </si>
  <si>
    <t>13550</t>
  </si>
  <si>
    <t>13545</t>
  </si>
  <si>
    <t>13542</t>
  </si>
  <si>
    <t>13536</t>
  </si>
  <si>
    <t>13534</t>
  </si>
  <si>
    <t>May 09, 2026 @ 17:58</t>
  </si>
  <si>
    <t>13523</t>
  </si>
  <si>
    <t>2507_Main 1 Sub B C D E F</t>
  </si>
  <si>
    <t>13521</t>
  </si>
  <si>
    <t>Jul 09, 2026 @ 18:17</t>
  </si>
  <si>
    <t>13516</t>
  </si>
  <si>
    <t>13513</t>
  </si>
  <si>
    <t>13507</t>
  </si>
  <si>
    <t>13505</t>
  </si>
  <si>
    <t>13494</t>
  </si>
  <si>
    <t>2506_Main 1 Sub B C D E F</t>
  </si>
  <si>
    <t>13492</t>
  </si>
  <si>
    <t>13487</t>
  </si>
  <si>
    <t>13484</t>
  </si>
  <si>
    <t>13478</t>
  </si>
  <si>
    <t>13476</t>
  </si>
  <si>
    <t>13465</t>
  </si>
  <si>
    <t>2505_Main 1 Sub B C D E F</t>
  </si>
  <si>
    <t>May 11, 2026 @ 16:55</t>
  </si>
  <si>
    <t>13463</t>
  </si>
  <si>
    <t>13458</t>
  </si>
  <si>
    <t>Jul 23, 2026 @ 09:46</t>
  </si>
  <si>
    <t>13455</t>
  </si>
  <si>
    <t>May 11, 2026 @ 17:03</t>
  </si>
  <si>
    <t>13449</t>
  </si>
  <si>
    <t>13447</t>
  </si>
  <si>
    <t>May 09, 2026 @ 17:57</t>
  </si>
  <si>
    <t>13436</t>
  </si>
  <si>
    <t>2504_Main 1 Sub B C D E F</t>
  </si>
  <si>
    <t>May 11, 2026 @ 16:56</t>
  </si>
  <si>
    <t>13434</t>
  </si>
  <si>
    <t>Jul 07, 2026 @ 12:20</t>
  </si>
  <si>
    <t>13429</t>
  </si>
  <si>
    <t>13426</t>
  </si>
  <si>
    <t>13420</t>
  </si>
  <si>
    <t>Jul 06, 2026 @ 18:55</t>
  </si>
  <si>
    <t>13418</t>
  </si>
  <si>
    <t>13407</t>
  </si>
  <si>
    <t>2503_Main 1 Sub B C D E F</t>
  </si>
  <si>
    <t>13405</t>
  </si>
  <si>
    <t>Jul 07, 2026 @ 17:06</t>
  </si>
  <si>
    <t>13400</t>
  </si>
  <si>
    <t>13397</t>
  </si>
  <si>
    <t>13391</t>
  </si>
  <si>
    <t>Jul 07, 2026 @ 14:17</t>
  </si>
  <si>
    <t>13389</t>
  </si>
  <si>
    <t>13378</t>
  </si>
  <si>
    <t>2502_Main 1 Sub B C D E F</t>
  </si>
  <si>
    <t>May 11, 2026 @ 16:57</t>
  </si>
  <si>
    <t>13376</t>
  </si>
  <si>
    <t>13371</t>
  </si>
  <si>
    <t>13368</t>
  </si>
  <si>
    <t>13362</t>
  </si>
  <si>
    <t>Jul 23, 2026 @ 12:07</t>
  </si>
  <si>
    <t>13360</t>
  </si>
  <si>
    <t>May 09, 2026 @ 17:56</t>
  </si>
  <si>
    <t>13349</t>
  </si>
  <si>
    <t>2501_Main 1 Sub B C D E F</t>
  </si>
  <si>
    <t>May 11, 2026 @ 17:00</t>
  </si>
  <si>
    <t>13347</t>
  </si>
  <si>
    <t>13342</t>
  </si>
  <si>
    <t>13339</t>
  </si>
  <si>
    <t>13333</t>
  </si>
  <si>
    <t>13331</t>
  </si>
  <si>
    <t>13320</t>
  </si>
  <si>
    <t>2410 _Main 1 Sub B C D E F</t>
  </si>
  <si>
    <t>May 09, 2026 @ 13:32</t>
  </si>
  <si>
    <t>13318</t>
  </si>
  <si>
    <t>Jul 13, 2026 @ 08:36</t>
  </si>
  <si>
    <t>13313</t>
  </si>
  <si>
    <t>Jul 13, 2026 @ 08:37</t>
  </si>
  <si>
    <t>13310</t>
  </si>
  <si>
    <t>May 09, 2026 @ 13:39</t>
  </si>
  <si>
    <t>13304</t>
  </si>
  <si>
    <t>13302</t>
  </si>
  <si>
    <t>May 09, 2026 @ 12:44</t>
  </si>
  <si>
    <t>13291</t>
  </si>
  <si>
    <t>2409_Main 1 Sub B C D E F</t>
  </si>
  <si>
    <t>11</t>
  </si>
  <si>
    <t>May 09, 2026 @ 13:33</t>
  </si>
  <si>
    <t>13289</t>
  </si>
  <si>
    <t>13284</t>
  </si>
  <si>
    <t>13281</t>
  </si>
  <si>
    <t>Jun 02, 2026 @ 15:36</t>
  </si>
  <si>
    <t>13275</t>
  </si>
  <si>
    <t>13273</t>
  </si>
  <si>
    <t>May 09, 2026 @ 12:43</t>
  </si>
  <si>
    <t>13262</t>
  </si>
  <si>
    <t>2408_Main 1 Sub B C D E F</t>
  </si>
  <si>
    <t>13260</t>
  </si>
  <si>
    <t>13255</t>
  </si>
  <si>
    <t>13252</t>
  </si>
  <si>
    <t>May 09, 2026 @ 13:40</t>
  </si>
  <si>
    <t>13246</t>
  </si>
  <si>
    <t>13244</t>
  </si>
  <si>
    <t>May 09, 2026 @ 12:41</t>
  </si>
  <si>
    <t>13233</t>
  </si>
  <si>
    <t>2407_Main 1 Sub B C D E F</t>
  </si>
  <si>
    <t>13231</t>
  </si>
  <si>
    <t>13226</t>
  </si>
  <si>
    <t>13223</t>
  </si>
  <si>
    <t>13217</t>
  </si>
  <si>
    <t>13215</t>
  </si>
  <si>
    <t>13204</t>
  </si>
  <si>
    <t>2406_Main 1 Sub B C D E F</t>
  </si>
  <si>
    <t>13202</t>
  </si>
  <si>
    <t>Jul 08, 2026 @ 18:00</t>
  </si>
  <si>
    <t>Jul 08, 2026 @ 17:01</t>
  </si>
  <si>
    <t>13197</t>
  </si>
  <si>
    <t>13194</t>
  </si>
  <si>
    <t>May 09, 2026 @ 13:41</t>
  </si>
  <si>
    <t>13188</t>
  </si>
  <si>
    <t>13186</t>
  </si>
  <si>
    <t>May 09, 2026 @ 12:40</t>
  </si>
  <si>
    <t>13175</t>
  </si>
  <si>
    <t>2405_Main 1 Sub B C D E F</t>
  </si>
  <si>
    <t>May 09, 2026 @ 13:34</t>
  </si>
  <si>
    <t>13173</t>
  </si>
  <si>
    <t>13168</t>
  </si>
  <si>
    <t>Jul 23, 2026 @ 09:50</t>
  </si>
  <si>
    <t>13165</t>
  </si>
  <si>
    <t>13159</t>
  </si>
  <si>
    <t>Jul 23, 2026 @ 12:09</t>
  </si>
  <si>
    <t>13157</t>
  </si>
  <si>
    <t>13146</t>
  </si>
  <si>
    <t>2309 _Main 1 Sub B C D E F</t>
  </si>
  <si>
    <t>13144</t>
  </si>
  <si>
    <t>Jul 10, 2026 @ 17:58</t>
  </si>
  <si>
    <t>13139</t>
  </si>
  <si>
    <t>Jul 10, 2026 @ 17:59</t>
  </si>
  <si>
    <t>13136</t>
  </si>
  <si>
    <t>13128</t>
  </si>
  <si>
    <t>May 09, 2026 @ 11:42</t>
  </si>
  <si>
    <t>13117</t>
  </si>
  <si>
    <t>2404_Main 1 Sub B C D E F</t>
  </si>
  <si>
    <t>13115</t>
  </si>
  <si>
    <t>Jul 07, 2026 @ 17:07</t>
  </si>
  <si>
    <t>13110</t>
  </si>
  <si>
    <t>Jul 08, 2026 @ 14:53</t>
  </si>
  <si>
    <t>13107</t>
  </si>
  <si>
    <t>13101</t>
  </si>
  <si>
    <t>Jul 07, 2026 @ 14:18</t>
  </si>
  <si>
    <t>13099</t>
  </si>
  <si>
    <t>May 09, 2026 @ 12:39</t>
  </si>
  <si>
    <t>13087</t>
  </si>
  <si>
    <t>2403_Main 1 Sub B C D E F</t>
  </si>
  <si>
    <t>13085</t>
  </si>
  <si>
    <t>13080</t>
  </si>
  <si>
    <t>13077</t>
  </si>
  <si>
    <t>13071</t>
  </si>
  <si>
    <t>Jul 07, 2026 @ 14:19</t>
  </si>
  <si>
    <t>13069</t>
  </si>
  <si>
    <t>13058</t>
  </si>
  <si>
    <t>2402_Main 1 Sub B C D E F</t>
  </si>
  <si>
    <t>13056</t>
  </si>
  <si>
    <t>Jul 09, 2026 @ 18:25</t>
  </si>
  <si>
    <t>13051</t>
  </si>
  <si>
    <t>Jul 09, 2026 @ 18:24</t>
  </si>
  <si>
    <t>13048</t>
  </si>
  <si>
    <t>13042</t>
  </si>
  <si>
    <t>13040</t>
  </si>
  <si>
    <t>May 09, 2026 @ 12:38</t>
  </si>
  <si>
    <t>13029</t>
  </si>
  <si>
    <t>2401_Main 1 Sub B C D E F</t>
  </si>
  <si>
    <t>13027</t>
  </si>
  <si>
    <t>Jul 23, 2026 @ 09:52</t>
  </si>
  <si>
    <t>13022</t>
  </si>
  <si>
    <t>13019</t>
  </si>
  <si>
    <t>13013</t>
  </si>
  <si>
    <t>13011</t>
  </si>
  <si>
    <t>May 09, 2026 @ 11:43</t>
  </si>
  <si>
    <t>13000</t>
  </si>
  <si>
    <t>2010_Main 1 Sub B C D E F</t>
  </si>
  <si>
    <t>May 04, 2026 @ 09:36</t>
  </si>
  <si>
    <t>12998</t>
  </si>
  <si>
    <t>12993</t>
  </si>
  <si>
    <t>12990</t>
  </si>
  <si>
    <t>May 05, 2026 @ 08:50</t>
  </si>
  <si>
    <t>12984</t>
  </si>
  <si>
    <t>Jul 20, 2026 @ 18:06</t>
  </si>
  <si>
    <t>12982</t>
  </si>
  <si>
    <t>Apr 29, 2026 @ 12:16</t>
  </si>
  <si>
    <t>12971</t>
  </si>
  <si>
    <t>2009_Main 1 Sub B C D E F</t>
  </si>
  <si>
    <t>Jun 06, 2026 @ 14:57</t>
  </si>
  <si>
    <t>12969</t>
  </si>
  <si>
    <t>12964</t>
  </si>
  <si>
    <t>12961</t>
  </si>
  <si>
    <t>May 05, 2026 @ 08:43</t>
  </si>
  <si>
    <t>12955</t>
  </si>
  <si>
    <t>Jul 23, 2026 @ 12:13</t>
  </si>
  <si>
    <t>12953</t>
  </si>
  <si>
    <t>Jun 23, 2026 @ 08:32</t>
  </si>
  <si>
    <t>12942</t>
  </si>
  <si>
    <t>2008_Main 1 Sub B C D E F</t>
  </si>
  <si>
    <t>12940</t>
  </si>
  <si>
    <t>12935</t>
  </si>
  <si>
    <t>Jul 23, 2026 @ 09:53</t>
  </si>
  <si>
    <t>12932</t>
  </si>
  <si>
    <t>May 05, 2026 @ 08:42</t>
  </si>
  <si>
    <t>12926</t>
  </si>
  <si>
    <t>12924</t>
  </si>
  <si>
    <t>Apr 29, 2026 @ 12:15</t>
  </si>
  <si>
    <t>12913</t>
  </si>
  <si>
    <t>2007_Main 1 Sub B C D E F</t>
  </si>
  <si>
    <t>12911</t>
  </si>
  <si>
    <t>Jul 20, 2026 @ 18:07</t>
  </si>
  <si>
    <t>12906</t>
  </si>
  <si>
    <t>12903</t>
  </si>
  <si>
    <t>12897</t>
  </si>
  <si>
    <t>Jul 20, 2026 @ 18:08</t>
  </si>
  <si>
    <t>12895</t>
  </si>
  <si>
    <t>Apr 29, 2026 @ 12:14</t>
  </si>
  <si>
    <t>12884</t>
  </si>
  <si>
    <t>2006_Main 1 Sub B C D E F</t>
  </si>
  <si>
    <t>12882</t>
  </si>
  <si>
    <t>12877</t>
  </si>
  <si>
    <t>12874</t>
  </si>
  <si>
    <t>May 05, 2026 @ 08:41</t>
  </si>
  <si>
    <t>12868</t>
  </si>
  <si>
    <t>12866</t>
  </si>
  <si>
    <t>Jun 02, 2026 @ 16:51</t>
  </si>
  <si>
    <t>12855</t>
  </si>
  <si>
    <t>2005_Main 1 Sub B C D E F</t>
  </si>
  <si>
    <t>May 04, 2026 @ 09:37</t>
  </si>
  <si>
    <t>12853</t>
  </si>
  <si>
    <t>12848</t>
  </si>
  <si>
    <t>Jul 23, 2026 @ 09:54</t>
  </si>
  <si>
    <t>12845</t>
  </si>
  <si>
    <t>May 05, 2026 @ 08:40</t>
  </si>
  <si>
    <t>12839</t>
  </si>
  <si>
    <t>12837</t>
  </si>
  <si>
    <t>Apr 29, 2026 @ 12:21</t>
  </si>
  <si>
    <t>Apr 29, 2026 @ 12:13</t>
  </si>
  <si>
    <t>12826</t>
  </si>
  <si>
    <t>2003_Main 1 Sub B C D E F</t>
  </si>
  <si>
    <t>12824</t>
  </si>
  <si>
    <t>12819</t>
  </si>
  <si>
    <t>12816</t>
  </si>
  <si>
    <t>12810</t>
  </si>
  <si>
    <t>12808</t>
  </si>
  <si>
    <t>12781</t>
  </si>
  <si>
    <t>Jul 13, 2026 @ 18:34</t>
  </si>
  <si>
    <t>12768</t>
  </si>
  <si>
    <t>2308_Main 1 Sub B C D E F</t>
  </si>
  <si>
    <t>May 09, 2026 @ 13:35</t>
  </si>
  <si>
    <t>12766</t>
  </si>
  <si>
    <t>12761</t>
  </si>
  <si>
    <t>Jul 09, 2026 @ 11:15</t>
  </si>
  <si>
    <t>12758</t>
  </si>
  <si>
    <t>May 09, 2026 @ 13:42</t>
  </si>
  <si>
    <t>12752</t>
  </si>
  <si>
    <t>Jul 09, 2026 @ 11:31</t>
  </si>
  <si>
    <t>12750</t>
  </si>
  <si>
    <t>12739</t>
  </si>
  <si>
    <t>2307_Main 1 Sub B C D E F</t>
  </si>
  <si>
    <t>12737</t>
  </si>
  <si>
    <t>12732</t>
  </si>
  <si>
    <t>12729</t>
  </si>
  <si>
    <t>12723</t>
  </si>
  <si>
    <t>Jul 13, 2026 @ 12:21</t>
  </si>
  <si>
    <t>12721</t>
  </si>
  <si>
    <t>12710</t>
  </si>
  <si>
    <t>2306_Main 1 Sub B C D E F</t>
  </si>
  <si>
    <t>12708</t>
  </si>
  <si>
    <t>Jul 10, 2026 @ 18:00</t>
  </si>
  <si>
    <t>12703</t>
  </si>
  <si>
    <t>12700</t>
  </si>
  <si>
    <t>12694</t>
  </si>
  <si>
    <t>12692</t>
  </si>
  <si>
    <t>May 09, 2026 @ 11:41</t>
  </si>
  <si>
    <t>12681</t>
  </si>
  <si>
    <t>2305_Main 1 Sub B C D E F</t>
  </si>
  <si>
    <t>12679</t>
  </si>
  <si>
    <t>12674</t>
  </si>
  <si>
    <t>Jul 10, 2026 @ 18:01</t>
  </si>
  <si>
    <t>12671</t>
  </si>
  <si>
    <t>12665</t>
  </si>
  <si>
    <t>Jul 13, 2026 @ 12:22</t>
  </si>
  <si>
    <t>12663</t>
  </si>
  <si>
    <t>12652</t>
  </si>
  <si>
    <t>2304_Main 1 Sub B C D E F</t>
  </si>
  <si>
    <t>12650</t>
  </si>
  <si>
    <t>Jul 07, 2026 @ 17:08</t>
  </si>
  <si>
    <t>12645</t>
  </si>
  <si>
    <t>Jul 07, 2026 @ 14:37</t>
  </si>
  <si>
    <t>12642</t>
  </si>
  <si>
    <t>12636</t>
  </si>
  <si>
    <t>12634</t>
  </si>
  <si>
    <t>12623</t>
  </si>
  <si>
    <t>2303_Main 1 Sub B C D E F</t>
  </si>
  <si>
    <t>May 09, 2026 @ 13:36</t>
  </si>
  <si>
    <t>12621</t>
  </si>
  <si>
    <t>Jul 07, 2026 @ 12:19</t>
  </si>
  <si>
    <t>12616</t>
  </si>
  <si>
    <t>12613</t>
  </si>
  <si>
    <t>12607</t>
  </si>
  <si>
    <t>12605</t>
  </si>
  <si>
    <t>May 09, 2026 @ 11:39</t>
  </si>
  <si>
    <t>12594</t>
  </si>
  <si>
    <t>2302_Main 1 Sub B C D E F</t>
  </si>
  <si>
    <t>12592</t>
  </si>
  <si>
    <t>12587</t>
  </si>
  <si>
    <t>Jul 10, 2026 @ 18:02</t>
  </si>
  <si>
    <t>12584</t>
  </si>
  <si>
    <t>May 09, 2026 @ 13:43</t>
  </si>
  <si>
    <t>12578</t>
  </si>
  <si>
    <t>Jul 21, 2026 @ 09:02</t>
  </si>
  <si>
    <t>12576</t>
  </si>
  <si>
    <t>12565</t>
  </si>
  <si>
    <t>2301_Main 1 Sub B C D E F</t>
  </si>
  <si>
    <t>May 09, 2026 @ 08:35</t>
  </si>
  <si>
    <t>12563</t>
  </si>
  <si>
    <t>12558</t>
  </si>
  <si>
    <t>12555</t>
  </si>
  <si>
    <t>May 08, 2026 @ 17:52</t>
  </si>
  <si>
    <t>12549</t>
  </si>
  <si>
    <t>Jul 13, 2026 @ 12:23</t>
  </si>
  <si>
    <t>12547</t>
  </si>
  <si>
    <t>May 09, 2026 @ 11:38</t>
  </si>
  <si>
    <t>12536</t>
  </si>
  <si>
    <t>2210_Main 1 Sub B C D E F</t>
  </si>
  <si>
    <t>May 08, 2026 @ 17:50</t>
  </si>
  <si>
    <t>12534</t>
  </si>
  <si>
    <t>12529</t>
  </si>
  <si>
    <t>12526</t>
  </si>
  <si>
    <t>May 08, 2026 @ 17:51</t>
  </si>
  <si>
    <t>12520</t>
  </si>
  <si>
    <t>Jul 03, 2026 @ 17:12</t>
  </si>
  <si>
    <t>12518</t>
  </si>
  <si>
    <t>12507</t>
  </si>
  <si>
    <t>2209_Main 1 Sub B C D E F</t>
  </si>
  <si>
    <t>Jun 06, 2026 @ 14:58</t>
  </si>
  <si>
    <t>12505</t>
  </si>
  <si>
    <t>Jul 10, 2026 @ 18:03</t>
  </si>
  <si>
    <t>12500</t>
  </si>
  <si>
    <t>12497</t>
  </si>
  <si>
    <t>12491</t>
  </si>
  <si>
    <t>12489</t>
  </si>
  <si>
    <t>May 09, 2026 @ 11:40</t>
  </si>
  <si>
    <t>12478</t>
  </si>
  <si>
    <t>2208_Main 1 Sub B C D E F</t>
  </si>
  <si>
    <t>12476</t>
  </si>
  <si>
    <t>Jul 08, 2026 @ 16:50</t>
  </si>
  <si>
    <t>12471</t>
  </si>
  <si>
    <t>Jul 08, 2026 @ 16:49</t>
  </si>
  <si>
    <t>12468</t>
  </si>
  <si>
    <t>12462</t>
  </si>
  <si>
    <t>12460</t>
  </si>
  <si>
    <t>May 09, 2026 @ 11:37</t>
  </si>
  <si>
    <t>12449</t>
  </si>
  <si>
    <t>2207_Main 1 Sub B C D E F</t>
  </si>
  <si>
    <t>May 09, 2026 @ 08:37</t>
  </si>
  <si>
    <t>12447</t>
  </si>
  <si>
    <t>Jul 08, 2026 @ 16:32</t>
  </si>
  <si>
    <t>12442</t>
  </si>
  <si>
    <t>Jul 08, 2026 @ 16:31</t>
  </si>
  <si>
    <t>12439</t>
  </si>
  <si>
    <t>May 09, 2026 @ 08:38</t>
  </si>
  <si>
    <t>12433</t>
  </si>
  <si>
    <t>12431</t>
  </si>
  <si>
    <t>12420</t>
  </si>
  <si>
    <t>2206_Main 1 Sub B C D E F</t>
  </si>
  <si>
    <t>May 09, 2026 @ 08:41</t>
  </si>
  <si>
    <t>12418</t>
  </si>
  <si>
    <t>Jul 08, 2026 @ 18:07</t>
  </si>
  <si>
    <t>12413</t>
  </si>
  <si>
    <t>Jul 08, 2026 @ 18:06</t>
  </si>
  <si>
    <t>12410</t>
  </si>
  <si>
    <t>May 09, 2026 @ 08:43</t>
  </si>
  <si>
    <t>12404</t>
  </si>
  <si>
    <t>12402</t>
  </si>
  <si>
    <t>May 09, 2026 @ 11:36</t>
  </si>
  <si>
    <t>12391</t>
  </si>
  <si>
    <t>2205_Main 1 Sub B C D E F</t>
  </si>
  <si>
    <t>12389</t>
  </si>
  <si>
    <t>12384</t>
  </si>
  <si>
    <t>12381</t>
  </si>
  <si>
    <t>May 09, 2026 @ 08:44</t>
  </si>
  <si>
    <t>12375</t>
  </si>
  <si>
    <t>12373</t>
  </si>
  <si>
    <t>12362</t>
  </si>
  <si>
    <t>2204_Main 1 Sub B C D E F</t>
  </si>
  <si>
    <t>12360</t>
  </si>
  <si>
    <t>Jul 08, 2026 @ 17:12</t>
  </si>
  <si>
    <t>12355</t>
  </si>
  <si>
    <t>12352</t>
  </si>
  <si>
    <t>12346</t>
  </si>
  <si>
    <t>12344</t>
  </si>
  <si>
    <t>May 09, 2026 @ 11:35</t>
  </si>
  <si>
    <t>12333</t>
  </si>
  <si>
    <t>2203_Main 1 Sub B C D E F</t>
  </si>
  <si>
    <t>May 09, 2026 @ 08:45</t>
  </si>
  <si>
    <t>12331</t>
  </si>
  <si>
    <t>Jul 08, 2026 @ 12:51</t>
  </si>
  <si>
    <t>Jul 04, 2026 @ 12:51</t>
  </si>
  <si>
    <t>12326</t>
  </si>
  <si>
    <t>12323</t>
  </si>
  <si>
    <t>12317</t>
  </si>
  <si>
    <t>12315</t>
  </si>
  <si>
    <t>12304</t>
  </si>
  <si>
    <t>2202_Main 1 Sub B C D E F</t>
  </si>
  <si>
    <t>12302</t>
  </si>
  <si>
    <t>12297</t>
  </si>
  <si>
    <t>Jul 04, 2026 @ 12:52</t>
  </si>
  <si>
    <t>12294</t>
  </si>
  <si>
    <t>May 09, 2026 @ 08:46</t>
  </si>
  <si>
    <t>12288</t>
  </si>
  <si>
    <t>Jul 03, 2026 @ 12:39</t>
  </si>
  <si>
    <t>12286</t>
  </si>
  <si>
    <t>May 09, 2026 @ 11:34</t>
  </si>
  <si>
    <t>12275</t>
  </si>
  <si>
    <t>2201_Main 1 Sub B C D E F</t>
  </si>
  <si>
    <t>12273</t>
  </si>
  <si>
    <t>Jul 10, 2026 @ 18:04</t>
  </si>
  <si>
    <t>12268</t>
  </si>
  <si>
    <t>12265</t>
  </si>
  <si>
    <t>12259</t>
  </si>
  <si>
    <t>12257</t>
  </si>
  <si>
    <t>May 09, 2026 @ 11:25</t>
  </si>
  <si>
    <t>12246</t>
  </si>
  <si>
    <t>2109_Main 1 Sub B C D E F</t>
  </si>
  <si>
    <t>May 08, 2026 @ 17:40</t>
  </si>
  <si>
    <t>May 08, 2026 @ 17:39</t>
  </si>
  <si>
    <t>12244</t>
  </si>
  <si>
    <t>Jul 08, 2026 @ 18:22</t>
  </si>
  <si>
    <t>12239</t>
  </si>
  <si>
    <t>12236</t>
  </si>
  <si>
    <t>12230</t>
  </si>
  <si>
    <t>12228</t>
  </si>
  <si>
    <t>Apr 29, 2026 @ 12:20</t>
  </si>
  <si>
    <t>12217</t>
  </si>
  <si>
    <t>2108_Main 1 Sub B C D E F</t>
  </si>
  <si>
    <t>May 04, 2026 @ 09:38</t>
  </si>
  <si>
    <t>12215</t>
  </si>
  <si>
    <t>Jul 08, 2026 @ 12:50</t>
  </si>
  <si>
    <t>12210</t>
  </si>
  <si>
    <t>12207</t>
  </si>
  <si>
    <t>May 05, 2026 @ 08:49</t>
  </si>
  <si>
    <t>12201</t>
  </si>
  <si>
    <t>12199</t>
  </si>
  <si>
    <t>Apr 29, 2026 @ 12:19</t>
  </si>
  <si>
    <t>12188</t>
  </si>
  <si>
    <t>2107_Main 1 Sub B C D E F</t>
  </si>
  <si>
    <t>12186</t>
  </si>
  <si>
    <t>12181</t>
  </si>
  <si>
    <t>12178</t>
  </si>
  <si>
    <t>May 05, 2026 @ 08:48</t>
  </si>
  <si>
    <t>12172</t>
  </si>
  <si>
    <t>12170</t>
  </si>
  <si>
    <t>12159</t>
  </si>
  <si>
    <t>2106_Main 1 Sub B C D E F</t>
  </si>
  <si>
    <t>May 04, 2026 @ 09:39</t>
  </si>
  <si>
    <t>12157</t>
  </si>
  <si>
    <t>Jul 07, 2026 @ 17:09</t>
  </si>
  <si>
    <t>12152</t>
  </si>
  <si>
    <t>Jul 07, 2026 @ 17:11</t>
  </si>
  <si>
    <t>12149</t>
  </si>
  <si>
    <t>12143</t>
  </si>
  <si>
    <t>12141</t>
  </si>
  <si>
    <t>12130</t>
  </si>
  <si>
    <t>2105_Main 1 Sub B C D E F</t>
  </si>
  <si>
    <t>12128</t>
  </si>
  <si>
    <t>12123</t>
  </si>
  <si>
    <t>12120</t>
  </si>
  <si>
    <t>May 05, 2026 @ 08:47</t>
  </si>
  <si>
    <t>12114</t>
  </si>
  <si>
    <t>12112</t>
  </si>
  <si>
    <t>Apr 29, 2026 @ 12:18</t>
  </si>
  <si>
    <t>12101</t>
  </si>
  <si>
    <t>2104_Main 1 Sub B C D E F</t>
  </si>
  <si>
    <t>12099</t>
  </si>
  <si>
    <t>Jul 09, 2026 @ 11:30</t>
  </si>
  <si>
    <t>12094</t>
  </si>
  <si>
    <t>12091</t>
  </si>
  <si>
    <t>May 05, 2026 @ 08:46</t>
  </si>
  <si>
    <t>12085</t>
  </si>
  <si>
    <t>12083</t>
  </si>
  <si>
    <t>12072</t>
  </si>
  <si>
    <t>2103_Main 1 Sub B C D E F</t>
  </si>
  <si>
    <t>May 04, 2026 @ 09:40</t>
  </si>
  <si>
    <t>12070</t>
  </si>
  <si>
    <t>Jul 08, 2026 @ 15:12</t>
  </si>
  <si>
    <t>12065</t>
  </si>
  <si>
    <t>Jul 08, 2026 @ 15:11</t>
  </si>
  <si>
    <t>12062</t>
  </si>
  <si>
    <t>12056</t>
  </si>
  <si>
    <t>Jul 03, 2026 @ 12:35</t>
  </si>
  <si>
    <t>12054</t>
  </si>
  <si>
    <t>12043</t>
  </si>
  <si>
    <t>2102_Main 1 Sub B C D E F</t>
  </si>
  <si>
    <t>12041</t>
  </si>
  <si>
    <t>Jul 08, 2026 @ 18:52</t>
  </si>
  <si>
    <t>12036</t>
  </si>
  <si>
    <t>12033</t>
  </si>
  <si>
    <t>May 05, 2026 @ 08:45</t>
  </si>
  <si>
    <t>12027</t>
  </si>
  <si>
    <t>Jul 03, 2026 @ 09:03</t>
  </si>
  <si>
    <t>12025</t>
  </si>
  <si>
    <t>Apr 29, 2026 @ 12:17</t>
  </si>
  <si>
    <t>12014</t>
  </si>
  <si>
    <t>2101_Main 1 Sub B C D E F</t>
  </si>
  <si>
    <t>12012</t>
  </si>
  <si>
    <t>Jul 10, 2026 @ 09:48</t>
  </si>
  <si>
    <t>12007</t>
  </si>
  <si>
    <t>12004</t>
  </si>
  <si>
    <t>11998</t>
  </si>
  <si>
    <t>11996</t>
  </si>
  <si>
    <t>11985</t>
  </si>
  <si>
    <t>2001_Main 1 Sub B C D E F</t>
  </si>
  <si>
    <t>May 04, 2026 @ 09:41</t>
  </si>
  <si>
    <t>11983</t>
  </si>
  <si>
    <t>11978</t>
  </si>
  <si>
    <t>11975</t>
  </si>
  <si>
    <t>May 05, 2026 @ 08:39</t>
  </si>
  <si>
    <t>11969</t>
  </si>
  <si>
    <t>11967</t>
  </si>
  <si>
    <t>Apr 29, 2026 @ 12:12</t>
  </si>
  <si>
    <t>11956</t>
  </si>
  <si>
    <t>1908_Main 1 Sub B C D E F</t>
  </si>
  <si>
    <t>11954</t>
  </si>
  <si>
    <t>11949</t>
  </si>
  <si>
    <t>11946</t>
  </si>
  <si>
    <t>May 12, 2026 @ 18:00</t>
  </si>
  <si>
    <t>11940</t>
  </si>
  <si>
    <t>11938</t>
  </si>
  <si>
    <t>May 12, 2026 @ 13:39</t>
  </si>
  <si>
    <t>11927</t>
  </si>
  <si>
    <t>1907_Main 1 Sub B C D E F</t>
  </si>
  <si>
    <t>11925</t>
  </si>
  <si>
    <t>Jun 03, 2026 @ 14:45</t>
  </si>
  <si>
    <t>11920</t>
  </si>
  <si>
    <t>11917</t>
  </si>
  <si>
    <t>May 04, 2026 @ 18:17</t>
  </si>
  <si>
    <t>11911</t>
  </si>
  <si>
    <t>Jun 03, 2026 @ 12:05</t>
  </si>
  <si>
    <t>11909</t>
  </si>
  <si>
    <t>11898</t>
  </si>
  <si>
    <t>1906_Main 1 Sub B C D E F</t>
  </si>
  <si>
    <t>11896</t>
  </si>
  <si>
    <t>11891</t>
  </si>
  <si>
    <t>11888</t>
  </si>
  <si>
    <t>11882</t>
  </si>
  <si>
    <t>11880</t>
  </si>
  <si>
    <t>Apr 29, 2026 @ 12:24</t>
  </si>
  <si>
    <t>11869</t>
  </si>
  <si>
    <t>11867</t>
  </si>
  <si>
    <t>11862</t>
  </si>
  <si>
    <t>11859</t>
  </si>
  <si>
    <t>May 05, 2026 @ 08:52</t>
  </si>
  <si>
    <t>11853</t>
  </si>
  <si>
    <t>11851</t>
  </si>
  <si>
    <t>11840</t>
  </si>
  <si>
    <t>1904_Main 1 Sub B C D E F</t>
  </si>
  <si>
    <t>May 04, 2026 @ 09:42</t>
  </si>
  <si>
    <t>11838</t>
  </si>
  <si>
    <t>11833</t>
  </si>
  <si>
    <t>11830</t>
  </si>
  <si>
    <t>May 04, 2026 @ 18:16</t>
  </si>
  <si>
    <t>11824</t>
  </si>
  <si>
    <t>11822</t>
  </si>
  <si>
    <t>Apr 29, 2026 @ 12:23</t>
  </si>
  <si>
    <t>11811</t>
  </si>
  <si>
    <t>1903_Main 1 Sub B C D E F</t>
  </si>
  <si>
    <t>11809</t>
  </si>
  <si>
    <t>11804</t>
  </si>
  <si>
    <t>11801</t>
  </si>
  <si>
    <t>11795</t>
  </si>
  <si>
    <t>Jun 24, 2026 @ 14:06</t>
  </si>
  <si>
    <t>Jun 04, 2026 @ 18:20</t>
  </si>
  <si>
    <t>11793</t>
  </si>
  <si>
    <t>11782</t>
  </si>
  <si>
    <t>1902_Main 1 Sub B C D E F</t>
  </si>
  <si>
    <t>May 04, 2026 @ 09:43</t>
  </si>
  <si>
    <t>11780</t>
  </si>
  <si>
    <t>11775</t>
  </si>
  <si>
    <t>11772</t>
  </si>
  <si>
    <t>May 04, 2026 @ 18:15</t>
  </si>
  <si>
    <t>11766</t>
  </si>
  <si>
    <t>11764</t>
  </si>
  <si>
    <t>11753</t>
  </si>
  <si>
    <t>1901_Main 1 Sub B C D E F</t>
  </si>
  <si>
    <t>11751</t>
  </si>
  <si>
    <t>11746</t>
  </si>
  <si>
    <t>11743</t>
  </si>
  <si>
    <t>11737</t>
  </si>
  <si>
    <t>Jun 24, 2026 @ 14:23</t>
  </si>
  <si>
    <t>11735</t>
  </si>
  <si>
    <t>Apr 29, 2026 @ 12:22</t>
  </si>
  <si>
    <t>11697</t>
  </si>
  <si>
    <t>1810_Main 1 Sub B C D E F</t>
  </si>
  <si>
    <t>11694</t>
  </si>
  <si>
    <t>11684</t>
  </si>
  <si>
    <t>Jun 06, 2026 @ 15:03</t>
  </si>
  <si>
    <t>11678</t>
  </si>
  <si>
    <t>May 04, 2026 @ 18:04</t>
  </si>
  <si>
    <t>11667</t>
  </si>
  <si>
    <t>Jun 05, 2026 @ 17:39</t>
  </si>
  <si>
    <t>11662</t>
  </si>
  <si>
    <t>Apr 24, 2026 @ 17:44</t>
  </si>
  <si>
    <t>11650</t>
  </si>
  <si>
    <t>1809_Main 1 Sub B C D E F</t>
  </si>
  <si>
    <t>11648</t>
  </si>
  <si>
    <t>11643</t>
  </si>
  <si>
    <t>Jun 09, 2026 @ 09:15</t>
  </si>
  <si>
    <t>11640</t>
  </si>
  <si>
    <t>May 04, 2026 @ 18:03</t>
  </si>
  <si>
    <t>11634</t>
  </si>
  <si>
    <t>Jun 05, 2026 @ 11:04</t>
  </si>
  <si>
    <t>11632</t>
  </si>
  <si>
    <t>Jun 02, 2026 @ 12:14</t>
  </si>
  <si>
    <t>Jun 02, 2026 @ 12:13</t>
  </si>
  <si>
    <t>11621</t>
  </si>
  <si>
    <t>1808_Main 1 Sub B C D E F</t>
  </si>
  <si>
    <t>May 04, 2026 @ 09:44</t>
  </si>
  <si>
    <t>11619</t>
  </si>
  <si>
    <t>11614</t>
  </si>
  <si>
    <t>11611</t>
  </si>
  <si>
    <t>11605</t>
  </si>
  <si>
    <t>11603</t>
  </si>
  <si>
    <t>Apr 24, 2026 @ 17:43</t>
  </si>
  <si>
    <t>11592</t>
  </si>
  <si>
    <t>1807_Main 1 Sub B C D E F</t>
  </si>
  <si>
    <t>11590</t>
  </si>
  <si>
    <t>11585</t>
  </si>
  <si>
    <t>11582</t>
  </si>
  <si>
    <t>May 04, 2026 @ 18:02</t>
  </si>
  <si>
    <t>11576</t>
  </si>
  <si>
    <t>11574</t>
  </si>
  <si>
    <t>11558</t>
  </si>
  <si>
    <t>1010_Main 1 Sub B C D E F</t>
  </si>
  <si>
    <t>Apr 24, 2026 @ 14:54</t>
  </si>
  <si>
    <t>11539</t>
  </si>
  <si>
    <t>11536</t>
  </si>
  <si>
    <t>Jun 11, 2026 @ 09:03</t>
  </si>
  <si>
    <t>11531</t>
  </si>
  <si>
    <t>1806_Main 1 Sub B C D E F</t>
  </si>
  <si>
    <t>11528</t>
  </si>
  <si>
    <t>11525</t>
  </si>
  <si>
    <t>Jun 11, 2026 @ 09:02</t>
  </si>
  <si>
    <t>11520</t>
  </si>
  <si>
    <t>Apr 22, 2026 @ 18:03</t>
  </si>
  <si>
    <t>11518</t>
  </si>
  <si>
    <t>Jun 12, 2026 @ 09:44</t>
  </si>
  <si>
    <t>11517</t>
  </si>
  <si>
    <t>11512</t>
  </si>
  <si>
    <t>11506</t>
  </si>
  <si>
    <t>1009_Main 1 Sub B C D E F</t>
  </si>
  <si>
    <t>Apr 24, 2026 @ 14:02</t>
  </si>
  <si>
    <t>11501</t>
  </si>
  <si>
    <t>11497</t>
  </si>
  <si>
    <t>Apr 24, 2026 @ 17:39</t>
  </si>
  <si>
    <t>11486</t>
  </si>
  <si>
    <t>11485</t>
  </si>
  <si>
    <t>Jun 11, 2026 @ 09:01</t>
  </si>
  <si>
    <t>11480</t>
  </si>
  <si>
    <t>Jul 23, 2026 @ 08:15</t>
  </si>
  <si>
    <t>11477</t>
  </si>
  <si>
    <t>11476</t>
  </si>
  <si>
    <t>11471</t>
  </si>
  <si>
    <t>1008_Main 1 Sub B C D E F</t>
  </si>
  <si>
    <t>Apr 24, 2026 @ 14:03</t>
  </si>
  <si>
    <t>11451</t>
  </si>
  <si>
    <t>1805_Main 1 Sub B C D E F</t>
  </si>
  <si>
    <t>11447</t>
  </si>
  <si>
    <t>11443</t>
  </si>
  <si>
    <t>Apr 24, 2026 @ 14:04</t>
  </si>
  <si>
    <t>11441</t>
  </si>
  <si>
    <t>11438</t>
  </si>
  <si>
    <t>Jun 09, 2026 @ 09:17</t>
  </si>
  <si>
    <t>11433</t>
  </si>
  <si>
    <t>May 04, 2026 @ 18:01</t>
  </si>
  <si>
    <t>11429</t>
  </si>
  <si>
    <t>Jun 23, 2026 @ 10:21</t>
  </si>
  <si>
    <t>11423</t>
  </si>
  <si>
    <t>Apr 22, 2026 @ 18:02</t>
  </si>
  <si>
    <t>11422</t>
  </si>
  <si>
    <t>11421</t>
  </si>
  <si>
    <t>11418</t>
  </si>
  <si>
    <t>Jun 01, 2026 @ 14:57</t>
  </si>
  <si>
    <t>11413</t>
  </si>
  <si>
    <t>1007_Main 1 Sub B C D E F</t>
  </si>
  <si>
    <t>11399</t>
  </si>
  <si>
    <t>Apr 24, 2026 @ 14:01</t>
  </si>
  <si>
    <t>11398</t>
  </si>
  <si>
    <t>Jun 10, 2026 @ 15:13</t>
  </si>
  <si>
    <t>11393</t>
  </si>
  <si>
    <t>Jun 12, 2026 @ 17:54</t>
  </si>
  <si>
    <t>11390</t>
  </si>
  <si>
    <t>11388</t>
  </si>
  <si>
    <t>11377</t>
  </si>
  <si>
    <t>1006_Main 1 Sub B C D E F</t>
  </si>
  <si>
    <t>Apr 24, 2026 @ 13:52</t>
  </si>
  <si>
    <t>11372</t>
  </si>
  <si>
    <t>1804_Main 1 Sub B C D E F</t>
  </si>
  <si>
    <t>May 04, 2026 @ 09:45</t>
  </si>
  <si>
    <t>11368</t>
  </si>
  <si>
    <t>11359</t>
  </si>
  <si>
    <t>11353</t>
  </si>
  <si>
    <t>May 04, 2026 @ 18:00</t>
  </si>
  <si>
    <t>11348</t>
  </si>
  <si>
    <t>Apr 24, 2026 @ 13:51</t>
  </si>
  <si>
    <t>11346</t>
  </si>
  <si>
    <t>Jun 11, 2026 @ 13:48</t>
  </si>
  <si>
    <t>11342</t>
  </si>
  <si>
    <t>11337</t>
  </si>
  <si>
    <t>Apr 24, 2026 @ 17:38</t>
  </si>
  <si>
    <t>11336</t>
  </si>
  <si>
    <t>Jun 11, 2026 @ 09:26</t>
  </si>
  <si>
    <t>11332</t>
  </si>
  <si>
    <t>11331</t>
  </si>
  <si>
    <t>Jun 11, 2026 @ 17:29</t>
  </si>
  <si>
    <t>11326</t>
  </si>
  <si>
    <t>1005_Main 1 Sub B C D E F</t>
  </si>
  <si>
    <t>11312</t>
  </si>
  <si>
    <t>Apr 24, 2026 @ 13:50</t>
  </si>
  <si>
    <t>11311</t>
  </si>
  <si>
    <t>11305</t>
  </si>
  <si>
    <t>11299</t>
  </si>
  <si>
    <t>Jun 06, 2026 @ 08:32</t>
  </si>
  <si>
    <t>11297</t>
  </si>
  <si>
    <t>11289</t>
  </si>
  <si>
    <t>1803_Main 1 Sub B C D E F</t>
  </si>
  <si>
    <t>11286</t>
  </si>
  <si>
    <t>1004_Main 1 Sub B C D E F</t>
  </si>
  <si>
    <t>11285</t>
  </si>
  <si>
    <t>11275</t>
  </si>
  <si>
    <t>11269</t>
  </si>
  <si>
    <t>11260</t>
  </si>
  <si>
    <t>11258</t>
  </si>
  <si>
    <t>11254</t>
  </si>
  <si>
    <t>Apr 24, 2026 @ 13:49</t>
  </si>
  <si>
    <t>11253</t>
  </si>
  <si>
    <t>Jun 11, 2026 @ 13:43</t>
  </si>
  <si>
    <t>Jun 10, 2026 @ 15:14</t>
  </si>
  <si>
    <t>11248</t>
  </si>
  <si>
    <t>Jun 11, 2026 @ 13:39</t>
  </si>
  <si>
    <t>Jun 10, 2026 @ 17:07</t>
  </si>
  <si>
    <t>11245</t>
  </si>
  <si>
    <t>Apr 22, 2026 @ 18:01</t>
  </si>
  <si>
    <t>11244</t>
  </si>
  <si>
    <t>Jun 10, 2026 @ 17:10</t>
  </si>
  <si>
    <t>11239</t>
  </si>
  <si>
    <t>1003_Main 1 Sub B C D E F</t>
  </si>
  <si>
    <t>11216</t>
  </si>
  <si>
    <t>Apr 24, 2026 @ 13:48</t>
  </si>
  <si>
    <t>11215</t>
  </si>
  <si>
    <t>1802_Main 1 Sub B C D E F</t>
  </si>
  <si>
    <t>11213</t>
  </si>
  <si>
    <t>Jun 10, 2026 @ 15:15</t>
  </si>
  <si>
    <t>11212</t>
  </si>
  <si>
    <t>11203</t>
  </si>
  <si>
    <t>Jun 12, 2026 @ 17:53</t>
  </si>
  <si>
    <t>11202</t>
  </si>
  <si>
    <t>11197</t>
  </si>
  <si>
    <t>Apr 22, 2026 @ 18:00</t>
  </si>
  <si>
    <t>11196</t>
  </si>
  <si>
    <t>May 04, 2026 @ 17:59</t>
  </si>
  <si>
    <t>11195</t>
  </si>
  <si>
    <t>11185</t>
  </si>
  <si>
    <t>11184</t>
  </si>
  <si>
    <t>1002_Main 1 Sub B C D E F</t>
  </si>
  <si>
    <t>11180</t>
  </si>
  <si>
    <t>11167</t>
  </si>
  <si>
    <t>Apr 24, 2026 @ 13:44</t>
  </si>
  <si>
    <t>11166</t>
  </si>
  <si>
    <t>Jun 10, 2026 @ 15:16</t>
  </si>
  <si>
    <t>11161</t>
  </si>
  <si>
    <t>11158</t>
  </si>
  <si>
    <t>11157</t>
  </si>
  <si>
    <t>Jun 23, 2026 @ 09:01</t>
  </si>
  <si>
    <t>11152</t>
  </si>
  <si>
    <t>1001_Main 1 Sub B C D E F</t>
  </si>
  <si>
    <t>Apr 24, 2026 @ 13:46</t>
  </si>
  <si>
    <t>11133</t>
  </si>
  <si>
    <t>1801_Main 1 Sub B C D E F</t>
  </si>
  <si>
    <t>May 04, 2026 @ 09:46</t>
  </si>
  <si>
    <t>11129</t>
  </si>
  <si>
    <t>11123</t>
  </si>
  <si>
    <t>11122</t>
  </si>
  <si>
    <t>Jun 26, 2026 @ 09:23</t>
  </si>
  <si>
    <t>11119</t>
  </si>
  <si>
    <t>11114</t>
  </si>
  <si>
    <t>May 04, 2026 @ 17:58</t>
  </si>
  <si>
    <t>11111</t>
  </si>
  <si>
    <t>11104</t>
  </si>
  <si>
    <t>Apr 22, 2026 @ 17:58</t>
  </si>
  <si>
    <t>11103</t>
  </si>
  <si>
    <t>11102</t>
  </si>
  <si>
    <t>11099</t>
  </si>
  <si>
    <t>Apr 24, 2026 @ 17:37</t>
  </si>
  <si>
    <t>11094</t>
  </si>
  <si>
    <t>909_Main 1 Sub B C D E F</t>
  </si>
  <si>
    <t>11080</t>
  </si>
  <si>
    <t>11079</t>
  </si>
  <si>
    <t>Jun 16, 2026 @ 18:20</t>
  </si>
  <si>
    <t>11074</t>
  </si>
  <si>
    <t>Jun 16, 2026 @ 18:21</t>
  </si>
  <si>
    <t>11071</t>
  </si>
  <si>
    <t>Apr 24, 2026 @ 11:47</t>
  </si>
  <si>
    <t>11068</t>
  </si>
  <si>
    <t>11059</t>
  </si>
  <si>
    <t>908_Main 1 Sub B C D E F</t>
  </si>
  <si>
    <t>11053</t>
  </si>
  <si>
    <t>1709_Main 1 Sub B C D E F</t>
  </si>
  <si>
    <t>11049</t>
  </si>
  <si>
    <t>Jun 01, 2026 @ 14:29</t>
  </si>
  <si>
    <t>11040</t>
  </si>
  <si>
    <t>Jun 02, 2026 @ 15:31</t>
  </si>
  <si>
    <t>11034</t>
  </si>
  <si>
    <t>May 04, 2026 @ 17:57</t>
  </si>
  <si>
    <t>11029</t>
  </si>
  <si>
    <t>May 09, 2026 @ 13:37</t>
  </si>
  <si>
    <t>11027</t>
  </si>
  <si>
    <t>Jun 13, 2026 @ 12:43</t>
  </si>
  <si>
    <t>Jun 13, 2026 @ 12:37</t>
  </si>
  <si>
    <t>11022</t>
  </si>
  <si>
    <t>May 30, 2026 @ 08:59</t>
  </si>
  <si>
    <t>11019</t>
  </si>
  <si>
    <t>Jun 01, 2026 @ 14:56</t>
  </si>
  <si>
    <t>11016</t>
  </si>
  <si>
    <t>Jun 16, 2026 @ 18:19</t>
  </si>
  <si>
    <t>11013</t>
  </si>
  <si>
    <t>11012</t>
  </si>
  <si>
    <t>11007</t>
  </si>
  <si>
    <t>907_Main 1 Sub B C D E F</t>
  </si>
  <si>
    <t>10993</t>
  </si>
  <si>
    <t>10992</t>
  </si>
  <si>
    <t>Jun 12, 2026 @ 10:15</t>
  </si>
  <si>
    <t>10982</t>
  </si>
  <si>
    <t>Jun 18, 2026 @ 09:46</t>
  </si>
  <si>
    <t>10976</t>
  </si>
  <si>
    <t>10974</t>
  </si>
  <si>
    <t>1708_Main 1 Sub B C D E F</t>
  </si>
  <si>
    <t>10972</t>
  </si>
  <si>
    <t>May 29, 2026 @ 02:08</t>
  </si>
  <si>
    <t>10967</t>
  </si>
  <si>
    <t>May 29, 2026 @ 02:06</t>
  </si>
  <si>
    <t>10964</t>
  </si>
  <si>
    <t>10958</t>
  </si>
  <si>
    <t>May 29, 2026 @ 12:31</t>
  </si>
  <si>
    <t>May 29, 2026 @ 02:04</t>
  </si>
  <si>
    <t>10956</t>
  </si>
  <si>
    <t>Apr 24, 2026 @ 17:34</t>
  </si>
  <si>
    <t>10945</t>
  </si>
  <si>
    <t>1707_Main 1 Sub B C D E F</t>
  </si>
  <si>
    <t>10943</t>
  </si>
  <si>
    <t>10938</t>
  </si>
  <si>
    <t>May 30, 2026 @ 09:31</t>
  </si>
  <si>
    <t>10935</t>
  </si>
  <si>
    <t>May 04, 2026 @ 17:56</t>
  </si>
  <si>
    <t>10929</t>
  </si>
  <si>
    <t>May 30, 2026 @ 09:30</t>
  </si>
  <si>
    <t>10927</t>
  </si>
  <si>
    <t>10916</t>
  </si>
  <si>
    <t>1706_Main 1 Sub B C D E F</t>
  </si>
  <si>
    <t>May 04, 2026 @ 09:47</t>
  </si>
  <si>
    <t>10914</t>
  </si>
  <si>
    <t>Jun 09, 2026 @ 09:38</t>
  </si>
  <si>
    <t>10909</t>
  </si>
  <si>
    <t>10906</t>
  </si>
  <si>
    <t>10900</t>
  </si>
  <si>
    <t>10898</t>
  </si>
  <si>
    <t>Apr 24, 2026 @ 17:31</t>
  </si>
  <si>
    <t>10887</t>
  </si>
  <si>
    <t>1705_Main 1 Sub B C D E F</t>
  </si>
  <si>
    <t>10885</t>
  </si>
  <si>
    <t>Jun 06, 2026 @ 15:00</t>
  </si>
  <si>
    <t>10880</t>
  </si>
  <si>
    <t>Jul 03, 2026 @ 18:13</t>
  </si>
  <si>
    <t>10877</t>
  </si>
  <si>
    <t>10871</t>
  </si>
  <si>
    <t>Jun 05, 2026 @ 11:38</t>
  </si>
  <si>
    <t>10869</t>
  </si>
  <si>
    <t>Jun 01, 2026 @ 14:54</t>
  </si>
  <si>
    <t>10867</t>
  </si>
  <si>
    <t>Jun 18, 2026 @ 10:00</t>
  </si>
  <si>
    <t>10862</t>
  </si>
  <si>
    <t>906_Main 1 Sub B C D E F</t>
  </si>
  <si>
    <t>10848</t>
  </si>
  <si>
    <t>10847</t>
  </si>
  <si>
    <t>10837</t>
  </si>
  <si>
    <t>10831</t>
  </si>
  <si>
    <t>Apr 24, 2026 @ 11:46</t>
  </si>
  <si>
    <t>10829</t>
  </si>
  <si>
    <t>10828</t>
  </si>
  <si>
    <t>1704_Main 1 Sub B C D E F</t>
  </si>
  <si>
    <t>10824</t>
  </si>
  <si>
    <t>May 23, 2026 @ 14:32</t>
  </si>
  <si>
    <t>10818</t>
  </si>
  <si>
    <t>905_Main 1 Sub B C D E F</t>
  </si>
  <si>
    <t>10814</t>
  </si>
  <si>
    <t>10808</t>
  </si>
  <si>
    <t>May 04, 2026 @ 17:55</t>
  </si>
  <si>
    <t>10798</t>
  </si>
  <si>
    <t>May 29, 2026 @ 12:29</t>
  </si>
  <si>
    <t>May 23, 2026 @ 14:34</t>
  </si>
  <si>
    <t>10792</t>
  </si>
  <si>
    <t>Apr 24, 2026 @ 17:30</t>
  </si>
  <si>
    <t>10791</t>
  </si>
  <si>
    <t>May 09, 2026 @ 13:38</t>
  </si>
  <si>
    <t>10789</t>
  </si>
  <si>
    <t>Jun 18, 2026 @ 12:10</t>
  </si>
  <si>
    <t>10784</t>
  </si>
  <si>
    <t>Jul 14, 2026 @ 10:47</t>
  </si>
  <si>
    <t>10781</t>
  </si>
  <si>
    <t>Apr 24, 2026 @ 11:50</t>
  </si>
  <si>
    <t>10780</t>
  </si>
  <si>
    <t>Jun 23, 2026 @ 14:31</t>
  </si>
  <si>
    <t>10775</t>
  </si>
  <si>
    <t>904_Main 1 Sub B C D E F</t>
  </si>
  <si>
    <t>May 09, 2026 @ 13:44</t>
  </si>
  <si>
    <t>10756</t>
  </si>
  <si>
    <t>10754</t>
  </si>
  <si>
    <t>Jun 20, 2026 @ 08:23</t>
  </si>
  <si>
    <t>Jun 17, 2026 @ 09:01</t>
  </si>
  <si>
    <t>10748</t>
  </si>
  <si>
    <t>1703_Main 1 Sub B C D E F</t>
  </si>
  <si>
    <t>May 04, 2026 @ 09:48</t>
  </si>
  <si>
    <t>10744</t>
  </si>
  <si>
    <t>Jun 16, 2026 @ 18:22</t>
  </si>
  <si>
    <t>10743</t>
  </si>
  <si>
    <t>May 21, 2026 @ 17:40</t>
  </si>
  <si>
    <t>10738</t>
  </si>
  <si>
    <t>Apr 24, 2026 @ 11:45</t>
  </si>
  <si>
    <t>10736</t>
  </si>
  <si>
    <t>Jun 23, 2026 @ 14:12</t>
  </si>
  <si>
    <t>10733</t>
  </si>
  <si>
    <t>10729</t>
  </si>
  <si>
    <t>May 04, 2026 @ 17:54</t>
  </si>
  <si>
    <t>10724</t>
  </si>
  <si>
    <t>903_Main 1 Sub B C D E F</t>
  </si>
  <si>
    <t>10718</t>
  </si>
  <si>
    <t>May 29, 2026 @ 12:28</t>
  </si>
  <si>
    <t>May 21, 2026 @ 17:50</t>
  </si>
  <si>
    <t>10714</t>
  </si>
  <si>
    <t>Apr 24, 2026 @ 17:28</t>
  </si>
  <si>
    <t>10703</t>
  </si>
  <si>
    <t>10702</t>
  </si>
  <si>
    <t>10697</t>
  </si>
  <si>
    <t>10694</t>
  </si>
  <si>
    <t>10693</t>
  </si>
  <si>
    <t>10688</t>
  </si>
  <si>
    <t>902_Main 1 Sub B C D E F</t>
  </si>
  <si>
    <t>10666</t>
  </si>
  <si>
    <t>1702_Main 1 Sub B C D E F</t>
  </si>
  <si>
    <t>10663</t>
  </si>
  <si>
    <t>10662</t>
  </si>
  <si>
    <t>Jun 05, 2026 @ 11:39</t>
  </si>
  <si>
    <t>10660</t>
  </si>
  <si>
    <t>10653</t>
  </si>
  <si>
    <t>Jun 01, 2026 @ 14:37</t>
  </si>
  <si>
    <t>10649</t>
  </si>
  <si>
    <t>10648</t>
  </si>
  <si>
    <t>10643</t>
  </si>
  <si>
    <t>10640</t>
  </si>
  <si>
    <t>10638</t>
  </si>
  <si>
    <t>10634</t>
  </si>
  <si>
    <t>Apr 24, 2026 @ 17:27</t>
  </si>
  <si>
    <t>10630</t>
  </si>
  <si>
    <t>901_Main 1 Sub B C D E F</t>
  </si>
  <si>
    <t>May 09, 2026 @ 08:47</t>
  </si>
  <si>
    <t>10616</t>
  </si>
  <si>
    <t>10615</t>
  </si>
  <si>
    <t>10610</t>
  </si>
  <si>
    <t>10607</t>
  </si>
  <si>
    <t>Apr 24, 2026 @ 11:44</t>
  </si>
  <si>
    <t>10606</t>
  </si>
  <si>
    <t>10600</t>
  </si>
  <si>
    <t>810_Main 1 Sub B C D E F</t>
  </si>
  <si>
    <t>10584</t>
  </si>
  <si>
    <t>1701_Main 1 Sub B C D E F</t>
  </si>
  <si>
    <t>10581</t>
  </si>
  <si>
    <t>10571</t>
  </si>
  <si>
    <t>10570</t>
  </si>
  <si>
    <t>May 09, 2026 @ 08:48</t>
  </si>
  <si>
    <t>10568</t>
  </si>
  <si>
    <t>Jun 20, 2026 @ 09:19</t>
  </si>
  <si>
    <t>10565</t>
  </si>
  <si>
    <t>May 04, 2026 @ 17:52</t>
  </si>
  <si>
    <t>10557</t>
  </si>
  <si>
    <t>Jun 23, 2026 @ 10:24</t>
  </si>
  <si>
    <t>10554</t>
  </si>
  <si>
    <t>10551</t>
  </si>
  <si>
    <t>10550</t>
  </si>
  <si>
    <t>Apr 24, 2026 @ 17:26</t>
  </si>
  <si>
    <t>10548</t>
  </si>
  <si>
    <t>10543</t>
  </si>
  <si>
    <t>809_Main 1 Sub B C D E F</t>
  </si>
  <si>
    <t>Jun 06, 2026 @ 09:42</t>
  </si>
  <si>
    <t>10529</t>
  </si>
  <si>
    <t>Jun 06, 2026 @ 09:43</t>
  </si>
  <si>
    <t>10528</t>
  </si>
  <si>
    <t>Jun 26, 2026 @ 09:26</t>
  </si>
  <si>
    <t>10523</t>
  </si>
  <si>
    <t>Jun 16, 2026 @ 17:39</t>
  </si>
  <si>
    <t>10520</t>
  </si>
  <si>
    <t>Jun 06, 2026 @ 08:26</t>
  </si>
  <si>
    <t>10518</t>
  </si>
  <si>
    <t>10508</t>
  </si>
  <si>
    <t>808_Main 1 Sub B C D E F</t>
  </si>
  <si>
    <t>Apr 25, 2026 @ 08:27</t>
  </si>
  <si>
    <t>10501</t>
  </si>
  <si>
    <t>1610_Main 1 Sub B C D E F</t>
  </si>
  <si>
    <t>May 04, 2026 @ 09:49</t>
  </si>
  <si>
    <t>10497</t>
  </si>
  <si>
    <t>May 30, 2026 @ 09:10</t>
  </si>
  <si>
    <t>10488</t>
  </si>
  <si>
    <t>10482</t>
  </si>
  <si>
    <t>May 04, 2026 @ 17:50</t>
  </si>
  <si>
    <t>10478</t>
  </si>
  <si>
    <t>10476</t>
  </si>
  <si>
    <t>Jun 20, 2026 @ 09:21</t>
  </si>
  <si>
    <t>10471</t>
  </si>
  <si>
    <t>Jun 05, 2026 @ 08:40</t>
  </si>
  <si>
    <t>Jun 04, 2026 @ 18:18</t>
  </si>
  <si>
    <t>10468</t>
  </si>
  <si>
    <t>Apr 23, 2026 @ 13:30</t>
  </si>
  <si>
    <t>10466</t>
  </si>
  <si>
    <t>Jun 19, 2026 @ 11:41</t>
  </si>
  <si>
    <t>10462</t>
  </si>
  <si>
    <t>Apr 24, 2026 @ 11:43</t>
  </si>
  <si>
    <t>10461</t>
  </si>
  <si>
    <t>10456</t>
  </si>
  <si>
    <t>807_Main 1 Sub B C D E F</t>
  </si>
  <si>
    <t>10442</t>
  </si>
  <si>
    <t>Apr 25, 2026 @ 08:25</t>
  </si>
  <si>
    <t>10441</t>
  </si>
  <si>
    <t>Jun 17, 2026 @ 17:18</t>
  </si>
  <si>
    <t>10435</t>
  </si>
  <si>
    <t>Jun 19, 2026 @ 11:42</t>
  </si>
  <si>
    <t>10429</t>
  </si>
  <si>
    <t>10427</t>
  </si>
  <si>
    <t>10418</t>
  </si>
  <si>
    <t>1609_Main 1 Sub B C D E F</t>
  </si>
  <si>
    <t>Jun 03, 2026 @ 09:37</t>
  </si>
  <si>
    <t>Jun 03, 2026 @ 09:36</t>
  </si>
  <si>
    <t>10417</t>
  </si>
  <si>
    <t>806_Main 1 Sub B C D E F</t>
  </si>
  <si>
    <t>10415</t>
  </si>
  <si>
    <t>10404</t>
  </si>
  <si>
    <t>Jun 04, 2026 @ 08:33</t>
  </si>
  <si>
    <t>10399</t>
  </si>
  <si>
    <t>10390</t>
  </si>
  <si>
    <t>10386</t>
  </si>
  <si>
    <t>10385</t>
  </si>
  <si>
    <t>Jun 01, 2026 @ 14:53</t>
  </si>
  <si>
    <t>10383</t>
  </si>
  <si>
    <t>Jun 17, 2026 @ 12:31</t>
  </si>
  <si>
    <t>10378</t>
  </si>
  <si>
    <t>Jun 23, 2026 @ 09:29</t>
  </si>
  <si>
    <t>10375</t>
  </si>
  <si>
    <t>Apr 24, 2026 @ 11:42</t>
  </si>
  <si>
    <t>10374</t>
  </si>
  <si>
    <t>10369</t>
  </si>
  <si>
    <t>805_Main 1 Sub B C D E F</t>
  </si>
  <si>
    <t>10353</t>
  </si>
  <si>
    <t>Apr 25, 2026 @ 08:26</t>
  </si>
  <si>
    <t>10350</t>
  </si>
  <si>
    <t>10340</t>
  </si>
  <si>
    <t>10338</t>
  </si>
  <si>
    <t>1608_Main 1 Sub B C D E F</t>
  </si>
  <si>
    <t>10335</t>
  </si>
  <si>
    <t>Jun 06, 2026 @ 08:25</t>
  </si>
  <si>
    <t>10334</t>
  </si>
  <si>
    <t>May 29, 2026 @ 11:09</t>
  </si>
  <si>
    <t>10332</t>
  </si>
  <si>
    <t>10326</t>
  </si>
  <si>
    <t>May 29, 2026 @ 11:08</t>
  </si>
  <si>
    <t>10321</t>
  </si>
  <si>
    <t>804_Main 1 Sub B C D E F</t>
  </si>
  <si>
    <t>10320</t>
  </si>
  <si>
    <t>May 04, 2026 @ 17:49</t>
  </si>
  <si>
    <t>10309</t>
  </si>
  <si>
    <t>May 25, 2026 @ 16:48</t>
  </si>
  <si>
    <t>10305</t>
  </si>
  <si>
    <t>Apr 23, 2026 @ 13:29</t>
  </si>
  <si>
    <t>10297</t>
  </si>
  <si>
    <t>10296</t>
  </si>
  <si>
    <t>Jun 19, 2026 @ 18:20</t>
  </si>
  <si>
    <t>10291</t>
  </si>
  <si>
    <t>Jun 19, 2026 @ 10:34</t>
  </si>
  <si>
    <t>10288</t>
  </si>
  <si>
    <t>Apr 24, 2026 @ 11:41</t>
  </si>
  <si>
    <t>10287</t>
  </si>
  <si>
    <t>10282</t>
  </si>
  <si>
    <t>803_Main 1 Sub B C D E F</t>
  </si>
  <si>
    <t>10259</t>
  </si>
  <si>
    <t>1607_Main 1 Sub B C D E F</t>
  </si>
  <si>
    <t>May 04, 2026 @ 09:50</t>
  </si>
  <si>
    <t>10258</t>
  </si>
  <si>
    <t>10256</t>
  </si>
  <si>
    <t>May 30, 2026 @ 09:25</t>
  </si>
  <si>
    <t>10255</t>
  </si>
  <si>
    <t>Jun 18, 2026 @ 12:11</t>
  </si>
  <si>
    <t>10247</t>
  </si>
  <si>
    <t>10244</t>
  </si>
  <si>
    <t>10241</t>
  </si>
  <si>
    <t>10238</t>
  </si>
  <si>
    <t>10235</t>
  </si>
  <si>
    <t>10230</t>
  </si>
  <si>
    <t>May 25, 2026 @ 16:49</t>
  </si>
  <si>
    <t>10226</t>
  </si>
  <si>
    <t>10225</t>
  </si>
  <si>
    <t>802_Main 1 Sub B C D E F</t>
  </si>
  <si>
    <t>10210</t>
  </si>
  <si>
    <t>10209</t>
  </si>
  <si>
    <t>10204</t>
  </si>
  <si>
    <t>10201</t>
  </si>
  <si>
    <t>Apr 24, 2026 @ 11:40</t>
  </si>
  <si>
    <t>10200</t>
  </si>
  <si>
    <t>10192</t>
  </si>
  <si>
    <t>801_Main 1 Sub B C D E F</t>
  </si>
  <si>
    <t>Apr 25, 2026 @ 08:28</t>
  </si>
  <si>
    <t>10180</t>
  </si>
  <si>
    <t>1606_Main 1 Sub B C D E F</t>
  </si>
  <si>
    <t>10176</t>
  </si>
  <si>
    <t>May 30, 2026 @ 14:45</t>
  </si>
  <si>
    <t>10166</t>
  </si>
  <si>
    <t>May 30, 2026 @ 14:44</t>
  </si>
  <si>
    <t>10162</t>
  </si>
  <si>
    <t>10161</t>
  </si>
  <si>
    <t>May 04, 2026 @ 17:48</t>
  </si>
  <si>
    <t>10160</t>
  </si>
  <si>
    <t>10151</t>
  </si>
  <si>
    <t>May 25, 2026 @ 16:50</t>
  </si>
  <si>
    <t>10148</t>
  </si>
  <si>
    <t>10146</t>
  </si>
  <si>
    <t>Apr 23, 2026 @ 13:28</t>
  </si>
  <si>
    <t>10143</t>
  </si>
  <si>
    <t>Apr 23, 2026 @ 15:44</t>
  </si>
  <si>
    <t>10142</t>
  </si>
  <si>
    <t>10137</t>
  </si>
  <si>
    <t>709_Main 1 Sub B C D E F</t>
  </si>
  <si>
    <t>Jun 16, 2026 @ 11:39</t>
  </si>
  <si>
    <t>10123</t>
  </si>
  <si>
    <t>Jun 16, 2026 @ 11:40</t>
  </si>
  <si>
    <t>10122</t>
  </si>
  <si>
    <t>Jun 26, 2026 @ 16:17</t>
  </si>
  <si>
    <t>10117</t>
  </si>
  <si>
    <t>Jun 26, 2026 @ 18:14</t>
  </si>
  <si>
    <t>10112</t>
  </si>
  <si>
    <t>Jun 06, 2026 @ 12:56</t>
  </si>
  <si>
    <t>10110</t>
  </si>
  <si>
    <t>10099</t>
  </si>
  <si>
    <t>708_Main 1 Sub B C D E F</t>
  </si>
  <si>
    <t>Jun 16, 2026 @ 11:42</t>
  </si>
  <si>
    <t>10098</t>
  </si>
  <si>
    <t>1605_Main 1 Sub B C D E F</t>
  </si>
  <si>
    <t>10095</t>
  </si>
  <si>
    <t>10084</t>
  </si>
  <si>
    <t>10080</t>
  </si>
  <si>
    <t>10069</t>
  </si>
  <si>
    <t>Jun 16, 2026 @ 11:43</t>
  </si>
  <si>
    <t>10068</t>
  </si>
  <si>
    <t>10066</t>
  </si>
  <si>
    <t>Jun 30, 2026 @ 14:44</t>
  </si>
  <si>
    <t>10064</t>
  </si>
  <si>
    <t>May 07, 2026 @ 17:42</t>
  </si>
  <si>
    <t>10059</t>
  </si>
  <si>
    <t>Jun 30, 2026 @ 18:30</t>
  </si>
  <si>
    <t>10056</t>
  </si>
  <si>
    <t>Jun 06, 2026 @ 13:15</t>
  </si>
  <si>
    <t>10055</t>
  </si>
  <si>
    <t>Jun 29, 2026 @ 11:04</t>
  </si>
  <si>
    <t>10042</t>
  </si>
  <si>
    <t>1604_Main 1 Sub B C D E F</t>
  </si>
  <si>
    <t>May 04, 2026 @ 09:51</t>
  </si>
  <si>
    <t>10040</t>
  </si>
  <si>
    <t>May 19, 2026 @ 16:15</t>
  </si>
  <si>
    <t>10035</t>
  </si>
  <si>
    <t>May 19, 2026 @ 16:11</t>
  </si>
  <si>
    <t>10032</t>
  </si>
  <si>
    <t>May 04, 2026 @ 17:47</t>
  </si>
  <si>
    <t>10026</t>
  </si>
  <si>
    <t>May 19, 2026 @ 09:12</t>
  </si>
  <si>
    <t>10024</t>
  </si>
  <si>
    <t>Apr 23, 2026 @ 13:27</t>
  </si>
  <si>
    <t>10021</t>
  </si>
  <si>
    <t>707_Main 1 Sub B C D E F</t>
  </si>
  <si>
    <t>Jun 16, 2026 @ 11:46</t>
  </si>
  <si>
    <t>10007</t>
  </si>
  <si>
    <t>10006</t>
  </si>
  <si>
    <t>10000</t>
  </si>
  <si>
    <t>Jun 26, 2026 @ 18:13</t>
  </si>
  <si>
    <t>9994</t>
  </si>
  <si>
    <t>Jun 06, 2026 @ 13:18</t>
  </si>
  <si>
    <t>9992</t>
  </si>
  <si>
    <t>9983</t>
  </si>
  <si>
    <t>1603_Main 1 Sub B C D E F</t>
  </si>
  <si>
    <t>9981</t>
  </si>
  <si>
    <t>706_Main 1 Sub B C D E F</t>
  </si>
  <si>
    <t>Jun 16, 2026 @ 11:47</t>
  </si>
  <si>
    <t>9979</t>
  </si>
  <si>
    <t>May 19, 2026 @ 17:29</t>
  </si>
  <si>
    <t>9968</t>
  </si>
  <si>
    <t>May 19, 2026 @ 17:30</t>
  </si>
  <si>
    <t>9963</t>
  </si>
  <si>
    <t>9953</t>
  </si>
  <si>
    <t>9952</t>
  </si>
  <si>
    <t>May 20, 2026 @ 09:33</t>
  </si>
  <si>
    <t>9951</t>
  </si>
  <si>
    <t>Jun 26, 2026 @ 16:19</t>
  </si>
  <si>
    <t>9948</t>
  </si>
  <si>
    <t>Apr 23, 2026 @ 13:26</t>
  </si>
  <si>
    <t>9943</t>
  </si>
  <si>
    <t>9940</t>
  </si>
  <si>
    <t>Jun 06, 2026 @ 13:19</t>
  </si>
  <si>
    <t>9939</t>
  </si>
  <si>
    <t>9934</t>
  </si>
  <si>
    <t>705_Main 1 Sub B C D E F</t>
  </si>
  <si>
    <t>9920</t>
  </si>
  <si>
    <t>9919</t>
  </si>
  <si>
    <t>9909</t>
  </si>
  <si>
    <t>Jul 14, 2026 @ 10:48</t>
  </si>
  <si>
    <t>9903</t>
  </si>
  <si>
    <t>9901</t>
  </si>
  <si>
    <t>1602_Main 1 Sub B C D E F</t>
  </si>
  <si>
    <t>9900</t>
  </si>
  <si>
    <t>9897</t>
  </si>
  <si>
    <t>9890</t>
  </si>
  <si>
    <t>704_Main 1 Sub B C D E F</t>
  </si>
  <si>
    <t>9888</t>
  </si>
  <si>
    <t>9882</t>
  </si>
  <si>
    <t>9871</t>
  </si>
  <si>
    <t>9868</t>
  </si>
  <si>
    <t>9862</t>
  </si>
  <si>
    <t>Jun 16, 2026 @ 11:48</t>
  </si>
  <si>
    <t>9861</t>
  </si>
  <si>
    <t>9856</t>
  </si>
  <si>
    <t>Jun 30, 2026 @ 18:20</t>
  </si>
  <si>
    <t>9853</t>
  </si>
  <si>
    <t>9852</t>
  </si>
  <si>
    <t>Jun 29, 2026 @ 11:05</t>
  </si>
  <si>
    <t>9847</t>
  </si>
  <si>
    <t>703_Main 1 Sub B C D E F</t>
  </si>
  <si>
    <t>Jun 18, 2026 @ 12:14</t>
  </si>
  <si>
    <t>9824</t>
  </si>
  <si>
    <t>1601_Main 1 Sub B C D E F</t>
  </si>
  <si>
    <t>May 04, 2026 @ 09:52</t>
  </si>
  <si>
    <t>9823</t>
  </si>
  <si>
    <t>9821</t>
  </si>
  <si>
    <t>9820</t>
  </si>
  <si>
    <t>Jun 26, 2026 @ 16:20</t>
  </si>
  <si>
    <t>9812</t>
  </si>
  <si>
    <t>9809</t>
  </si>
  <si>
    <t>Jun 26, 2026 @ 18:10</t>
  </si>
  <si>
    <t>9806</t>
  </si>
  <si>
    <t>9802</t>
  </si>
  <si>
    <t>Jun 06, 2026 @ 13:20</t>
  </si>
  <si>
    <t>9800</t>
  </si>
  <si>
    <t>9796</t>
  </si>
  <si>
    <t>May 20, 2026 @ 09:35</t>
  </si>
  <si>
    <t>9792</t>
  </si>
  <si>
    <t>Apr 23, 2026 @ 13:25</t>
  </si>
  <si>
    <t>9789</t>
  </si>
  <si>
    <t>702_Main 1 Sub B C D E F</t>
  </si>
  <si>
    <t>9775</t>
  </si>
  <si>
    <t>Jun 16, 2026 @ 11:53</t>
  </si>
  <si>
    <t>9774</t>
  </si>
  <si>
    <t>9769</t>
  </si>
  <si>
    <t>Jun 30, 2026 @ 18:15</t>
  </si>
  <si>
    <t>9766</t>
  </si>
  <si>
    <t>9765</t>
  </si>
  <si>
    <t>Jun 29, 2026 @ 11:06</t>
  </si>
  <si>
    <t>9755</t>
  </si>
  <si>
    <t>701_Main 1 Sub B C D E F</t>
  </si>
  <si>
    <t>9745</t>
  </si>
  <si>
    <t>1509_Main 1 Sub B C D E F</t>
  </si>
  <si>
    <t>9740</t>
  </si>
  <si>
    <t>May 14, 2026 @ 08:47</t>
  </si>
  <si>
    <t>9731</t>
  </si>
  <si>
    <t>9728</t>
  </si>
  <si>
    <t>Jun 16, 2026 @ 11:54</t>
  </si>
  <si>
    <t>9726</t>
  </si>
  <si>
    <t>9725</t>
  </si>
  <si>
    <t>9715</t>
  </si>
  <si>
    <t>Jun 05, 2026 @ 08:35</t>
  </si>
  <si>
    <t>Jun 04, 2026 @ 16:48</t>
  </si>
  <si>
    <t>9713</t>
  </si>
  <si>
    <t>Jul 01, 2026 @ 08:43</t>
  </si>
  <si>
    <t>9711</t>
  </si>
  <si>
    <t>9708</t>
  </si>
  <si>
    <t>Jun 06, 2026 @ 13:21</t>
  </si>
  <si>
    <t>9707</t>
  </si>
  <si>
    <t>Jun 29, 2026 @ 11:07</t>
  </si>
  <si>
    <t>9702</t>
  </si>
  <si>
    <t>609_Main 1 Sub B C D E F</t>
  </si>
  <si>
    <t>Jun 26, 2026 @ 16:24</t>
  </si>
  <si>
    <t>9688</t>
  </si>
  <si>
    <t>9687</t>
  </si>
  <si>
    <t>9682</t>
  </si>
  <si>
    <t>9676</t>
  </si>
  <si>
    <t>Jun 19, 2026 @ 11:47</t>
  </si>
  <si>
    <t>9674</t>
  </si>
  <si>
    <t>9664</t>
  </si>
  <si>
    <t>608_Main 1 Sub B C D E F</t>
  </si>
  <si>
    <t>Jun 26, 2026 @ 16:25</t>
  </si>
  <si>
    <t>9663</t>
  </si>
  <si>
    <t>1508_Main 1 Sub B C D E F</t>
  </si>
  <si>
    <t>9660</t>
  </si>
  <si>
    <t>9650</t>
  </si>
  <si>
    <t>May 20, 2026 @ 09:36</t>
  </si>
  <si>
    <t>9645</t>
  </si>
  <si>
    <t>9634</t>
  </si>
  <si>
    <t>May 30, 2026 @ 14:48</t>
  </si>
  <si>
    <t>9633</t>
  </si>
  <si>
    <t>9631</t>
  </si>
  <si>
    <t>Jun 26, 2026 @ 16:27</t>
  </si>
  <si>
    <t>9630</t>
  </si>
  <si>
    <t>9624</t>
  </si>
  <si>
    <t>9621</t>
  </si>
  <si>
    <t>Jun 18, 2026 @ 11:46</t>
  </si>
  <si>
    <t>Jun 17, 2026 @ 12:54</t>
  </si>
  <si>
    <t>9620</t>
  </si>
  <si>
    <t>9615</t>
  </si>
  <si>
    <t>607_Main 1 Sub B C D E F</t>
  </si>
  <si>
    <t>Jun 19, 2026 @ 09:04</t>
  </si>
  <si>
    <t>9600</t>
  </si>
  <si>
    <t>Jun 19, 2026 @ 11:43</t>
  </si>
  <si>
    <t>9598</t>
  </si>
  <si>
    <t>9587</t>
  </si>
  <si>
    <t>9584</t>
  </si>
  <si>
    <t>1507_Main 1 Sub B C D E F</t>
  </si>
  <si>
    <t>May 04, 2026 @ 09:53</t>
  </si>
  <si>
    <t>9581</t>
  </si>
  <si>
    <t>9580</t>
  </si>
  <si>
    <t>9578</t>
  </si>
  <si>
    <t>9572</t>
  </si>
  <si>
    <t>May 20, 2026 @ 09:37</t>
  </si>
  <si>
    <t>9567</t>
  </si>
  <si>
    <t>606_Main 1 Sub B C D E F</t>
  </si>
  <si>
    <t>9566</t>
  </si>
  <si>
    <t>May 04, 2026 @ 17:43</t>
  </si>
  <si>
    <t>9554</t>
  </si>
  <si>
    <t>9550</t>
  </si>
  <si>
    <t>Apr 23, 2026 @ 13:24</t>
  </si>
  <si>
    <t>9543</t>
  </si>
  <si>
    <t>Jun 18, 2026 @ 12:15</t>
  </si>
  <si>
    <t>9542</t>
  </si>
  <si>
    <t>Jun 26, 2026 @ 16:28</t>
  </si>
  <si>
    <t>9537</t>
  </si>
  <si>
    <t>Jul 23, 2026 @ 09:55</t>
  </si>
  <si>
    <t>9534</t>
  </si>
  <si>
    <t>9533</t>
  </si>
  <si>
    <t>9528</t>
  </si>
  <si>
    <t>605_Main 1 Sub B C D E F</t>
  </si>
  <si>
    <t>9506</t>
  </si>
  <si>
    <t>9504</t>
  </si>
  <si>
    <t>1506_Main 1 Sub B C D E F</t>
  </si>
  <si>
    <t>May 04, 2026 @ 09:57</t>
  </si>
  <si>
    <t>9503</t>
  </si>
  <si>
    <t>9500</t>
  </si>
  <si>
    <t>May 13, 2026 @ 17:22</t>
  </si>
  <si>
    <t>9493</t>
  </si>
  <si>
    <t>9490</t>
  </si>
  <si>
    <t>9486</t>
  </si>
  <si>
    <t>Jun 17, 2026 @ 12:53</t>
  </si>
  <si>
    <t>9485</t>
  </si>
  <si>
    <t>May 04, 2026 @ 17:42</t>
  </si>
  <si>
    <t>9483</t>
  </si>
  <si>
    <t>9475</t>
  </si>
  <si>
    <t>May 25, 2026 @ 16:25</t>
  </si>
  <si>
    <t>9472</t>
  </si>
  <si>
    <t>604_Main 1 Sub B C D E F</t>
  </si>
  <si>
    <t>9471</t>
  </si>
  <si>
    <t>9456</t>
  </si>
  <si>
    <t>Jun 18, 2026 @ 12:16</t>
  </si>
  <si>
    <t>9455</t>
  </si>
  <si>
    <t>9450</t>
  </si>
  <si>
    <t>Jun 30, 2026 @ 18:54</t>
  </si>
  <si>
    <t>9447</t>
  </si>
  <si>
    <t>9446</t>
  </si>
  <si>
    <t>Jun 30, 2026 @ 14:45</t>
  </si>
  <si>
    <t>9440</t>
  </si>
  <si>
    <t>603_Main 1 Sub B C D E F</t>
  </si>
  <si>
    <t>9424</t>
  </si>
  <si>
    <t>1505_Main 1 Sub B C D E F</t>
  </si>
  <si>
    <t>9421</t>
  </si>
  <si>
    <t>9411</t>
  </si>
  <si>
    <t>9410</t>
  </si>
  <si>
    <t>Jul 03, 2026 @ 18:02</t>
  </si>
  <si>
    <t>9408</t>
  </si>
  <si>
    <t>Jul 08, 2026 @ 09:43</t>
  </si>
  <si>
    <t>9405</t>
  </si>
  <si>
    <t>9397</t>
  </si>
  <si>
    <t>Jun 30, 2026 @ 18:26</t>
  </si>
  <si>
    <t>9394</t>
  </si>
  <si>
    <t>9392</t>
  </si>
  <si>
    <t>9390</t>
  </si>
  <si>
    <t>9389</t>
  </si>
  <si>
    <t>Jun 30, 2026 @ 18:22</t>
  </si>
  <si>
    <t>9383</t>
  </si>
  <si>
    <t>602_Main 1 Sub B C D E F</t>
  </si>
  <si>
    <t>9369</t>
  </si>
  <si>
    <t>Jun 16, 2026 @ 11:55</t>
  </si>
  <si>
    <t>9368</t>
  </si>
  <si>
    <t>Jun 26, 2026 @ 16:29</t>
  </si>
  <si>
    <t>9363</t>
  </si>
  <si>
    <t>Jul 01, 2026 @ 17:17</t>
  </si>
  <si>
    <t>Jul 01, 2026 @ 17:16</t>
  </si>
  <si>
    <t>9360</t>
  </si>
  <si>
    <t>Jun 17, 2026 @ 12:52</t>
  </si>
  <si>
    <t>9358</t>
  </si>
  <si>
    <t>9347</t>
  </si>
  <si>
    <t>601_Main 1 Sub B C D E F</t>
  </si>
  <si>
    <t>9341</t>
  </si>
  <si>
    <t>1504_Main 1 Sub B C D E F</t>
  </si>
  <si>
    <t>May 04, 2026 @ 09:58</t>
  </si>
  <si>
    <t>9337</t>
  </si>
  <si>
    <t>May 13, 2026 @ 17:23</t>
  </si>
  <si>
    <t>9329</t>
  </si>
  <si>
    <t>May 15, 2026 @ 14:15</t>
  </si>
  <si>
    <t>9324</t>
  </si>
  <si>
    <t>May 04, 2026 @ 17:41</t>
  </si>
  <si>
    <t>9317</t>
  </si>
  <si>
    <t>9315</t>
  </si>
  <si>
    <t>Jun 26, 2026 @ 16:33</t>
  </si>
  <si>
    <t>9312</t>
  </si>
  <si>
    <t>May 14, 2026 @ 17:56</t>
  </si>
  <si>
    <t>9308</t>
  </si>
  <si>
    <t>Apr 23, 2026 @ 13:23</t>
  </si>
  <si>
    <t>9305</t>
  </si>
  <si>
    <t>9302</t>
  </si>
  <si>
    <t>9301</t>
  </si>
  <si>
    <t>9296</t>
  </si>
  <si>
    <t>512_Main 1 Sub B C D E F</t>
  </si>
  <si>
    <t>9282</t>
  </si>
  <si>
    <t>9281</t>
  </si>
  <si>
    <t>9274</t>
  </si>
  <si>
    <t>9268</t>
  </si>
  <si>
    <t>Jun 01, 2026 @ 17:03</t>
  </si>
  <si>
    <t>9265</t>
  </si>
  <si>
    <t>9261</t>
  </si>
  <si>
    <t>1503_Main 1 Sub B C D E F</t>
  </si>
  <si>
    <t>9257</t>
  </si>
  <si>
    <t>9254</t>
  </si>
  <si>
    <t>511_Main 1 Sub B C D E F</t>
  </si>
  <si>
    <t>9246</t>
  </si>
  <si>
    <t>May 15, 2026 @ 13:17</t>
  </si>
  <si>
    <t>9240</t>
  </si>
  <si>
    <t>May 04, 2026 @ 17:40</t>
  </si>
  <si>
    <t>9231</t>
  </si>
  <si>
    <t>May 14, 2026 @ 17:01</t>
  </si>
  <si>
    <t>9227</t>
  </si>
  <si>
    <t>Apr 23, 2026 @ 13:22</t>
  </si>
  <si>
    <t>9224</t>
  </si>
  <si>
    <t>9223</t>
  </si>
  <si>
    <t>9218</t>
  </si>
  <si>
    <t>9215</t>
  </si>
  <si>
    <t>9214</t>
  </si>
  <si>
    <t>9209</t>
  </si>
  <si>
    <t>510_Main 1 Sub B C D E F</t>
  </si>
  <si>
    <t>9194</t>
  </si>
  <si>
    <t>9192</t>
  </si>
  <si>
    <t>9182</t>
  </si>
  <si>
    <t>9177</t>
  </si>
  <si>
    <t>1502_Main 1 Sub B C D E F</t>
  </si>
  <si>
    <t>9176</t>
  </si>
  <si>
    <t>Jun 01, 2026 @ 17:02</t>
  </si>
  <si>
    <t>9174</t>
  </si>
  <si>
    <t>9173</t>
  </si>
  <si>
    <t>9165</t>
  </si>
  <si>
    <t>May 20, 2026 @ 09:38</t>
  </si>
  <si>
    <t>9162</t>
  </si>
  <si>
    <t>509_Main 1 Sub B C D E F</t>
  </si>
  <si>
    <t>9160</t>
  </si>
  <si>
    <t>9149</t>
  </si>
  <si>
    <t>May 15, 2026 @ 10:25</t>
  </si>
  <si>
    <t>9145</t>
  </si>
  <si>
    <t>9137</t>
  </si>
  <si>
    <t>9136</t>
  </si>
  <si>
    <t>9131</t>
  </si>
  <si>
    <t>9128</t>
  </si>
  <si>
    <t>9127</t>
  </si>
  <si>
    <t>9122</t>
  </si>
  <si>
    <t>508_Main 1 Sub B C D E F</t>
  </si>
  <si>
    <t>9100</t>
  </si>
  <si>
    <t>9098</t>
  </si>
  <si>
    <t>9097</t>
  </si>
  <si>
    <t>1501_Main 1 Sub B C D E F</t>
  </si>
  <si>
    <t>May 04, 2026 @ 09:59</t>
  </si>
  <si>
    <t>9093</t>
  </si>
  <si>
    <t>May 13, 2026 @ 17:24</t>
  </si>
  <si>
    <t>9088</t>
  </si>
  <si>
    <t>9083</t>
  </si>
  <si>
    <t>9082</t>
  </si>
  <si>
    <t>9081</t>
  </si>
  <si>
    <t>9077</t>
  </si>
  <si>
    <t>9069</t>
  </si>
  <si>
    <t>507_Main 1 Sub B C D E F</t>
  </si>
  <si>
    <t>9067</t>
  </si>
  <si>
    <t>May 15, 2026 @ 17:23</t>
  </si>
  <si>
    <t>9063</t>
  </si>
  <si>
    <t>9050</t>
  </si>
  <si>
    <t>9049</t>
  </si>
  <si>
    <t>9044</t>
  </si>
  <si>
    <t>9041</t>
  </si>
  <si>
    <t>Jun 19, 2026 @ 11:39</t>
  </si>
  <si>
    <t>9040</t>
  </si>
  <si>
    <t>9035</t>
  </si>
  <si>
    <t>506_Main 1 Sub B C D E F</t>
  </si>
  <si>
    <t>Jun 19, 2026 @ 11:44</t>
  </si>
  <si>
    <t>9017</t>
  </si>
  <si>
    <t>1410_Main 1 Sub B C D E F</t>
  </si>
  <si>
    <t>May 04, 2026 @ 10:00</t>
  </si>
  <si>
    <t>9013</t>
  </si>
  <si>
    <t>9006</t>
  </si>
  <si>
    <t>9004</t>
  </si>
  <si>
    <t>May 11, 2026 @ 12:13</t>
  </si>
  <si>
    <t>9003</t>
  </si>
  <si>
    <t>8998</t>
  </si>
  <si>
    <t>8991</t>
  </si>
  <si>
    <t>8988</t>
  </si>
  <si>
    <t>May 30, 2026 @ 09:11</t>
  </si>
  <si>
    <t>8985</t>
  </si>
  <si>
    <t>Jun 19, 2026 @ 11:38</t>
  </si>
  <si>
    <t>8984</t>
  </si>
  <si>
    <t>Apr 22, 2026 @ 18:20</t>
  </si>
  <si>
    <t>8983</t>
  </si>
  <si>
    <t>8977</t>
  </si>
  <si>
    <t>505_Main 1 Sub B C D E F</t>
  </si>
  <si>
    <t>Jun 19, 2026 @ 11:45</t>
  </si>
  <si>
    <t>8963</t>
  </si>
  <si>
    <t>8962</t>
  </si>
  <si>
    <t>8957</t>
  </si>
  <si>
    <t>8953</t>
  </si>
  <si>
    <t>8951</t>
  </si>
  <si>
    <t>8940</t>
  </si>
  <si>
    <t>504_Main 1 Sub B C D E F</t>
  </si>
  <si>
    <t>8937</t>
  </si>
  <si>
    <t>1409_Main 1 Sub B C D E F</t>
  </si>
  <si>
    <t>8933</t>
  </si>
  <si>
    <t>May 13, 2026 @ 17:25</t>
  </si>
  <si>
    <t>8924</t>
  </si>
  <si>
    <t>Jun 04, 2026 @ 08:20</t>
  </si>
  <si>
    <t>8920</t>
  </si>
  <si>
    <t>May 05, 2026 @ 09:03</t>
  </si>
  <si>
    <t>8909</t>
  </si>
  <si>
    <t>8908</t>
  </si>
  <si>
    <t>Jun 05, 2026 @ 11:40</t>
  </si>
  <si>
    <t>8907</t>
  </si>
  <si>
    <t>8904</t>
  </si>
  <si>
    <t>May 25, 2026 @ 14:04</t>
  </si>
  <si>
    <t>8899</t>
  </si>
  <si>
    <t>8896</t>
  </si>
  <si>
    <t>8895</t>
  </si>
  <si>
    <t>8890</t>
  </si>
  <si>
    <t>503_Main 1 Sub B C D E F</t>
  </si>
  <si>
    <t>Jun 19, 2026 @ 11:46</t>
  </si>
  <si>
    <t>8876</t>
  </si>
  <si>
    <t>8874</t>
  </si>
  <si>
    <t>8862</t>
  </si>
  <si>
    <t>8859</t>
  </si>
  <si>
    <t>1408_Main 1 Sub B C D E F</t>
  </si>
  <si>
    <t>8856</t>
  </si>
  <si>
    <t>8855</t>
  </si>
  <si>
    <t>8853</t>
  </si>
  <si>
    <t>8845</t>
  </si>
  <si>
    <t>8844</t>
  </si>
  <si>
    <t>502_Main 1 Sub B C D E F</t>
  </si>
  <si>
    <t>8837</t>
  </si>
  <si>
    <t>May 05, 2026 @ 09:04</t>
  </si>
  <si>
    <t>8825</t>
  </si>
  <si>
    <t>May 30, 2026 @ 15:00</t>
  </si>
  <si>
    <t>8821</t>
  </si>
  <si>
    <t>Apr 22, 2026 @ 18:19</t>
  </si>
  <si>
    <t>8818</t>
  </si>
  <si>
    <t>8817</t>
  </si>
  <si>
    <t>8812</t>
  </si>
  <si>
    <t>8809</t>
  </si>
  <si>
    <t>Jun 19, 2026 @ 11:37</t>
  </si>
  <si>
    <t>8808</t>
  </si>
  <si>
    <t>8803</t>
  </si>
  <si>
    <t>501_Main 1 Sub B C D E F</t>
  </si>
  <si>
    <t>8787</t>
  </si>
  <si>
    <t>8785</t>
  </si>
  <si>
    <t>8774</t>
  </si>
  <si>
    <t>8772</t>
  </si>
  <si>
    <t>1407_Main 1 Sub B C D E F</t>
  </si>
  <si>
    <t>May 04, 2026 @ 10:01</t>
  </si>
  <si>
    <t>8769</t>
  </si>
  <si>
    <t>8768</t>
  </si>
  <si>
    <t>8766</t>
  </si>
  <si>
    <t>8758</t>
  </si>
  <si>
    <t>May 11, 2026 @ 12:14</t>
  </si>
  <si>
    <t>8757</t>
  </si>
  <si>
    <t>412_Main 1 Sub B C D E F</t>
  </si>
  <si>
    <t>8752</t>
  </si>
  <si>
    <t>8741</t>
  </si>
  <si>
    <t>May 25, 2026 @ 17:34</t>
  </si>
  <si>
    <t>May 23, 2026 @ 17:23</t>
  </si>
  <si>
    <t>8738</t>
  </si>
  <si>
    <t>8731</t>
  </si>
  <si>
    <t>8730</t>
  </si>
  <si>
    <t>8725</t>
  </si>
  <si>
    <t>Jul 22, 2026 @ 13:03</t>
  </si>
  <si>
    <t>8722</t>
  </si>
  <si>
    <t>8721</t>
  </si>
  <si>
    <t>8716</t>
  </si>
  <si>
    <t>411_Main 1 Sub B C D E F</t>
  </si>
  <si>
    <t>8695</t>
  </si>
  <si>
    <t>8693</t>
  </si>
  <si>
    <t>8690</t>
  </si>
  <si>
    <t>1406_Main 1 Sub B C D E F</t>
  </si>
  <si>
    <t>8687</t>
  </si>
  <si>
    <t>May 13, 2026 @ 17:26</t>
  </si>
  <si>
    <t>8682</t>
  </si>
  <si>
    <t>8677</t>
  </si>
  <si>
    <t>Jun 01, 2026 @ 17:01</t>
  </si>
  <si>
    <t>8676</t>
  </si>
  <si>
    <t>8674</t>
  </si>
  <si>
    <t>8671</t>
  </si>
  <si>
    <t>May 05, 2026 @ 09:05</t>
  </si>
  <si>
    <t>8663</t>
  </si>
  <si>
    <t>410_Main 1 Sub B C D E F</t>
  </si>
  <si>
    <t>8661</t>
  </si>
  <si>
    <t>May 25, 2026 @ 14:00</t>
  </si>
  <si>
    <t>May 22, 2026 @ 18:01</t>
  </si>
  <si>
    <t>8657</t>
  </si>
  <si>
    <t>Apr 22, 2026 @ 18:18</t>
  </si>
  <si>
    <t>8644</t>
  </si>
  <si>
    <t>8643</t>
  </si>
  <si>
    <t>8638</t>
  </si>
  <si>
    <t>Jul 22, 2026 @ 13:04</t>
  </si>
  <si>
    <t>8635</t>
  </si>
  <si>
    <t>Jul 22, 2026 @ 07:56</t>
  </si>
  <si>
    <t>8633</t>
  </si>
  <si>
    <t>8623</t>
  </si>
  <si>
    <t>409_Main 1 Sub B C D E F</t>
  </si>
  <si>
    <t>8617</t>
  </si>
  <si>
    <t>1405_Main 1 Sub B C D E F</t>
  </si>
  <si>
    <t>8613</t>
  </si>
  <si>
    <t>May 13, 2026 @ 17:27</t>
  </si>
  <si>
    <t>8603</t>
  </si>
  <si>
    <t>8598</t>
  </si>
  <si>
    <t>8593</t>
  </si>
  <si>
    <t>8591</t>
  </si>
  <si>
    <t>8587</t>
  </si>
  <si>
    <t>8584</t>
  </si>
  <si>
    <t>Apr 23, 2026 @ 13:49</t>
  </si>
  <si>
    <t>Apr 22, 2026 @ 18:17</t>
  </si>
  <si>
    <t>8580</t>
  </si>
  <si>
    <t>8577</t>
  </si>
  <si>
    <t>Jun 01, 2026 @ 17:00</t>
  </si>
  <si>
    <t>8576</t>
  </si>
  <si>
    <t>8571</t>
  </si>
  <si>
    <t>408_Main 1 Sub B C D E F</t>
  </si>
  <si>
    <t>8557</t>
  </si>
  <si>
    <t>8556</t>
  </si>
  <si>
    <t>8550</t>
  </si>
  <si>
    <t>8544</t>
  </si>
  <si>
    <t>8542</t>
  </si>
  <si>
    <t>8533</t>
  </si>
  <si>
    <t>1404_Main 1 Sub B C D E F</t>
  </si>
  <si>
    <t>8531</t>
  </si>
  <si>
    <t>May 13, 2026 @ 12:19</t>
  </si>
  <si>
    <t>8527</t>
  </si>
  <si>
    <t>407_Main 1 Sub B C D E F</t>
  </si>
  <si>
    <t>Jun 23, 2026 @ 10:09</t>
  </si>
  <si>
    <t>Jun 19, 2026 @ 13:45</t>
  </si>
  <si>
    <t>8524</t>
  </si>
  <si>
    <t>May 11, 2026 @ 12:15</t>
  </si>
  <si>
    <t>8518</t>
  </si>
  <si>
    <t>May 05, 2026 @ 09:06</t>
  </si>
  <si>
    <t>8507</t>
  </si>
  <si>
    <t>May 09, 2026 @ 16:30</t>
  </si>
  <si>
    <t>8503</t>
  </si>
  <si>
    <t>8499</t>
  </si>
  <si>
    <t>8498</t>
  </si>
  <si>
    <t>Jul 24, 2026 @ 09:47</t>
  </si>
  <si>
    <t>8493</t>
  </si>
  <si>
    <t>8490</t>
  </si>
  <si>
    <t>8489</t>
  </si>
  <si>
    <t>8484</t>
  </si>
  <si>
    <t>406_Main 1 Sub B C D E F</t>
  </si>
  <si>
    <t>8461</t>
  </si>
  <si>
    <t>8460</t>
  </si>
  <si>
    <t>1403_Main 1 Sub B C D E F</t>
  </si>
  <si>
    <t>May 04, 2026 @ 10:02</t>
  </si>
  <si>
    <t>8458</t>
  </si>
  <si>
    <t>Jul 22, 2026 @ 13:05</t>
  </si>
  <si>
    <t>8457</t>
  </si>
  <si>
    <t>May 13, 2026 @ 12:18</t>
  </si>
  <si>
    <t>8448</t>
  </si>
  <si>
    <t>8447</t>
  </si>
  <si>
    <t>8442</t>
  </si>
  <si>
    <t>8441</t>
  </si>
  <si>
    <t>May 05, 2026 @ 09:07</t>
  </si>
  <si>
    <t>8439</t>
  </si>
  <si>
    <t>8432</t>
  </si>
  <si>
    <t>May 09, 2026 @ 16:31</t>
  </si>
  <si>
    <t>8430</t>
  </si>
  <si>
    <t>8426</t>
  </si>
  <si>
    <t>405_Main 1 Sub B C D E F</t>
  </si>
  <si>
    <t>8407</t>
  </si>
  <si>
    <t>1402_Main 1 Sub B C D E F</t>
  </si>
  <si>
    <t>8403</t>
  </si>
  <si>
    <t>May 13, 2026 @ 17:29</t>
  </si>
  <si>
    <t>8398</t>
  </si>
  <si>
    <t>Jun 19, 2026 @ 11:48</t>
  </si>
  <si>
    <t>8396</t>
  </si>
  <si>
    <t>8392</t>
  </si>
  <si>
    <t>8388</t>
  </si>
  <si>
    <t>May 05, 2026 @ 09:08</t>
  </si>
  <si>
    <t>8385</t>
  </si>
  <si>
    <t>8379</t>
  </si>
  <si>
    <t>8377</t>
  </si>
  <si>
    <t>8376</t>
  </si>
  <si>
    <t>8372</t>
  </si>
  <si>
    <t>Apr 22, 2026 @ 18:16</t>
  </si>
  <si>
    <t>8365</t>
  </si>
  <si>
    <t>404_Main 1 Sub B C D E F</t>
  </si>
  <si>
    <t>8352</t>
  </si>
  <si>
    <t>1401_Main 1 Sub B C D E F</t>
  </si>
  <si>
    <t>8348</t>
  </si>
  <si>
    <t>May 13, 2026 @ 17:30</t>
  </si>
  <si>
    <t>8338</t>
  </si>
  <si>
    <t>8337</t>
  </si>
  <si>
    <t>May 11, 2026 @ 12:16</t>
  </si>
  <si>
    <t>8335</t>
  </si>
  <si>
    <t>Jul 22, 2026 @ 13:06</t>
  </si>
  <si>
    <t>8332</t>
  </si>
  <si>
    <t>8325</t>
  </si>
  <si>
    <t>8320</t>
  </si>
  <si>
    <t>8319</t>
  </si>
  <si>
    <t>8317</t>
  </si>
  <si>
    <t>8315</t>
  </si>
  <si>
    <t>8310</t>
  </si>
  <si>
    <t>403_Main 1 Sub B C D E F</t>
  </si>
  <si>
    <t>8292</t>
  </si>
  <si>
    <t>1308_Main 1 Sub B C D E F</t>
  </si>
  <si>
    <t>May 25, 2026 @ 18:15</t>
  </si>
  <si>
    <t>8289</t>
  </si>
  <si>
    <t>8281</t>
  </si>
  <si>
    <t>8279</t>
  </si>
  <si>
    <t>8278</t>
  </si>
  <si>
    <t>8273</t>
  </si>
  <si>
    <t>8268</t>
  </si>
  <si>
    <t>8263</t>
  </si>
  <si>
    <t>8261</t>
  </si>
  <si>
    <t>May 25, 2026 @ 16:21</t>
  </si>
  <si>
    <t>8260</t>
  </si>
  <si>
    <t>Jul 22, 2026 @ 13:07</t>
  </si>
  <si>
    <t>8256</t>
  </si>
  <si>
    <t>Apr 23, 2026 @ 13:46</t>
  </si>
  <si>
    <t>8252</t>
  </si>
  <si>
    <t>402_Main 1 Sub B C D E F</t>
  </si>
  <si>
    <t>Jun 19, 2026 @ 11:49</t>
  </si>
  <si>
    <t>8231</t>
  </si>
  <si>
    <t>8229</t>
  </si>
  <si>
    <t>8226</t>
  </si>
  <si>
    <t>1307_Main 1 Sub B C D E F</t>
  </si>
  <si>
    <t>Apr 23, 2026 @ 12:42</t>
  </si>
  <si>
    <t>8222</t>
  </si>
  <si>
    <t>8219</t>
  </si>
  <si>
    <t>8214</t>
  </si>
  <si>
    <t>8212</t>
  </si>
  <si>
    <t>8211</t>
  </si>
  <si>
    <t>May 05, 2026 @ 09:16</t>
  </si>
  <si>
    <t>8206</t>
  </si>
  <si>
    <t>8200</t>
  </si>
  <si>
    <t>8198</t>
  </si>
  <si>
    <t>8194</t>
  </si>
  <si>
    <t>401_Main 1 Sub B C D E F</t>
  </si>
  <si>
    <t>8180</t>
  </si>
  <si>
    <t>Jun 19, 2026 @ 13:46</t>
  </si>
  <si>
    <t>8179</t>
  </si>
  <si>
    <t>8169</t>
  </si>
  <si>
    <t>8163</t>
  </si>
  <si>
    <t>Jun 19, 2026 @ 11:40</t>
  </si>
  <si>
    <t>8161</t>
  </si>
  <si>
    <t>Jul 22, 2026 @ 13:08</t>
  </si>
  <si>
    <t>8160</t>
  </si>
  <si>
    <t>1306_Main 1 Sub B C D E F</t>
  </si>
  <si>
    <t>8156</t>
  </si>
  <si>
    <t>May 11, 2026 @ 12:17</t>
  </si>
  <si>
    <t>8151</t>
  </si>
  <si>
    <t>May 05, 2026 @ 09:17</t>
  </si>
  <si>
    <t>8148</t>
  </si>
  <si>
    <t>8142</t>
  </si>
  <si>
    <t>May 25, 2026 @ 13:46</t>
  </si>
  <si>
    <t>May 22, 2026 @ 17:55</t>
  </si>
  <si>
    <t>8140</t>
  </si>
  <si>
    <t>Apr 22, 2026 @ 18:09</t>
  </si>
  <si>
    <t>8136</t>
  </si>
  <si>
    <t>312_Main 1 Sub B C D E F</t>
  </si>
  <si>
    <t>8122</t>
  </si>
  <si>
    <t>8121</t>
  </si>
  <si>
    <t>8116</t>
  </si>
  <si>
    <t>8111</t>
  </si>
  <si>
    <t>Jun 01, 2026 @ 16:52</t>
  </si>
  <si>
    <t>8109</t>
  </si>
  <si>
    <t>8100</t>
  </si>
  <si>
    <t>1305_Main 1 Sub B C D E F</t>
  </si>
  <si>
    <t>Apr 23, 2026 @ 12:45</t>
  </si>
  <si>
    <t>8098</t>
  </si>
  <si>
    <t>8093</t>
  </si>
  <si>
    <t>8090</t>
  </si>
  <si>
    <t>8084</t>
  </si>
  <si>
    <t>Jun 05, 2026 @ 11:41</t>
  </si>
  <si>
    <t>8082</t>
  </si>
  <si>
    <t>8078</t>
  </si>
  <si>
    <t>311_Main 1 Sub B C D E F</t>
  </si>
  <si>
    <t>8064</t>
  </si>
  <si>
    <t>8063</t>
  </si>
  <si>
    <t>8058</t>
  </si>
  <si>
    <t>8055</t>
  </si>
  <si>
    <t>Jun 01, 2026 @ 16:51</t>
  </si>
  <si>
    <t>8053</t>
  </si>
  <si>
    <t>8042</t>
  </si>
  <si>
    <t>1304_Main 1 Sub B C D E F</t>
  </si>
  <si>
    <t>8040</t>
  </si>
  <si>
    <t>8035</t>
  </si>
  <si>
    <t>May 05, 2026 @ 09:18</t>
  </si>
  <si>
    <t>8032</t>
  </si>
  <si>
    <t>Apr 23, 2026 @ 12:50</t>
  </si>
  <si>
    <t>8026</t>
  </si>
  <si>
    <t>8024</t>
  </si>
  <si>
    <t>Apr 23, 2026 @ 13:44</t>
  </si>
  <si>
    <t>8020</t>
  </si>
  <si>
    <t>310_Main 1 Sub B C D E F</t>
  </si>
  <si>
    <t>8006</t>
  </si>
  <si>
    <t>8005</t>
  </si>
  <si>
    <t>8000</t>
  </si>
  <si>
    <t>7997</t>
  </si>
  <si>
    <t>7996</t>
  </si>
  <si>
    <t>7984</t>
  </si>
  <si>
    <t>1303_Main 1 Sub B C D E F</t>
  </si>
  <si>
    <t>7982</t>
  </si>
  <si>
    <t>May 11, 2026 @ 12:18</t>
  </si>
  <si>
    <t>7977</t>
  </si>
  <si>
    <t>7974</t>
  </si>
  <si>
    <t>7967</t>
  </si>
  <si>
    <t>May 09, 2026 @ 16:32</t>
  </si>
  <si>
    <t>7965</t>
  </si>
  <si>
    <t>309_Main 1 Sub B C D E F</t>
  </si>
  <si>
    <t>7963</t>
  </si>
  <si>
    <t>Apr 22, 2026 @ 18:08</t>
  </si>
  <si>
    <t>7948</t>
  </si>
  <si>
    <t>7947</t>
  </si>
  <si>
    <t>7942</t>
  </si>
  <si>
    <t>7939</t>
  </si>
  <si>
    <t>7938</t>
  </si>
  <si>
    <t>7926</t>
  </si>
  <si>
    <t>1302_Main 1 Sub B C D E F</t>
  </si>
  <si>
    <t>Apr 23, 2026 @ 12:46</t>
  </si>
  <si>
    <t>7924</t>
  </si>
  <si>
    <t>7919</t>
  </si>
  <si>
    <t>May 11, 2026 @ 18:00</t>
  </si>
  <si>
    <t>7916</t>
  </si>
  <si>
    <t>7910</t>
  </si>
  <si>
    <t>7908</t>
  </si>
  <si>
    <t>7904</t>
  </si>
  <si>
    <t>308_Main 1 Sub B C D E F</t>
  </si>
  <si>
    <t>7890</t>
  </si>
  <si>
    <t>7889</t>
  </si>
  <si>
    <t>7884</t>
  </si>
  <si>
    <t>7881</t>
  </si>
  <si>
    <t>Jun 01, 2026 @ 16:50</t>
  </si>
  <si>
    <t>7880</t>
  </si>
  <si>
    <t>7868</t>
  </si>
  <si>
    <t>1301_Main 1 Sub B C D E F</t>
  </si>
  <si>
    <t>7866</t>
  </si>
  <si>
    <t>7861</t>
  </si>
  <si>
    <t>May 05, 2026 @ 09:19</t>
  </si>
  <si>
    <t>7858</t>
  </si>
  <si>
    <t>7852</t>
  </si>
  <si>
    <t>May 09, 2026 @ 16:33</t>
  </si>
  <si>
    <t>7850</t>
  </si>
  <si>
    <t>7846</t>
  </si>
  <si>
    <t>307_Main 1 Sub B C D E F</t>
  </si>
  <si>
    <t>7832</t>
  </si>
  <si>
    <t>7831</t>
  </si>
  <si>
    <t>7826</t>
  </si>
  <si>
    <t>7823</t>
  </si>
  <si>
    <t>Jun 19, 2026 @ 11:50</t>
  </si>
  <si>
    <t>7822</t>
  </si>
  <si>
    <t>7810</t>
  </si>
  <si>
    <t>1210_Main 1 Sub B C D E F</t>
  </si>
  <si>
    <t>7808</t>
  </si>
  <si>
    <t>May 05, 2026 @ 09:22</t>
  </si>
  <si>
    <t>7803</t>
  </si>
  <si>
    <t>Apr 23, 2026 @ 13:47</t>
  </si>
  <si>
    <t>7800</t>
  </si>
  <si>
    <t>7794</t>
  </si>
  <si>
    <t>May 05, 2026 @ 09:28</t>
  </si>
  <si>
    <t>7792</t>
  </si>
  <si>
    <t>Apr 15, 2026 @ 17:48</t>
  </si>
  <si>
    <t>7788</t>
  </si>
  <si>
    <t>306_Main 1 Sub B C D E F</t>
  </si>
  <si>
    <t>7774</t>
  </si>
  <si>
    <t>Jun 19, 2026 @ 13:47</t>
  </si>
  <si>
    <t>7773</t>
  </si>
  <si>
    <t>7767</t>
  </si>
  <si>
    <t>7760</t>
  </si>
  <si>
    <t>7758</t>
  </si>
  <si>
    <t>7752</t>
  </si>
  <si>
    <t>1209_Main 1 Sub B C D E F</t>
  </si>
  <si>
    <t>7750</t>
  </si>
  <si>
    <t>May 05, 2026 @ 09:23</t>
  </si>
  <si>
    <t>7745</t>
  </si>
  <si>
    <t>Apr 23, 2026 @ 13:52</t>
  </si>
  <si>
    <t>7742</t>
  </si>
  <si>
    <t>7736</t>
  </si>
  <si>
    <t>May 05, 2026 @ 09:29</t>
  </si>
  <si>
    <t>7734</t>
  </si>
  <si>
    <t>7730</t>
  </si>
  <si>
    <t>305_Main 1 Sub B C D E F</t>
  </si>
  <si>
    <t>7715</t>
  </si>
  <si>
    <t>7712</t>
  </si>
  <si>
    <t>7702</t>
  </si>
  <si>
    <t>7699</t>
  </si>
  <si>
    <t>1208_Main 1 Sub B C D E F</t>
  </si>
  <si>
    <t>Apr 23, 2026 @ 12:47</t>
  </si>
  <si>
    <t>7696</t>
  </si>
  <si>
    <t>7695</t>
  </si>
  <si>
    <t>Jun 19, 2026 @ 11:51</t>
  </si>
  <si>
    <t>7693</t>
  </si>
  <si>
    <t>7687</t>
  </si>
  <si>
    <t>Apr 23, 2026 @ 13:56</t>
  </si>
  <si>
    <t>7684</t>
  </si>
  <si>
    <t>Apr 23, 2026 @ 12:51</t>
  </si>
  <si>
    <t>7678</t>
  </si>
  <si>
    <t>7676</t>
  </si>
  <si>
    <t>7672</t>
  </si>
  <si>
    <t>304_Main 1 Sub B C D E F</t>
  </si>
  <si>
    <t>Jun 20, 2026 @ 09:28</t>
  </si>
  <si>
    <t>7653</t>
  </si>
  <si>
    <t>Jun 19, 2026 @ 15:50</t>
  </si>
  <si>
    <t>7651</t>
  </si>
  <si>
    <t>7644</t>
  </si>
  <si>
    <t>1207_Main 1 Sub B C D E F</t>
  </si>
  <si>
    <t>7641</t>
  </si>
  <si>
    <t>7640</t>
  </si>
  <si>
    <t>May 14, 2026 @ 08:59</t>
  </si>
  <si>
    <t>7635</t>
  </si>
  <si>
    <t>7633</t>
  </si>
  <si>
    <t>7629</t>
  </si>
  <si>
    <t>7626</t>
  </si>
  <si>
    <t>7620</t>
  </si>
  <si>
    <t>May 05, 2026 @ 09:30</t>
  </si>
  <si>
    <t>7618</t>
  </si>
  <si>
    <t>Apr 15, 2026 @ 17:47</t>
  </si>
  <si>
    <t>7614</t>
  </si>
  <si>
    <t>303_Main 1 Sub B C D E F</t>
  </si>
  <si>
    <t>7595</t>
  </si>
  <si>
    <t>7593</t>
  </si>
  <si>
    <t>7587</t>
  </si>
  <si>
    <t>1206_Main 1 Sub B C D E F</t>
  </si>
  <si>
    <t>7583</t>
  </si>
  <si>
    <t>May 05, 2026 @ 09:25</t>
  </si>
  <si>
    <t>7581</t>
  </si>
  <si>
    <t>7576</t>
  </si>
  <si>
    <t>7574</t>
  </si>
  <si>
    <t>7573</t>
  </si>
  <si>
    <t>Apr 23, 2026 @ 13:53</t>
  </si>
  <si>
    <t>7568</t>
  </si>
  <si>
    <t>7562</t>
  </si>
  <si>
    <t>7560</t>
  </si>
  <si>
    <t>7556</t>
  </si>
  <si>
    <t>302_Main 1 Sub B C D E F</t>
  </si>
  <si>
    <t>7537</t>
  </si>
  <si>
    <t>7534</t>
  </si>
  <si>
    <t>7529</t>
  </si>
  <si>
    <t>1205_Main 1 Sub B C D E F</t>
  </si>
  <si>
    <t>7525</t>
  </si>
  <si>
    <t>7524</t>
  </si>
  <si>
    <t>7518</t>
  </si>
  <si>
    <t>Jun 19, 2026 @ 11:52</t>
  </si>
  <si>
    <t>7516</t>
  </si>
  <si>
    <t>7515</t>
  </si>
  <si>
    <t>May 05, 2026 @ 08:19</t>
  </si>
  <si>
    <t>7510</t>
  </si>
  <si>
    <t>Apr 23, 2026 @ 12:52</t>
  </si>
  <si>
    <t>7504</t>
  </si>
  <si>
    <t>May 02, 2026 @ 08:14</t>
  </si>
  <si>
    <t>7502</t>
  </si>
  <si>
    <t>Apr 15, 2026 @ 17:46</t>
  </si>
  <si>
    <t>7498</t>
  </si>
  <si>
    <t>301_Main 1 Sub B C D E F</t>
  </si>
  <si>
    <t>7477</t>
  </si>
  <si>
    <t>7474</t>
  </si>
  <si>
    <t>7472</t>
  </si>
  <si>
    <t>May 01, 2026 @ 17:30</t>
  </si>
  <si>
    <t>7469</t>
  </si>
  <si>
    <t>May 03, 2026 @ 09:53</t>
  </si>
  <si>
    <t>7463</t>
  </si>
  <si>
    <t>7459</t>
  </si>
  <si>
    <t>May 03, 2026 @ 09:52</t>
  </si>
  <si>
    <t>7458</t>
  </si>
  <si>
    <t>7456</t>
  </si>
  <si>
    <t>7453</t>
  </si>
  <si>
    <t>May 03, 2026 @ 09:56</t>
  </si>
  <si>
    <t>7444</t>
  </si>
  <si>
    <t>7440</t>
  </si>
  <si>
    <t>212_Main 1 Sub B C D E F</t>
  </si>
  <si>
    <t>7421</t>
  </si>
  <si>
    <t>7419</t>
  </si>
  <si>
    <t>7413</t>
  </si>
  <si>
    <t>1203_Main 1 Sub B C D E F</t>
  </si>
  <si>
    <t>May 04, 2026 @ 10:03</t>
  </si>
  <si>
    <t>7409</t>
  </si>
  <si>
    <t>May 05, 2026 @ 09:26</t>
  </si>
  <si>
    <t>7408</t>
  </si>
  <si>
    <t>7402</t>
  </si>
  <si>
    <t>7401</t>
  </si>
  <si>
    <t>7398</t>
  </si>
  <si>
    <t>7394</t>
  </si>
  <si>
    <t>May 05, 2026 @ 09:12</t>
  </si>
  <si>
    <t>7388</t>
  </si>
  <si>
    <t>7386</t>
  </si>
  <si>
    <t>Apr 15, 2026 @ 17:45</t>
  </si>
  <si>
    <t>7382</t>
  </si>
  <si>
    <t>211_Main 1 Sub B C D E F</t>
  </si>
  <si>
    <t>7361</t>
  </si>
  <si>
    <t>7359</t>
  </si>
  <si>
    <t>7356</t>
  </si>
  <si>
    <t>1202_Main 1 Sub B C D E F</t>
  </si>
  <si>
    <t>Apr 23, 2026 @ 12:48</t>
  </si>
  <si>
    <t>7353</t>
  </si>
  <si>
    <t>7349</t>
  </si>
  <si>
    <t>7344</t>
  </si>
  <si>
    <t>7342</t>
  </si>
  <si>
    <t>Apr 23, 2026 @ 13:54</t>
  </si>
  <si>
    <t>7341</t>
  </si>
  <si>
    <t>7337</t>
  </si>
  <si>
    <t>7330</t>
  </si>
  <si>
    <t>May 05, 2026 @ 09:31</t>
  </si>
  <si>
    <t>7328</t>
  </si>
  <si>
    <t>7324</t>
  </si>
  <si>
    <t>210_Main 1 Sub B C D E F</t>
  </si>
  <si>
    <t>7304</t>
  </si>
  <si>
    <t>7302</t>
  </si>
  <si>
    <t>7297</t>
  </si>
  <si>
    <t>1201_Main 1 Sub B C D E F</t>
  </si>
  <si>
    <t>7294</t>
  </si>
  <si>
    <t>May 05, 2026 @ 09:27</t>
  </si>
  <si>
    <t>7291</t>
  </si>
  <si>
    <t>7286</t>
  </si>
  <si>
    <t>Jun 01, 2026 @ 16:49</t>
  </si>
  <si>
    <t>7284</t>
  </si>
  <si>
    <t>7283</t>
  </si>
  <si>
    <t>Apr 23, 2026 @ 13:55</t>
  </si>
  <si>
    <t>7278</t>
  </si>
  <si>
    <t>7272</t>
  </si>
  <si>
    <t>7270</t>
  </si>
  <si>
    <t>Apr 15, 2026 @ 17:44</t>
  </si>
  <si>
    <t>7266</t>
  </si>
  <si>
    <t>209_Main 1 Sub B C D E F</t>
  </si>
  <si>
    <t>7249</t>
  </si>
  <si>
    <t>7247</t>
  </si>
  <si>
    <t>7237</t>
  </si>
  <si>
    <t>1109_Main 1 Sub B C D E F</t>
  </si>
  <si>
    <t>7236</t>
  </si>
  <si>
    <t>7233</t>
  </si>
  <si>
    <t>7230</t>
  </si>
  <si>
    <t>7228</t>
  </si>
  <si>
    <t>7223</t>
  </si>
  <si>
    <t>Jun 12, 2026 @ 17:44</t>
  </si>
  <si>
    <t>7220</t>
  </si>
  <si>
    <t>Apr 24, 2026 @ 14:55</t>
  </si>
  <si>
    <t>7214</t>
  </si>
  <si>
    <t>7212</t>
  </si>
  <si>
    <t>Apr 22, 2026 @ 18:06</t>
  </si>
  <si>
    <t>7208</t>
  </si>
  <si>
    <t>208_Main 1 Sub B C D E F</t>
  </si>
  <si>
    <t>7194</t>
  </si>
  <si>
    <t>7192</t>
  </si>
  <si>
    <t>7182</t>
  </si>
  <si>
    <t>7177</t>
  </si>
  <si>
    <t>7175</t>
  </si>
  <si>
    <t>1108_Main 1 Sub B C D E F</t>
  </si>
  <si>
    <t>7174</t>
  </si>
  <si>
    <t>7171</t>
  </si>
  <si>
    <t>7165</t>
  </si>
  <si>
    <t>7162</t>
  </si>
  <si>
    <t>7156</t>
  </si>
  <si>
    <t>7154</t>
  </si>
  <si>
    <t>7150</t>
  </si>
  <si>
    <t>207_Main 1 Sub B C D E F</t>
  </si>
  <si>
    <t>Jun 20, 2026 @ 14:37</t>
  </si>
  <si>
    <t>7133</t>
  </si>
  <si>
    <t>Jun 20, 2026 @ 14:38</t>
  </si>
  <si>
    <t>7130</t>
  </si>
  <si>
    <t>7121</t>
  </si>
  <si>
    <t>1107_Main 1 Sub B C D E F</t>
  </si>
  <si>
    <t>7120</t>
  </si>
  <si>
    <t>7117</t>
  </si>
  <si>
    <t>7114</t>
  </si>
  <si>
    <t>7112</t>
  </si>
  <si>
    <t>7107</t>
  </si>
  <si>
    <t>7104</t>
  </si>
  <si>
    <t>Apr 24, 2026 @ 14:56</t>
  </si>
  <si>
    <t>7098</t>
  </si>
  <si>
    <t>7096</t>
  </si>
  <si>
    <t>7092</t>
  </si>
  <si>
    <t>206_Main 1 Sub B C D E F</t>
  </si>
  <si>
    <t>7073</t>
  </si>
  <si>
    <t>Jun 20, 2026 @ 14:39</t>
  </si>
  <si>
    <t>7070</t>
  </si>
  <si>
    <t>7065</t>
  </si>
  <si>
    <t>1106_Main 1 Sub B C D E F</t>
  </si>
  <si>
    <t>7061</t>
  </si>
  <si>
    <t>Jun 11, 2026 @ 14:06</t>
  </si>
  <si>
    <t>Jun 11, 2026 @ 09:15</t>
  </si>
  <si>
    <t>7060</t>
  </si>
  <si>
    <t>7054</t>
  </si>
  <si>
    <t>Jun 19, 2026 @ 11:53</t>
  </si>
  <si>
    <t>7052</t>
  </si>
  <si>
    <t>7051</t>
  </si>
  <si>
    <t>Jun 11, 2026 @ 13:57</t>
  </si>
  <si>
    <t>7046</t>
  </si>
  <si>
    <t>7040</t>
  </si>
  <si>
    <t>Jun 11, 2026 @ 14:29</t>
  </si>
  <si>
    <t>7038</t>
  </si>
  <si>
    <t>Apr 22, 2026 @ 18:05</t>
  </si>
  <si>
    <t>7034</t>
  </si>
  <si>
    <t>205_Main 1 Sub B C D E F</t>
  </si>
  <si>
    <t>7013</t>
  </si>
  <si>
    <t>7011</t>
  </si>
  <si>
    <t>7007</t>
  </si>
  <si>
    <t>1105_Main 1 Sub B C D E F</t>
  </si>
  <si>
    <t>Apr 24, 2026 @ 14:57</t>
  </si>
  <si>
    <t>7004</t>
  </si>
  <si>
    <t>7001</t>
  </si>
  <si>
    <t>6996</t>
  </si>
  <si>
    <t>6994</t>
  </si>
  <si>
    <t>Jul 07, 2026 @ 12:21</t>
  </si>
  <si>
    <t>6993</t>
  </si>
  <si>
    <t>6988</t>
  </si>
  <si>
    <t>6982</t>
  </si>
  <si>
    <t>Jun 11, 2026 @ 12:54</t>
  </si>
  <si>
    <t>Jun 10, 2026 @ 15:26</t>
  </si>
  <si>
    <t>6980</t>
  </si>
  <si>
    <t>6976</t>
  </si>
  <si>
    <t>204_Main 1 Sub B C D E F</t>
  </si>
  <si>
    <t>Jun 20, 2026 @ 14:40</t>
  </si>
  <si>
    <t>6955</t>
  </si>
  <si>
    <t>6953</t>
  </si>
  <si>
    <t>6950</t>
  </si>
  <si>
    <t>1104_Main 1 Sub B C D E F</t>
  </si>
  <si>
    <t>6947</t>
  </si>
  <si>
    <t>Jun 11, 2026 @ 13:00</t>
  </si>
  <si>
    <t>Jun 10, 2026 @ 18:35</t>
  </si>
  <si>
    <t>6942</t>
  </si>
  <si>
    <t>6937</t>
  </si>
  <si>
    <t>6936</t>
  </si>
  <si>
    <t>Jun 11, 2026 @ 13:56</t>
  </si>
  <si>
    <t>6935</t>
  </si>
  <si>
    <t>6930</t>
  </si>
  <si>
    <t>Apr 24, 2026 @ 14:58</t>
  </si>
  <si>
    <t>6924</t>
  </si>
  <si>
    <t>Jun 11, 2026 @ 12:53</t>
  </si>
  <si>
    <t>Jun 10, 2026 @ 15:27</t>
  </si>
  <si>
    <t>6922</t>
  </si>
  <si>
    <t>Apr 22, 2026 @ 18:04</t>
  </si>
  <si>
    <t>6918</t>
  </si>
  <si>
    <t>203_Main 1 Sub B C D E F</t>
  </si>
  <si>
    <t>6904</t>
  </si>
  <si>
    <t>Jun 20, 2026 @ 14:55</t>
  </si>
  <si>
    <t>6903</t>
  </si>
  <si>
    <t>6897</t>
  </si>
  <si>
    <t>6892</t>
  </si>
  <si>
    <t>6889</t>
  </si>
  <si>
    <t>6882</t>
  </si>
  <si>
    <t>1103_Main 1 Sub B C D E F</t>
  </si>
  <si>
    <t>6880</t>
  </si>
  <si>
    <t>Jun 11, 2026 @ 14:22</t>
  </si>
  <si>
    <t>6875</t>
  </si>
  <si>
    <t>Jun 11, 2026 @ 14:20</t>
  </si>
  <si>
    <t>6872</t>
  </si>
  <si>
    <t>6866</t>
  </si>
  <si>
    <t>6864</t>
  </si>
  <si>
    <t>6860</t>
  </si>
  <si>
    <t>201_Main 1 Sub B C D E F</t>
  </si>
  <si>
    <t>6845</t>
  </si>
  <si>
    <t>Jun 20, 2026 @ 14:56</t>
  </si>
  <si>
    <t>6843</t>
  </si>
  <si>
    <t>6832</t>
  </si>
  <si>
    <t>6829</t>
  </si>
  <si>
    <t>1102_Main 1 Sub B C D E F</t>
  </si>
  <si>
    <t>6826</t>
  </si>
  <si>
    <t>6825</t>
  </si>
  <si>
    <t>Jun 10, 2026 @ 17:49</t>
  </si>
  <si>
    <t>6824</t>
  </si>
  <si>
    <t>6817</t>
  </si>
  <si>
    <t>Jun 11, 2026 @ 13:55</t>
  </si>
  <si>
    <t>6814</t>
  </si>
  <si>
    <t>Apr 24, 2026 @ 14:59</t>
  </si>
  <si>
    <t>6808</t>
  </si>
  <si>
    <t>Jun 10, 2026 @ 15:28</t>
  </si>
  <si>
    <t>6806</t>
  </si>
  <si>
    <t>6802</t>
  </si>
  <si>
    <t>112_Main 1 Sub B C D E F</t>
  </si>
  <si>
    <t>6788</t>
  </si>
  <si>
    <t>6787</t>
  </si>
  <si>
    <t>6777</t>
  </si>
  <si>
    <t>6771</t>
  </si>
  <si>
    <t>Jun 01, 2026 @ 16:42</t>
  </si>
  <si>
    <t>6769</t>
  </si>
  <si>
    <t>6767</t>
  </si>
  <si>
    <t>1101_Main 1 Sub B C D E F</t>
  </si>
  <si>
    <t>Apr 24, 2026 @ 15:00</t>
  </si>
  <si>
    <t>6764</t>
  </si>
  <si>
    <t>6759</t>
  </si>
  <si>
    <t>6756</t>
  </si>
  <si>
    <t>6750</t>
  </si>
  <si>
    <t>Jun 11, 2026 @ 12:52</t>
  </si>
  <si>
    <t>Jun 10, 2026 @ 15:30</t>
  </si>
  <si>
    <t>6748</t>
  </si>
  <si>
    <t>6744</t>
  </si>
  <si>
    <t>111_Main 1 Sub B C D E F</t>
  </si>
  <si>
    <t>6730</t>
  </si>
  <si>
    <t>6729</t>
  </si>
  <si>
    <t>6724</t>
  </si>
  <si>
    <t>6721</t>
  </si>
  <si>
    <t>6720</t>
  </si>
  <si>
    <t>6715</t>
  </si>
  <si>
    <t>110_Main 1 Sub B C D E F</t>
  </si>
  <si>
    <t>6701</t>
  </si>
  <si>
    <t>6700</t>
  </si>
  <si>
    <t>6695</t>
  </si>
  <si>
    <t>6692</t>
  </si>
  <si>
    <t>Jun 01, 2026 @ 16:41</t>
  </si>
  <si>
    <t>6691</t>
  </si>
  <si>
    <t>6686</t>
  </si>
  <si>
    <t>109_Main 1 Sub B C D E F</t>
  </si>
  <si>
    <t>6672</t>
  </si>
  <si>
    <t>6671</t>
  </si>
  <si>
    <t>6666</t>
  </si>
  <si>
    <t>6663</t>
  </si>
  <si>
    <t>Jun 01, 2026 @ 16:40</t>
  </si>
  <si>
    <t>6662</t>
  </si>
  <si>
    <t>6657</t>
  </si>
  <si>
    <t>108_Main 1 Sub B C D E F</t>
  </si>
  <si>
    <t>6643</t>
  </si>
  <si>
    <t>6642</t>
  </si>
  <si>
    <t>6637</t>
  </si>
  <si>
    <t>6634</t>
  </si>
  <si>
    <t>Jun 01, 2026 @ 16:39</t>
  </si>
  <si>
    <t>6633</t>
  </si>
  <si>
    <t>6629</t>
  </si>
  <si>
    <t>Jan 08, 2026 @ 16:13</t>
  </si>
  <si>
    <t>Mockup-202</t>
  </si>
  <si>
    <t>6609</t>
  </si>
  <si>
    <t>Jan 08, 2026 @ 15:50</t>
  </si>
  <si>
    <t>6608</t>
  </si>
  <si>
    <t>Jan 08, 2026 @ 15:49</t>
  </si>
  <si>
    <t>6594</t>
  </si>
  <si>
    <t>Jan 08, 2026 @ 15:30</t>
  </si>
  <si>
    <t>Jun 23, 2026 @ 08:31</t>
  </si>
  <si>
    <t>6591</t>
  </si>
  <si>
    <t>Jan 08, 2026 @ 15:29</t>
  </si>
  <si>
    <t>6589</t>
  </si>
  <si>
    <t>ID</t>
  </si>
  <si>
    <t>FLATS</t>
  </si>
  <si>
    <t>108_</t>
  </si>
  <si>
    <t>109_</t>
  </si>
  <si>
    <t>110_</t>
  </si>
  <si>
    <t>111_</t>
  </si>
  <si>
    <t>112_</t>
  </si>
  <si>
    <t>201_</t>
  </si>
  <si>
    <t>202_</t>
  </si>
  <si>
    <t>203_</t>
  </si>
  <si>
    <t>%</t>
  </si>
  <si>
    <t>204_</t>
  </si>
  <si>
    <t>205_</t>
  </si>
  <si>
    <t>206_</t>
  </si>
  <si>
    <t>207_</t>
  </si>
  <si>
    <t>208_</t>
  </si>
  <si>
    <t>209_</t>
  </si>
  <si>
    <t>210_</t>
  </si>
  <si>
    <t>211_</t>
  </si>
  <si>
    <t>212_</t>
  </si>
  <si>
    <t>301_</t>
  </si>
  <si>
    <t>302_</t>
  </si>
  <si>
    <t>303_</t>
  </si>
  <si>
    <t>304_</t>
  </si>
  <si>
    <t>305_</t>
  </si>
  <si>
    <t>306_</t>
  </si>
  <si>
    <t>307_</t>
  </si>
  <si>
    <t>308_</t>
  </si>
  <si>
    <t>309_</t>
  </si>
  <si>
    <t>310_</t>
  </si>
  <si>
    <t>311_</t>
  </si>
  <si>
    <t>312_</t>
  </si>
  <si>
    <t>401_</t>
  </si>
  <si>
    <t>402_</t>
  </si>
  <si>
    <t>404_</t>
  </si>
  <si>
    <t>405_</t>
  </si>
  <si>
    <t>406_</t>
  </si>
  <si>
    <t>407_</t>
  </si>
  <si>
    <t>408_</t>
  </si>
  <si>
    <t>409_</t>
  </si>
  <si>
    <t>410_</t>
  </si>
  <si>
    <t>411_</t>
  </si>
  <si>
    <t>412_</t>
  </si>
  <si>
    <t>501_</t>
  </si>
  <si>
    <t>502_</t>
  </si>
  <si>
    <t>503_</t>
  </si>
  <si>
    <t>504_</t>
  </si>
  <si>
    <t>505_</t>
  </si>
  <si>
    <t>506_</t>
  </si>
  <si>
    <t>507_</t>
  </si>
  <si>
    <t>508_</t>
  </si>
  <si>
    <t>509_</t>
  </si>
  <si>
    <t>510_</t>
  </si>
  <si>
    <t>511_</t>
  </si>
  <si>
    <t>512_</t>
  </si>
  <si>
    <t>601_</t>
  </si>
  <si>
    <t>602_</t>
  </si>
  <si>
    <t>603_</t>
  </si>
  <si>
    <t>604_</t>
  </si>
  <si>
    <t>605_</t>
  </si>
  <si>
    <t>606_</t>
  </si>
  <si>
    <t>607_</t>
  </si>
  <si>
    <t>608_</t>
  </si>
  <si>
    <t>609_</t>
  </si>
  <si>
    <t>701_</t>
  </si>
  <si>
    <t>702_</t>
  </si>
  <si>
    <t>703_</t>
  </si>
  <si>
    <t>704_</t>
  </si>
  <si>
    <t>705_</t>
  </si>
  <si>
    <t>706_</t>
  </si>
  <si>
    <t>707_</t>
  </si>
  <si>
    <t>708_</t>
  </si>
  <si>
    <t>709_</t>
  </si>
  <si>
    <t>801_</t>
  </si>
  <si>
    <t>802_</t>
  </si>
  <si>
    <t>803_</t>
  </si>
  <si>
    <t>804_</t>
  </si>
  <si>
    <t>805_</t>
  </si>
  <si>
    <t>806_</t>
  </si>
  <si>
    <t>807_</t>
  </si>
  <si>
    <t>808_</t>
  </si>
  <si>
    <t>809_</t>
  </si>
  <si>
    <t>810_</t>
  </si>
  <si>
    <t>901_</t>
  </si>
  <si>
    <t>902_</t>
  </si>
  <si>
    <t>903_</t>
  </si>
  <si>
    <t>904_</t>
  </si>
  <si>
    <t>905_</t>
  </si>
  <si>
    <t>906_</t>
  </si>
  <si>
    <t>907_</t>
  </si>
  <si>
    <t>908_</t>
  </si>
  <si>
    <t>909_</t>
  </si>
  <si>
    <t>403_</t>
  </si>
  <si>
    <t>202_M:1 S:B C D E F</t>
  </si>
  <si>
    <t>Jul 25, 2026 @ 17:01</t>
  </si>
  <si>
    <t>REMARK</t>
  </si>
  <si>
    <t xml:space="preserve">D2 (WIR) </t>
  </si>
  <si>
    <t>D2 (WIR)</t>
  </si>
  <si>
    <t>INTERCOM</t>
  </si>
  <si>
    <t>Jul 27, 2026 @ 09:17</t>
  </si>
  <si>
    <t>Jul 27, 2026 @ 17:03</t>
  </si>
  <si>
    <t>Jul 27, 2026 @ 18:16</t>
  </si>
  <si>
    <t>Jul 27, 2026 @ 18:17</t>
  </si>
  <si>
    <t>Jul 27, 2026 @ 18:18</t>
  </si>
  <si>
    <t>Jul 27, 2026 @ 18:08</t>
  </si>
  <si>
    <t>Jul 27, 2026 @ 18:09</t>
  </si>
  <si>
    <t>Jul 27, 2026 @ 18:10</t>
  </si>
  <si>
    <t>Jul 27, 2026 @ 18:11</t>
  </si>
  <si>
    <t>Jul 27, 2026 @ 18:19</t>
  </si>
  <si>
    <t>Jul 27, 2026 @ 18:12</t>
  </si>
  <si>
    <t>Jul 27, 2026 @ 18:13</t>
  </si>
  <si>
    <t>Jul 27, 2026 @ 18:14</t>
  </si>
  <si>
    <t>Jul 27, 2026 @ 18:15</t>
  </si>
  <si>
    <t>Jul 29, 2026 @ 09:11</t>
  </si>
  <si>
    <t>Jul 28, 2026 @ 13:56</t>
  </si>
  <si>
    <t>Jul 30, 2026 @ 16:47</t>
  </si>
  <si>
    <t>WIR-WAO-EL-3025</t>
  </si>
  <si>
    <t>#2725</t>
  </si>
  <si>
    <t>Level 36</t>
  </si>
  <si>
    <t>Witnessing of T&amp;C of Cat 6 Cables for Structured Cabling System as per the attached drawing and Test reports. (FLUKE TEST) Apartments. 3601,3602,3603,3604,3605,3606,3607,3608,3609,3610.</t>
  </si>
  <si>
    <t>PlanGrid</t>
  </si>
  <si>
    <t>WIR-WAO-EL-3028</t>
  </si>
  <si>
    <t>#2738</t>
  </si>
  <si>
    <t xml:space="preserve">Inspection request for witnessing for functionality of video intercom. As per the attached Schematic drawing &amp; Test reports. Apartments. 3601,3602,3603,3604,3605,3606,3607,3608,3609.  </t>
  </si>
  <si>
    <t>WIR-WAO-EL-3026</t>
  </si>
  <si>
    <t>#2726</t>
  </si>
  <si>
    <t>Level 37</t>
  </si>
  <si>
    <t>Witnessing of T&amp;C of Cat 6 Cables for Structured Cabling System as per the attached drawing and Test reports. (FLUKE TEST) Apartments. 3701,3702,3703,3704,3705,3706,3707,3708,3709.</t>
  </si>
  <si>
    <t>WIR-WAO-EL-3023</t>
  </si>
  <si>
    <t>#2723</t>
  </si>
  <si>
    <t>Inspection of LPG Gas detector &amp; FAS integration testing of the following apartments. 3701,3702,3703,3704,3705,3706,3707,3708,3709.</t>
  </si>
  <si>
    <t>WIR-WAO-EL-3024</t>
  </si>
  <si>
    <t>#2724</t>
  </si>
  <si>
    <t>Inspection request for witnessing for functionality of video intercom. As per the attached Schematic drawing &amp; Test reports. Apartments 3701,3702,3703,3704,3705,3706,3707,3708,3709.</t>
  </si>
  <si>
    <t>WIR-WAO-EL-3027</t>
  </si>
  <si>
    <t>#2727</t>
  </si>
  <si>
    <t>Level 02</t>
  </si>
  <si>
    <t>Inspection request for witnessing for functionality of video intercom. As per the attached Schematic drawing &amp; Test reports. Apartments. 201,202,203,204,205,206,207,208,209,210,211,212.</t>
  </si>
  <si>
    <t>WIR-WAO-EL-3039</t>
  </si>
  <si>
    <t>#2784</t>
  </si>
  <si>
    <t>Level 05</t>
  </si>
  <si>
    <t>Witnessing of T&amp;C of Cat 6 Cables for Structured Cabling System as per the attached drawing and Test reports. (FLUKE TEST) Apartments. 501,502,506,507.</t>
  </si>
  <si>
    <t>wir</t>
  </si>
  <si>
    <t>id</t>
  </si>
  <si>
    <t>lev</t>
  </si>
  <si>
    <t>de</t>
  </si>
  <si>
    <t>li</t>
  </si>
  <si>
    <t>WIR-WAO-EL-3040</t>
  </si>
  <si>
    <t xml:space="preserve">#2799 </t>
  </si>
  <si>
    <t>Inspection request for witnessing for functionality of video intercom. As per the attached Schematic drawing &amp; Test reports. Apartments. 501,502,503,504,505,506,507,508,509,510,511,512.</t>
  </si>
  <si>
    <t>Jul 31, 2026 @ 18:22</t>
  </si>
  <si>
    <t>Jul 31, 2026 @ 18:27</t>
  </si>
  <si>
    <t>Aug 01, 2026 @ 08:55</t>
  </si>
  <si>
    <t>Jul 31, 2026 @ 18:28</t>
  </si>
  <si>
    <t>Jul 31, 2026 @ 18:23</t>
  </si>
  <si>
    <t>Jul 31, 2026 @ 19:03</t>
  </si>
  <si>
    <t>Aug 01, 2026 @ 08:56</t>
  </si>
  <si>
    <t>Aug 01, 2026 @ 08:42</t>
  </si>
  <si>
    <t>Jul 31, 2026 @ 18:24</t>
  </si>
  <si>
    <t>Aug 01, 2026 @ 08:50</t>
  </si>
  <si>
    <t>Aug 01, 2026 @ 08:51</t>
  </si>
  <si>
    <t>Jul 31, 2026 @ 18:25</t>
  </si>
  <si>
    <t>Aug 01, 2026 @ 08:57</t>
  </si>
  <si>
    <t>Aug 01, 2026 @ 08:52</t>
  </si>
  <si>
    <t>Jul 31, 2026 @ 18:26</t>
  </si>
  <si>
    <t>Aug 01, 2026 @ 08:53</t>
  </si>
  <si>
    <t>Aug 01, 2026 @ 08:58</t>
  </si>
  <si>
    <t>Aug 01, 2026 @ 09:44</t>
  </si>
  <si>
    <t>Aug 01, 2026 @ 08:54</t>
  </si>
  <si>
    <t>WIR-WAO-EL-3041</t>
  </si>
  <si>
    <t>#2813</t>
  </si>
  <si>
    <t>Inspection request for witnessing for functionality of video intercom. As per the attached Schematic drawing &amp; Test reports. Apartment. 3610.</t>
  </si>
  <si>
    <t>WIR-WAO-EL-3042</t>
  </si>
  <si>
    <t>#2814</t>
  </si>
  <si>
    <t>Inspection of LPG Gas detector &amp; FAS integration testing of the following apartments. 508,509,510,511,512.</t>
  </si>
  <si>
    <t>WIR-WAO-EL-3043</t>
  </si>
  <si>
    <t>#2815</t>
  </si>
  <si>
    <t>Level 01</t>
  </si>
  <si>
    <t xml:space="preserve">Inspection request for witnessing for functionality of video intercom. As per the attached Schematic drawing &amp; Test reports. Apartments 108,109,110,111,112.  </t>
  </si>
  <si>
    <t>WIR-WAO-EL-3045</t>
  </si>
  <si>
    <t>#2817</t>
  </si>
  <si>
    <t>Level 03</t>
  </si>
  <si>
    <t>Inspection request for witnessing for functionality of video intercom. As per the attached Schematic drawing &amp; Test reports. Apartments 301,302,303,304,305,306,307,308,309,310,311,312.</t>
  </si>
  <si>
    <t>Aug 01, 2026 @ 14:15</t>
  </si>
  <si>
    <t>Aug 01, 2026 @ 14:13</t>
  </si>
  <si>
    <t>Aug 01, 2026 @ 14:12</t>
  </si>
  <si>
    <t>Aug 01, 2026 @ 18:33</t>
  </si>
  <si>
    <t>Aug 01, 2026 @ 15:52</t>
  </si>
  <si>
    <t>Aug 01, 2026 @ 13:45</t>
  </si>
  <si>
    <t>Aug 01, 2026 @ 11:58</t>
  </si>
  <si>
    <t>Aug 01, 2026 @ 11:25</t>
  </si>
  <si>
    <t>Aug 01, 2026 @ 11:15</t>
  </si>
  <si>
    <t>Aug 01, 2026 @ 11:09</t>
  </si>
  <si>
    <t>Aug 01, 2026 @ 11:04</t>
  </si>
  <si>
    <t>LPG</t>
  </si>
  <si>
    <t xml:space="preserve">ONU </t>
  </si>
  <si>
    <t>BOOSTER</t>
  </si>
  <si>
    <t>SMOKE</t>
  </si>
  <si>
    <t>WIR-WAO-EL-3047</t>
  </si>
  <si>
    <t>#2834</t>
  </si>
  <si>
    <t>Witnessing of T&amp;C of Cat 6 Cables for Structured Cabling System as per the attached drawing and Test reports. (FLUKE TEST) Apartments. 503,504,505,508,509,510,511,512.</t>
  </si>
  <si>
    <t>WIR-WAO-EL-3044</t>
  </si>
  <si>
    <t>#2816</t>
  </si>
  <si>
    <t>Inspection of LPG Gas detector &amp; FAS integration testing of the following apartments. 108,109,110,111,112.</t>
  </si>
  <si>
    <t>WIR Ref. No.</t>
  </si>
  <si>
    <t># ID</t>
  </si>
  <si>
    <t>Level/  Apartment</t>
  </si>
  <si>
    <t>PlanGrid Link</t>
  </si>
  <si>
    <t>WIR-WAO-EL-3035</t>
  </si>
  <si>
    <t>#2762</t>
  </si>
  <si>
    <t>All Level</t>
  </si>
  <si>
    <t xml:space="preserve">Witnessing of Final Testing and Commission of Fire Alarm System as per the attached reports. </t>
  </si>
  <si>
    <t>WIR-WAO-EL-3014</t>
  </si>
  <si>
    <t>#2701</t>
  </si>
  <si>
    <t>Level 5</t>
  </si>
  <si>
    <t>Installation of Witnessing for the Testing &amp; commission for Access control system. TA &amp; TB GF to Level 5. As per the attached schematic drawing and checklist, Test report.</t>
  </si>
  <si>
    <t>WIR-WAO-EL-3016</t>
  </si>
  <si>
    <t>#2703</t>
  </si>
  <si>
    <t>Level 7</t>
  </si>
  <si>
    <t>Inspection request for witnessing for functionality of video intercom. As per the attached Schematic drawing &amp; Test reports. Apartment -705.</t>
  </si>
  <si>
    <t>WIR-WAO-EL-3002</t>
  </si>
  <si>
    <t>#2681</t>
  </si>
  <si>
    <t>Level 35</t>
  </si>
  <si>
    <t>Witnessing of T&amp;C of Cat 6 Cables for Structured Cabling System as per the attached drawing and Test reports. (FLUKE TEST) Apartments 3501,3502,3503,3504,3505,3506,3507,3508,3509.</t>
  </si>
  <si>
    <t>WIR-WAO-EL-3001</t>
  </si>
  <si>
    <t>#2680</t>
  </si>
  <si>
    <t>Level 29</t>
  </si>
  <si>
    <t>Witnessing of T&amp;C of Cat 6 Cables for Structured Cabling System as per the attached drawing and Test reports. (FLUKE TEST) Apartments. 2901,2902.</t>
  </si>
  <si>
    <t>WIR-WAO-EL-3003</t>
  </si>
  <si>
    <t>#2682</t>
  </si>
  <si>
    <t>Inspection request for witnessing for functionality of video intercom. As per the attached Schematic drawing &amp; Test reports. Apartments 3501,3502,3503,3504,3505,3506,3507,3508,3509.</t>
  </si>
  <si>
    <t>WIR-WAO-EL-2997</t>
  </si>
  <si>
    <t>#2648</t>
  </si>
  <si>
    <t>Level 34</t>
  </si>
  <si>
    <t>Witnessing of T&amp;C of Cat 6 Cables for Structured Cabling System as per the attached drawing and Test reports. (FLUKE TEST) Apartments 3401,3402,3403,3404,3405,3406,3407,3408,3409,3410.</t>
  </si>
  <si>
    <t>WIR-WAO-EL-2991</t>
  </si>
  <si>
    <t>#2632</t>
  </si>
  <si>
    <t>Inspection of LPG Gas detector &amp; FAS integration testing of the following apartments. 3401,3402,3403,3404,3405,3406,3407,3408,3409,3410.</t>
  </si>
  <si>
    <t>WIR-WAO-EL-2992</t>
  </si>
  <si>
    <t>#2633</t>
  </si>
  <si>
    <t>Inspection of LPG Gas detector &amp; FAS integration testing of the following apartments. 3501,3502,3503,3504,3505,3506,3507,3508,3509.</t>
  </si>
  <si>
    <t>WIR-WAO-EL-2993</t>
  </si>
  <si>
    <t>#2634</t>
  </si>
  <si>
    <t>Inspection of LPG Gas detector &amp; FAS integration testing of the following apartments. 3601,3602,3603,3604,3605,3606,3607,3608,3609,3610.</t>
  </si>
  <si>
    <t>WIR-WAO-EL-2994</t>
  </si>
  <si>
    <t>#2635</t>
  </si>
  <si>
    <t>Inspection request for witnessing for functionality of video intercom. As per the attached Schematic drawing &amp; Test reports. Apartments 3401,3402,3403,3404,3405,3406,3407,3408,3409,3410.</t>
  </si>
  <si>
    <t>WIR-WAO-EL-2985</t>
  </si>
  <si>
    <t>#2609</t>
  </si>
  <si>
    <t>Level 33</t>
  </si>
  <si>
    <t>Inspection request for witnessing for functionality of video intercom. As per the attached Schematic drawing &amp; Test reports. Apartments. 3301,3302,3303,3304,3305,3306,3307,3308,3309</t>
  </si>
  <si>
    <t>WIR-WAO-EL-2986</t>
  </si>
  <si>
    <t>#2610</t>
  </si>
  <si>
    <t>Level 04</t>
  </si>
  <si>
    <t>Inspection request for witnessing for functionality of video intercom. As per the attached Schematic drawing &amp; Test reports. Apartments 401,402,403,404,405,406,407,408,409,410,411,412.</t>
  </si>
  <si>
    <t>WIR-WAO-EL-2987</t>
  </si>
  <si>
    <t>#2611</t>
  </si>
  <si>
    <t>Inspection of LPG Gas detector &amp; FAS integration testing of the following apartments. 401,402,403,404,405,406,407,408,409,410,411,412.</t>
  </si>
  <si>
    <t>WIR-WAO-EL-2988</t>
  </si>
  <si>
    <t>#2612</t>
  </si>
  <si>
    <t>Inspection of LPG Gas detector &amp; FAS integration testing of the following apartments. 3301,3302,3303,3304,3305,3306,3307,3308,3309</t>
  </si>
  <si>
    <t>WIR-WAO-EL-2989</t>
  </si>
  <si>
    <t>#2613</t>
  </si>
  <si>
    <t>Witnessing of T&amp;C of Cat 6 Cables for Structured Cabling System as per the attached drawing and Test reports. (FLUKE TEST) Apartments. 401,402,403,404,405,406,407,408,409,410,411,412.</t>
  </si>
  <si>
    <t>WIR-WAO-EL-2990</t>
  </si>
  <si>
    <t>#2614</t>
  </si>
  <si>
    <t>Witnessing of T&amp;C of Cat 6 Cables for Structured Cabling System as per the attached drawing and Test reports. (FLUKE TEST) Apartments. 3301,3302,3303,3304,3305,3306,3307,3308,3309.</t>
  </si>
  <si>
    <t>WIR-WAO-EL-2983</t>
  </si>
  <si>
    <t>#2601</t>
  </si>
  <si>
    <t>Level 32</t>
  </si>
  <si>
    <t>Witnessing of T&amp;C of Cat 6 Cables for Structured Cabling System as per the attached drawing and Test reports. (FLUKE TEST) Apartments 3201,3202,3203,3204,3205,3206,3207,3208,3209,3210.</t>
  </si>
  <si>
    <t>WIR-WAO-EL-2984</t>
  </si>
  <si>
    <t>#2608</t>
  </si>
  <si>
    <t>Inspection request for witnessing for functionality of video intercom. As per the attached Schematic drawing &amp; Test reports. Apartments 3201,3202,3203,3204,3205,3206,3207,3208,3209,3209,3210.</t>
  </si>
  <si>
    <t>WIR-WAO-EL-2976</t>
  </si>
  <si>
    <t xml:space="preserve">#2587 </t>
  </si>
  <si>
    <t>Level 20</t>
  </si>
  <si>
    <t>Inspection request for witnessing for functionality of video intercom. As per the attached Schematic drawing &amp; Test reports. Apartments 2001,2002,2003,2005,2006,2007,2008,2009,2010.</t>
  </si>
  <si>
    <t>WIR-WAO-EL-2977</t>
  </si>
  <si>
    <t>#2588</t>
  </si>
  <si>
    <t>Level 31</t>
  </si>
  <si>
    <t>Inspection request for witnessing for functionality of video intercom. As per the attached Schematic drawing &amp; Test reports. Apartments 3101,3102,3103,3104,3105,3106,3107,3108,3109,3109.</t>
  </si>
  <si>
    <t>WIR-WAO-EL-2978</t>
  </si>
  <si>
    <t>#2589</t>
  </si>
  <si>
    <t>Witnessing of T&amp;C of Cat 6 Cables for Structured Cabling System as per the attached drawing and Test reports. (FLUKE TEST) Apartments 2001,2002,2003,2005,2006,2007,2008,2009.</t>
  </si>
  <si>
    <t>WIR-WAO-EL-2979</t>
  </si>
  <si>
    <t>#2590</t>
  </si>
  <si>
    <t>Witnessing of T&amp;C of Cat 6 Cables for Structured Cabling System as per the attached drawing and Test reports. (FLUKE TEST) Apartments 3101,3102,3103,3104,3105,3106,3107,3108,3109.</t>
  </si>
  <si>
    <t>WIR-WAO-EL-2960</t>
  </si>
  <si>
    <t>#2508</t>
  </si>
  <si>
    <t>Inspection of LPG Gas detector &amp; FAS integration testing of the following apartments.  2901,2902,2903,2904,2905,2906,2907,2908,2909.</t>
  </si>
  <si>
    <t>WIR-WAO-EL-2961</t>
  </si>
  <si>
    <t>#2509</t>
  </si>
  <si>
    <t>Level 30</t>
  </si>
  <si>
    <t>Inspection of LPG Gas detector &amp; FAS integration testing of the following apartments.  3001,3002,3003,3004,3005,3006,3007,3008,3009,3010.</t>
  </si>
  <si>
    <t>WIR-WAO-EL-2962</t>
  </si>
  <si>
    <t>#2510</t>
  </si>
  <si>
    <t>Inspection of LPG Gas detector &amp; FAS integration testing of the following apartments.  3101,3102,3103,3104,3105,3106,3107,3108,3109.</t>
  </si>
  <si>
    <t>WIR-WAO-EL-2963</t>
  </si>
  <si>
    <t>#2511</t>
  </si>
  <si>
    <t>Inspection of LPG Gas detector &amp; FAS integration testing of the following apartments.  3201,3202,3203,3204,3205,3206,3207,3208,3209,3210.</t>
  </si>
  <si>
    <t>WIR-WAO-EL-2964</t>
  </si>
  <si>
    <t>#2512</t>
  </si>
  <si>
    <t>Witnessing of T&amp;C of Cat 6 Cables for Structured Cabling System as per the attached drawing and Test reports. (FLUKE TEST) Apartments 2903,2904,2905,2906,2907,2908,2909.</t>
  </si>
  <si>
    <t>WIR-WAO-EL-2965</t>
  </si>
  <si>
    <t>#2513</t>
  </si>
  <si>
    <t>Inspection request for witnessing for functionality of video intercom. As per the attached Schematic drawing &amp; Test reports. Apartments 3001,3002,3003,3004,3005,3006,3007,3009,3009,3010.</t>
  </si>
  <si>
    <t>WIR-WAO-EL-2966</t>
  </si>
  <si>
    <t>#2514</t>
  </si>
  <si>
    <t>Inspection request for witnessing for functionality of video intercom. As per the attached Schematic drawing &amp; Test reports. Apartments 2901,2902,2903,2904,2905,2906,2907,2908,2909,2909.</t>
  </si>
  <si>
    <t>WIR-WAO-EL-2967</t>
  </si>
  <si>
    <t>#2516</t>
  </si>
  <si>
    <t>Witnessing of T&amp;C of Cat 6 Cables for Structured Cabling System as per the attached drawing and Test reports. (FLUKE TEST) Apartments 3001,3002,3003,3004,3005,3006,3007,3008,3009,3009,3010.</t>
  </si>
  <si>
    <t>WIR-WAO-EL-2957</t>
  </si>
  <si>
    <t>#2495</t>
  </si>
  <si>
    <t>Level 7,8,9,10</t>
  </si>
  <si>
    <t>Witnessing of T&amp;C of Cat 6 Cables for Structured Cabling System as per the attached drawing and Test reports. (FLUKE TEST) Apartment’s 705,706,805,905,1005</t>
  </si>
  <si>
    <t>WIR-WAO-EL-3048</t>
  </si>
  <si>
    <t>#2843</t>
  </si>
  <si>
    <t>Inspection of LPG Gas detector &amp; FAS integration testing of the following apartments. 301,302,303,304,305,306,307,308,309,310,311,312.</t>
  </si>
  <si>
    <t>WIR-WAO-EL-3049</t>
  </si>
  <si>
    <t>#2844</t>
  </si>
  <si>
    <t>Inspection of LPG Gas detector &amp; FAS integration testing of the following apartments. 201,202,203,204,205,206,207,208,209,210,211,212.</t>
  </si>
  <si>
    <t>STUTES</t>
  </si>
  <si>
    <t>IN PROCESS</t>
  </si>
  <si>
    <t>REJECT</t>
  </si>
  <si>
    <t>APROVED</t>
  </si>
  <si>
    <t>NOT APROVED</t>
  </si>
  <si>
    <t>Inspection of LPG Gas detector &amp; FAS integration testing of the following apartments. 508,509,510,511,512. TB</t>
  </si>
  <si>
    <t>Inspection of LPG Gas detector &amp; FAS integration testing of the following apartments. 108,109,110,111,112.TB</t>
  </si>
  <si>
    <t>Inspection of LPG Gas detector &amp; FAS integration testing of the following apartments. 301,302,303,304,305,306,307,308,309,310,311,312. TA &amp; TB</t>
  </si>
  <si>
    <t>Inspection of LPG Gas detector &amp; FAS integration testing of the following apartments. 201,202,203,204,205,206,207,208,209,210,211,212. TA &amp; TB</t>
  </si>
  <si>
    <t>WIR-WAO-EL-3051</t>
  </si>
  <si>
    <t>#2849</t>
  </si>
  <si>
    <t>Level 6</t>
  </si>
  <si>
    <t>Witnessing of T&amp;C of Cat 6 Cables for Structured Cabling System as per the attached drawing and Test reports. (FLUKE TEST) Apartments 605,607</t>
  </si>
  <si>
    <t>Site not ready for inspection</t>
  </si>
  <si>
    <t xml:space="preserve">CONSULTANT COMMENT </t>
  </si>
  <si>
    <t>REV - 01</t>
  </si>
  <si>
    <t>Aug 04, 2026 @ 16:19</t>
  </si>
  <si>
    <t>Aug 04, 2026 @ 14:03</t>
  </si>
  <si>
    <t>Aug 04, 2026 @ 16:18</t>
  </si>
  <si>
    <t>Aug 04, 2026 @ 16:17</t>
  </si>
  <si>
    <t>Aug 04, 2026 @ 16:16</t>
  </si>
  <si>
    <t>Aug 04, 2026 @ 16:15</t>
  </si>
  <si>
    <t>Aug 04, 2026 @ 16:14</t>
  </si>
  <si>
    <t>Aug 04, 2026 @ 14:05</t>
  </si>
  <si>
    <t>Aug 04, 2026 @ 14:04</t>
  </si>
  <si>
    <t>Aug 04, 2026 @ 16:13</t>
  </si>
  <si>
    <t>Aug 04, 2026 @ 12:45</t>
  </si>
  <si>
    <t>Aug 04, 2026 @ 17:04</t>
  </si>
  <si>
    <t>Aug 04, 2026 @ 16:12</t>
  </si>
  <si>
    <t>Aug 04, 2026 @ 09:53</t>
  </si>
  <si>
    <t>Aug 04, 2026 @ 16:11</t>
  </si>
  <si>
    <t>Aug 04, 2026 @ 17:43</t>
  </si>
  <si>
    <t>Aug 05, 2026 @ 08:37</t>
  </si>
  <si>
    <t>Aug 05, 2026 @ 08:38</t>
  </si>
  <si>
    <t>Aug 05, 2026 @ 08:43</t>
  </si>
  <si>
    <t>Aug 05, 2026 @ 08:39</t>
  </si>
  <si>
    <t>Aug 05, 2026 @ 08:44</t>
  </si>
  <si>
    <t>Aug 05, 2026 @ 08:40</t>
  </si>
  <si>
    <t>Aug 05, 2026 @ 08:41</t>
  </si>
  <si>
    <t>Aug 05, 2026 @ 13:58</t>
  </si>
  <si>
    <t>Aug 05, 2026 @ 13:59</t>
  </si>
  <si>
    <t>#63</t>
  </si>
  <si>
    <t>Level GF to 06</t>
  </si>
  <si>
    <t>Installation of Witnessing for the Testing &amp; commission for Access control system. TA &amp; TB GF to Level 6 As per the attached schematic drawing and checklist, Test report.</t>
  </si>
  <si>
    <t>WIR-WAO-EL-3064</t>
  </si>
  <si>
    <t>#2917</t>
  </si>
  <si>
    <t>Level 3</t>
  </si>
  <si>
    <t>Witnessing of T&amp;C of Cat 6 Cables for Structured Cabling System as per the attached drawing and Test reports. (FLUKE TEST) Apartments. 301,302,303,304,305,306,307,308,309,310,311,312.</t>
  </si>
  <si>
    <t>Installation of Witnessing for the Testing &amp; commission for INTERCOM. TA &amp; TB -ALL FLOORS As per the attached schematic drawing and checklist, Test report.</t>
  </si>
  <si>
    <t>Aug 07, 2026 @ 09:28</t>
  </si>
  <si>
    <t>Aug 07, 2026 @ 08:20</t>
  </si>
  <si>
    <t>Aug 06, 2026 @ 17:53</t>
  </si>
  <si>
    <t>Aug 07, 2026 @ 09:34</t>
  </si>
  <si>
    <t>Aug 07, 2026 @ 09:29</t>
  </si>
  <si>
    <t>Aug 07, 2026 @ 09:33</t>
  </si>
  <si>
    <t>Aug 07, 2026 @ 09:32</t>
  </si>
  <si>
    <t>Aug 07, 2026 @ 09:31</t>
  </si>
  <si>
    <t>Aug 07, 2026 @ 09:30</t>
  </si>
  <si>
    <t>Aug 07, 2026 @ 09:37</t>
  </si>
  <si>
    <t>#64</t>
  </si>
  <si>
    <t>WIR-WAO-EL-3065</t>
  </si>
  <si>
    <t>#65</t>
  </si>
  <si>
    <t>Aug 07, 2026 @ 13:14</t>
  </si>
  <si>
    <t>Aug 07, 2026 @ 17:11</t>
  </si>
  <si>
    <t>Aug 07, 2026 @ 16:58</t>
  </si>
  <si>
    <t>Aug 07, 2026 @ 16:53</t>
  </si>
  <si>
    <t>Aug 07, 2026 @ 13:12</t>
  </si>
  <si>
    <t>Aug 07, 2026 @ 13:11</t>
  </si>
  <si>
    <t>Aug 07, 2026 @ 13:10</t>
  </si>
  <si>
    <t>Aug 08, 2026 @ 08:45</t>
  </si>
  <si>
    <t>Aug 08, 2026 @ 08:46</t>
  </si>
  <si>
    <t>Aug 08, 2026 @ 08:47</t>
  </si>
  <si>
    <t>Aug 08, 2026 @ 08:49</t>
  </si>
  <si>
    <t>Aug 08, 2026 @ 08:50</t>
  </si>
  <si>
    <t>Aug 08, 2026 @ 08:51</t>
  </si>
  <si>
    <t>Aug 08, 2026 @ 08:52</t>
  </si>
  <si>
    <t>Aug 08, 2026 @ 08:54</t>
  </si>
  <si>
    <t>Aug 08, 2026 @ 08:55</t>
  </si>
  <si>
    <t>Aug 08, 2026 @ 08:56</t>
  </si>
  <si>
    <t>Aug 08, 2026 @ 08:57</t>
  </si>
  <si>
    <t>Aug 08, 2026 @ 08:59</t>
  </si>
  <si>
    <t>STAMP</t>
  </si>
  <si>
    <t>DOCUMENT</t>
  </si>
  <si>
    <t xml:space="preserve"> C2   LPG</t>
  </si>
  <si>
    <t>COMMENTS</t>
  </si>
  <si>
    <t>D2   ONU DATA</t>
  </si>
  <si>
    <t xml:space="preserve"> D4   INTERCOM</t>
  </si>
  <si>
    <t>D7 BOOSTER (GSM)</t>
  </si>
  <si>
    <t xml:space="preserve"> Q1  BOOSTER (GSM)</t>
  </si>
  <si>
    <t xml:space="preserve"> F2   FIRE ALARM</t>
  </si>
  <si>
    <t>F3  FIRE ALARM</t>
  </si>
  <si>
    <t>SHEET NAME</t>
  </si>
  <si>
    <t>(3FIN</t>
  </si>
  <si>
    <t xml:space="preserve"> Q3  BOOSTER (GSM)</t>
  </si>
  <si>
    <t>Manuel Rebera : GSM- Antenna and cable installation completed. Completed GSM cable pulling as per the Du design drawing and T&amp;C will be done as a system completely one time in coordination with GSM service provider Du.</t>
  </si>
  <si>
    <t> LPG functionality kitchen detector and solenoid valve functionality test completed with fire alarm integration. Approved WIR and photos attached for</t>
  </si>
  <si>
    <t>Fluke Test for Cat 6 cable work is completed, approved WIR copy attached for reference.</t>
  </si>
  <si>
    <t> Intercom T&amp;C Completed, WIR attached for reference.</t>
  </si>
  <si>
    <t>Manuel Rebera :  Antenna installation competed. Activation will be done by DU RFS Team after the BCC handing over.</t>
  </si>
  <si>
    <t xml:space="preserve"> FAS loop test was completed and approved WIR has been attached for reference.</t>
  </si>
  <si>
    <t xml:space="preserve">STAMP INFORMATION FOR ELV </t>
  </si>
  <si>
    <t>NOTE : Please ignore the previous comment.</t>
  </si>
  <si>
    <t>Cable pulling WIR</t>
  </si>
  <si>
    <t>Checklist</t>
  </si>
  <si>
    <t>Schematic</t>
  </si>
  <si>
    <t>Device photos</t>
  </si>
  <si>
    <t xml:space="preserve">PANEL  photos </t>
  </si>
  <si>
    <t>ATTACHMENT</t>
  </si>
  <si>
    <t>Device Certificate</t>
  </si>
  <si>
    <t>SHOP DRAWING</t>
  </si>
  <si>
    <t>Telecom SCHEMATIC</t>
  </si>
  <si>
    <t>Intercom Schematic</t>
  </si>
  <si>
    <t>Intercom IP Details</t>
  </si>
  <si>
    <t>DATA SHEET REPORT</t>
  </si>
  <si>
    <t xml:space="preserve">T&amp;C - WIR  INFORMATIONS </t>
  </si>
  <si>
    <t xml:space="preserve">STAMP &amp; Description </t>
  </si>
  <si>
    <t xml:space="preserve"> (D4   INTERCOM ) - Witnessing of T&amp;C of Cat 6 Cables for Structured Cabling System as per the attached drawing and Test reports.  (FLUKE TEST) Apartments. 201,202,203,204,205,206,207,208,209</t>
  </si>
  <si>
    <t>( F2   FIRE ALARM) - Inspection request for the witnessing of Fire Alarm loop test (FACP-01)- Loop 1, Loop 2, Loop 3, Loop 4, Level 8 to Level 14 as per attached drawing.</t>
  </si>
  <si>
    <t>(D2   ONU DATA)-Inspection request for Witnessing of T&amp;C of Cat 6 Cables for Structured Cabling System as per the attached drawing and Test reports. (FLUKE TEST) Apartments 1401,1402,1403,1404,.</t>
  </si>
  <si>
    <t>( C2   LPG) - Inspection of LPG Gas detector &amp; FAS integration testing of the following apartments. 108,109,110,111,112.</t>
  </si>
  <si>
    <t xml:space="preserve">ACS </t>
  </si>
  <si>
    <t>CBS</t>
  </si>
  <si>
    <t>FIRE ALARM</t>
  </si>
  <si>
    <t>BGM</t>
  </si>
  <si>
    <t>FINAL ELV -INSPECTION WIR DOCUMENTS AND STAMPS</t>
  </si>
  <si>
    <t xml:space="preserve">CCTV </t>
  </si>
  <si>
    <t>LCP PROGRAMING</t>
  </si>
  <si>
    <t>Aug 09, 2026 @ 17:12</t>
  </si>
  <si>
    <t>Aug 08, 2026 @ 17:02</t>
  </si>
  <si>
    <t>Aug 09, 2026 @ 17:13</t>
  </si>
  <si>
    <t>Aug 08, 2026 @ 18:08</t>
  </si>
  <si>
    <t>SYSTEM</t>
  </si>
  <si>
    <t xml:space="preserve">Description </t>
  </si>
  <si>
    <t>PHOTOS, SCHEMATIC- DRAWING,CHECKLIST , METHOD OF STATEMENTS, SUBMITTALS,SHOP DRAWING WITH LEVEL , IP ADDRESS EXCEL SHEETS,</t>
  </si>
  <si>
    <t>(6T&amp;C  - Specialist  system</t>
  </si>
  <si>
    <t xml:space="preserve">CBS </t>
  </si>
  <si>
    <t>ACS</t>
  </si>
  <si>
    <t>(6T&amp;C - COMMON AREA</t>
  </si>
  <si>
    <t>(6T&amp;C - UNIT AREA</t>
  </si>
  <si>
    <t>J3  BOOSTER (GSM)</t>
  </si>
  <si>
    <t>K2  FIRE ALARM</t>
  </si>
  <si>
    <t>K3  FIRE ALARM</t>
  </si>
  <si>
    <t>Aug 10, 2026 @ 08:36</t>
  </si>
  <si>
    <t>Aug 10, 2026 @ 08:37</t>
  </si>
  <si>
    <t>Aug 10, 2026 @ 10:21</t>
  </si>
  <si>
    <t>Aug 10, 2026 @ 10:16</t>
  </si>
  <si>
    <t>EMP NO</t>
  </si>
  <si>
    <t>NAME</t>
  </si>
  <si>
    <t>D.O.J</t>
  </si>
  <si>
    <t>TRADE</t>
  </si>
  <si>
    <t>C31241</t>
  </si>
  <si>
    <t>Harikesh Yadav Ramdayal Yadav</t>
  </si>
  <si>
    <t>Electrician</t>
  </si>
  <si>
    <t>C31233</t>
  </si>
  <si>
    <t>Santosh Kumar Baliram</t>
  </si>
  <si>
    <t>C32063</t>
  </si>
  <si>
    <t>Nijamuddin Zamil Khan</t>
  </si>
  <si>
    <t>C31847</t>
  </si>
  <si>
    <t>MD Tavish MD Afjal</t>
  </si>
  <si>
    <t>C60216</t>
  </si>
  <si>
    <t>Sudhakar Rajbhar Uday Raj Rajbhar</t>
  </si>
  <si>
    <t>C26806</t>
  </si>
  <si>
    <t>Electrician- CH</t>
  </si>
  <si>
    <t>TR</t>
  </si>
  <si>
    <t>AL Quoz</t>
  </si>
  <si>
    <t>JEBAL ALI -01</t>
  </si>
  <si>
    <t>DIP -01</t>
  </si>
  <si>
    <t>JEBAL ALI -03</t>
  </si>
  <si>
    <t xml:space="preserve">ELV MANPOWER LIST </t>
  </si>
  <si>
    <t>Diwakar Verma</t>
  </si>
  <si>
    <t>S.N.</t>
  </si>
  <si>
    <t>C21801</t>
  </si>
  <si>
    <t>Md Arif Md Ali</t>
  </si>
  <si>
    <t>Al Ruwayyah</t>
  </si>
  <si>
    <t>remark</t>
  </si>
  <si>
    <t>Fire Alarm Trouble Shooting</t>
  </si>
  <si>
    <t>CBS Trouble Shooting</t>
  </si>
  <si>
    <t>KeepOut Apt &amp; Corridor</t>
  </si>
  <si>
    <t>Plangrid &amp; site work</t>
  </si>
  <si>
    <t>Aug 11, 2026 @ 19:27</t>
  </si>
  <si>
    <t>Aug 10, 2026 @ 17:47</t>
  </si>
  <si>
    <t>Aug 12, 2026 @ 09:07</t>
  </si>
  <si>
    <t>Aug 10, 2026 @ 17:49</t>
  </si>
  <si>
    <t>Aug 12, 2026 @ 09:08</t>
  </si>
  <si>
    <t>Aug 11, 2026 @ 16:57</t>
  </si>
  <si>
    <t>Aug 11, 2026 @ 16:48</t>
  </si>
  <si>
    <t>Aug 12, 2026 @ 09:09</t>
  </si>
  <si>
    <t>Aug 11, 2026 @ 17:50</t>
  </si>
  <si>
    <t>Aug 12, 2026 @ 09:12</t>
  </si>
  <si>
    <t xml:space="preserve">Inspection request for Witnessing of Central battery system as per attached shop drawings and Lux report. </t>
  </si>
  <si>
    <t xml:space="preserve">PHOTOS, SCHEMATIC- DRAWING,CHECKLIST , METHOD OF STATEMENTS, SUBMITTALS,SHOP DRAWING WITH LEVEL , LUX EXCEL SHEETS REPORT, </t>
  </si>
  <si>
    <t>CONSULTANT COMMENTS</t>
  </si>
  <si>
    <t>REPLY TO COMMENTS</t>
  </si>
  <si>
    <t>#64#95</t>
  </si>
  <si>
    <t>#65#96</t>
  </si>
  <si>
    <t>#75#97</t>
  </si>
  <si>
    <t xml:space="preserve">WIR-WAO-EL-3082 </t>
  </si>
  <si>
    <t>Completed.</t>
  </si>
  <si>
    <t>Noted</t>
  </si>
  <si>
    <t>Atteched</t>
  </si>
  <si>
    <t>Done</t>
  </si>
  <si>
    <t>Aug 13, 2026 @ 08:23</t>
  </si>
  <si>
    <t>Aug 12, 2026 @ 18:11</t>
  </si>
  <si>
    <t>Aug 12, 2026 @ 18:09</t>
  </si>
  <si>
    <t>Aug 13, 2026 @ 08:24</t>
  </si>
  <si>
    <t>MIR-WAO-EL-112</t>
  </si>
  <si>
    <t>#13582</t>
  </si>
  <si>
    <t>Material inspection request for ANPR System-4 Camera Server &amp; CCTV &amp; BTB Surveillance HDD as per attached DO No. BTS-DL-351,352.</t>
  </si>
  <si>
    <t>N/A</t>
  </si>
  <si>
    <t>WIR-WAO-EL-3094</t>
  </si>
  <si>
    <t>#2982</t>
  </si>
  <si>
    <t>Level 8,10,14,16</t>
  </si>
  <si>
    <t xml:space="preserve">Witnessing of T&amp;C of Cat 6 Cables for Structured Cabling System as per the attached drawing and Test reports. (FLUKE TEST) Apartments. 809,1009,1409,1609. </t>
  </si>
  <si>
    <t xml:space="preserve">WIR-WAO-EL-3035 Rev 01 </t>
  </si>
  <si>
    <t>#2762#99</t>
  </si>
  <si>
    <t xml:space="preserve">WIR-WAO-EL-3014 Rev 02 </t>
  </si>
  <si>
    <t>#64#95#102</t>
  </si>
  <si>
    <t>WIR-WAO-EL-3096</t>
  </si>
  <si>
    <t>#105</t>
  </si>
  <si>
    <t>All Levels</t>
  </si>
  <si>
    <t xml:space="preserve">Inspection request for Witnessing of T&amp;C of Lighting and Control system as per shop drawings.  </t>
  </si>
  <si>
    <t>Functionality of doors shall be rechecked (Refer video)</t>
  </si>
  <si>
    <t>Shall be coordinated with civil for door closure as some doors not closing</t>
  </si>
  <si>
    <t>Amenity areas lock termination shall be done properly</t>
  </si>
  <si>
    <t xml:space="preserve">As agreed earlier, outdoor IP rated device not installed </t>
  </si>
  <si>
    <t>Done.</t>
  </si>
  <si>
    <t>Noted.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</si>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</sst>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/mm/yyyy;@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Tahoma"/>
      <family val="2"/>
    </font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Tahoma"/>
      <family val="2"/>
    </font>
    <font>
      <sz val="10.5"/>
      <color rgb="FF000000"/>
      <name val="Tahoma"/>
      <family val="2"/>
    </font>
    <font>
      <u/>
      <sz val="11"/>
      <color theme="1"/>
      <name val="Aptos Narrow"/>
      <family val="2"/>
      <scheme val="minor"/>
    </font>
    <font>
      <b/>
      <sz val="12"/>
      <color theme="1"/>
      <name val="Tahoma"/>
      <family val="2"/>
    </font>
    <font>
      <b/>
      <sz val="10.5"/>
      <color theme="1"/>
      <name val="Tahoma"/>
      <family val="2"/>
    </font>
    <font>
      <sz val="11"/>
      <color rgb="FF000000"/>
      <name val="Segoe UI"/>
      <family val="2"/>
    </font>
    <font>
      <b/>
      <sz val="9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.5"/>
      <name val="Tahoma"/>
      <family val="2"/>
    </font>
    <font>
      <sz val="12"/>
      <name val="Tahoma"/>
      <family val="2"/>
    </font>
    <font>
      <b/>
      <sz val="18"/>
      <name val="Tahoma"/>
      <family val="2"/>
    </font>
    <font>
      <sz val="12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9" fontId="4" fillId="4" borderId="1" xfId="1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3" borderId="1" xfId="2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9" fillId="0" borderId="5" xfId="3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0" borderId="8" xfId="0" applyBorder="1"/>
    <xf numFmtId="0" fontId="11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3" fillId="7" borderId="5" xfId="3" applyFont="1" applyFill="1" applyBorder="1" applyAlignment="1">
      <alignment horizontal="center" vertical="center"/>
    </xf>
    <xf numFmtId="0" fontId="13" fillId="7" borderId="7" xfId="3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8" xfId="0" applyFill="1" applyBorder="1"/>
    <xf numFmtId="0" fontId="0" fillId="0" borderId="8" xfId="0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0" fillId="0" borderId="1" xfId="0" applyBorder="1"/>
    <xf numFmtId="0" fontId="9" fillId="0" borderId="1" xfId="3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1" fontId="8" fillId="9" borderId="1" xfId="0" applyNumberFormat="1" applyFont="1" applyFill="1" applyBorder="1" applyAlignment="1">
      <alignment horizontal="center" vertical="center"/>
    </xf>
    <xf numFmtId="0" fontId="9" fillId="0" borderId="7" xfId="3" applyBorder="1" applyAlignment="1">
      <alignment horizontal="center" vertical="center"/>
    </xf>
    <xf numFmtId="0" fontId="12" fillId="18" borderId="1" xfId="0" applyFont="1" applyFill="1" applyBorder="1" applyAlignment="1">
      <alignment vertical="center" wrapText="1"/>
    </xf>
    <xf numFmtId="0" fontId="12" fillId="18" borderId="5" xfId="0" applyFont="1" applyFill="1" applyBorder="1" applyAlignment="1">
      <alignment vertical="center" wrapText="1"/>
    </xf>
    <xf numFmtId="1" fontId="0" fillId="0" borderId="0" xfId="0" applyNumberFormat="1"/>
    <xf numFmtId="0" fontId="0" fillId="18" borderId="8" xfId="0" applyFill="1" applyBorder="1"/>
    <xf numFmtId="1" fontId="0" fillId="0" borderId="0" xfId="0" applyNumberForma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0" borderId="9" xfId="0" applyBorder="1" applyAlignment="1">
      <alignment horizontal="center" wrapText="1"/>
    </xf>
    <xf numFmtId="0" fontId="4" fillId="16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 applyProtection="1">
      <alignment horizontal="center" vertical="center"/>
      <protection locked="0"/>
    </xf>
    <xf numFmtId="0" fontId="21" fillId="18" borderId="1" xfId="0" applyFont="1" applyFill="1" applyBorder="1" applyAlignment="1">
      <alignment horizontal="center" vertical="center"/>
    </xf>
    <xf numFmtId="0" fontId="21" fillId="18" borderId="1" xfId="0" applyFont="1" applyFill="1" applyBorder="1" applyAlignment="1">
      <alignment horizontal="left" vertical="center"/>
    </xf>
    <xf numFmtId="165" fontId="21" fillId="18" borderId="1" xfId="0" applyNumberFormat="1" applyFont="1" applyFill="1" applyBorder="1" applyAlignment="1">
      <alignment horizontal="center" vertical="center"/>
    </xf>
    <xf numFmtId="2" fontId="21" fillId="1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 vertical="center" textRotation="255"/>
    </xf>
    <xf numFmtId="0" fontId="1" fillId="4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16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 applyProtection="1">
      <alignment horizontal="center" vertical="center"/>
      <protection locked="0"/>
    </xf>
  </cellXfs>
  <cellStyles count="4">
    <cellStyle name="Hyperlink" xfId="3" builtinId="8"/>
    <cellStyle name="Normal" xfId="0" builtinId="0"/>
    <cellStyle name="Normal 5" xfId="2" xr:uid="{5949F19C-598A-4CB5-82D4-4B7646F8CC3C}"/>
    <cellStyle name="Percent" xfId="1" builtinId="5"/>
  </cellStyles>
  <dxfs count="2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gradientFill type="path" left="0.5" right="0.5" top="0.5" bottom="0.5">
          <stop position="0">
            <color theme="1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ont>
        <b/>
        <i val="0"/>
        <color auto="1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6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1"/>
          </stop>
          <stop position="1">
            <color rgb="FFFF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gradientFill type="path" left="0.5" right="0.5" top="0.5" bottom="0.5">
          <stop position="0">
            <color theme="1"/>
          </stop>
          <stop position="1">
            <color rgb="FFFF0000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1"/>
          </stop>
          <stop position="1">
            <color rgb="FFFF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6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/>
        <i val="0"/>
        <color auto="1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theme="0"/>
      </font>
      <fill>
        <gradientFill type="path" left="0.5" right="0.5" top="0.5" bottom="0.5">
          <stop position="0">
            <color theme="0"/>
          </stop>
          <stop position="1">
            <color theme="6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gradientFill type="path" left="0.5" right="0.5" top="0.5" bottom="0.5">
          <stop position="0">
            <color theme="1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ont>
        <b/>
        <i val="0"/>
        <color auto="1"/>
      </font>
      <fill>
        <gradientFill type="path" left="0.5" right="0.5" top="0.5" bottom="0.5">
          <stop position="0">
            <color theme="0"/>
          </stop>
          <stop position="1">
            <color rgb="FF00B05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0"/>
          </stop>
          <stop position="1">
            <color theme="6"/>
          </stop>
        </gradientFill>
      </fill>
    </dxf>
    <dxf>
      <font>
        <b/>
        <i val="0"/>
      </font>
      <fill>
        <gradientFill type="path" left="0.5" right="0.5" top="0.5" bottom="0.5">
          <stop position="0">
            <color theme="1"/>
          </stop>
          <stop position="1">
            <color rgb="FFFF000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ill>
        <gradientFill type="path" left="0.5" right="0.5" top="0.5" bottom="0.5">
          <stop position="0">
            <color rgb="FF00B0F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numFmt numFmtId="0" formatCode="General"/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92808</xdr:colOff>
      <xdr:row>2</xdr:row>
      <xdr:rowOff>24423</xdr:rowOff>
    </xdr:from>
    <xdr:to>
      <xdr:col>2</xdr:col>
      <xdr:colOff>521303</xdr:colOff>
      <xdr:row>2</xdr:row>
      <xdr:rowOff>448407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505C21E-FC94-0015-1310-B2D3B2BC92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062" t="11514" r="13396" b="31516"/>
        <a:stretch>
          <a:fillRect/>
        </a:stretch>
      </xdr:blipFill>
      <xdr:spPr>
        <a:xfrm>
          <a:off x="2828193" y="913423"/>
          <a:ext cx="428495" cy="423984"/>
        </a:xfrm>
        <a:prstGeom prst="rect">
          <a:avLst/>
        </a:prstGeom>
      </xdr:spPr>
    </xdr:pic>
    <xdr:clientData/>
  </xdr:twoCellAnchor>
  <xdr:twoCellAnchor editAs="oneCell">
    <xdr:from>
      <xdr:col>2</xdr:col>
      <xdr:colOff>120161</xdr:colOff>
      <xdr:row>3</xdr:row>
      <xdr:rowOff>60255</xdr:rowOff>
    </xdr:from>
    <xdr:to>
      <xdr:col>2</xdr:col>
      <xdr:colOff>507999</xdr:colOff>
      <xdr:row>3</xdr:row>
      <xdr:rowOff>444010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6B6ED45-9329-404D-8D13-AA1279DB6D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062" t="11514" r="13396" b="31516"/>
        <a:stretch>
          <a:fillRect/>
        </a:stretch>
      </xdr:blipFill>
      <xdr:spPr>
        <a:xfrm>
          <a:off x="2855546" y="1418178"/>
          <a:ext cx="387838" cy="383755"/>
        </a:xfrm>
        <a:prstGeom prst="rect">
          <a:avLst/>
        </a:prstGeom>
      </xdr:spPr>
    </xdr:pic>
    <xdr:clientData/>
  </xdr:twoCellAnchor>
  <xdr:twoCellAnchor>
    <xdr:from>
      <xdr:col>2</xdr:col>
      <xdr:colOff>1638624</xdr:colOff>
      <xdr:row>4</xdr:row>
      <xdr:rowOff>104937</xdr:rowOff>
    </xdr:from>
    <xdr:to>
      <xdr:col>2</xdr:col>
      <xdr:colOff>2028772</xdr:colOff>
      <xdr:row>4</xdr:row>
      <xdr:rowOff>406293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AE5323-7D31-BCEC-56F1-3D44A10F58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659" t="39705" r="23417" b="36218"/>
        <a:stretch>
          <a:fillRect/>
        </a:stretch>
      </xdr:blipFill>
      <xdr:spPr>
        <a:xfrm>
          <a:off x="4375043" y="2475424"/>
          <a:ext cx="390148" cy="301356"/>
        </a:xfrm>
        <a:prstGeom prst="rect">
          <a:avLst/>
        </a:prstGeom>
      </xdr:spPr>
    </xdr:pic>
    <xdr:clientData/>
  </xdr:twoCellAnchor>
  <xdr:twoCellAnchor>
    <xdr:from>
      <xdr:col>2</xdr:col>
      <xdr:colOff>71148</xdr:colOff>
      <xdr:row>4</xdr:row>
      <xdr:rowOff>30967</xdr:rowOff>
    </xdr:from>
    <xdr:to>
      <xdr:col>2</xdr:col>
      <xdr:colOff>1023775</xdr:colOff>
      <xdr:row>4</xdr:row>
      <xdr:rowOff>460435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33FF37-D9A1-DFE9-9494-4EB050F3F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536" y="2389538"/>
          <a:ext cx="952627" cy="429468"/>
        </a:xfrm>
        <a:prstGeom prst="rect">
          <a:avLst/>
        </a:prstGeom>
      </xdr:spPr>
    </xdr:pic>
    <xdr:clientData/>
  </xdr:twoCellAnchor>
  <xdr:twoCellAnchor>
    <xdr:from>
      <xdr:col>2</xdr:col>
      <xdr:colOff>1120459</xdr:colOff>
      <xdr:row>4</xdr:row>
      <xdr:rowOff>52129</xdr:rowOff>
    </xdr:from>
    <xdr:to>
      <xdr:col>2</xdr:col>
      <xdr:colOff>1425510</xdr:colOff>
      <xdr:row>4</xdr:row>
      <xdr:rowOff>482164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B4E16A-3E48-E480-9BE2-32FC8C576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847" y="2410700"/>
          <a:ext cx="305051" cy="430035"/>
        </a:xfrm>
        <a:prstGeom prst="rect">
          <a:avLst/>
        </a:prstGeom>
      </xdr:spPr>
    </xdr:pic>
    <xdr:clientData/>
  </xdr:twoCellAnchor>
  <xdr:twoCellAnchor editAs="oneCell">
    <xdr:from>
      <xdr:col>2</xdr:col>
      <xdr:colOff>66842</xdr:colOff>
      <xdr:row>5</xdr:row>
      <xdr:rowOff>22166</xdr:rowOff>
    </xdr:from>
    <xdr:to>
      <xdr:col>2</xdr:col>
      <xdr:colOff>456754</xdr:colOff>
      <xdr:row>5</xdr:row>
      <xdr:rowOff>490176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E74A19F-65AB-4B28-EAE2-68927FB69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802227" y="2913858"/>
          <a:ext cx="389912" cy="468010"/>
        </a:xfrm>
        <a:prstGeom prst="rect">
          <a:avLst/>
        </a:prstGeom>
      </xdr:spPr>
    </xdr:pic>
    <xdr:clientData/>
  </xdr:twoCellAnchor>
  <xdr:twoCellAnchor editAs="oneCell">
    <xdr:from>
      <xdr:col>2</xdr:col>
      <xdr:colOff>567462</xdr:colOff>
      <xdr:row>5</xdr:row>
      <xdr:rowOff>43655</xdr:rowOff>
    </xdr:from>
    <xdr:to>
      <xdr:col>2</xdr:col>
      <xdr:colOff>905054</xdr:colOff>
      <xdr:row>5</xdr:row>
      <xdr:rowOff>489130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D5E8810-1791-AD2A-F55E-DE04B41CD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 flipV="1">
          <a:off x="3251958" y="2986847"/>
          <a:ext cx="445475" cy="337592"/>
        </a:xfrm>
        <a:prstGeom prst="rect">
          <a:avLst/>
        </a:prstGeom>
      </xdr:spPr>
    </xdr:pic>
    <xdr:clientData/>
  </xdr:twoCellAnchor>
  <xdr:twoCellAnchor editAs="oneCell">
    <xdr:from>
      <xdr:col>2</xdr:col>
      <xdr:colOff>73270</xdr:colOff>
      <xdr:row>6</xdr:row>
      <xdr:rowOff>31222</xdr:rowOff>
    </xdr:from>
    <xdr:to>
      <xdr:col>2</xdr:col>
      <xdr:colOff>424961</xdr:colOff>
      <xdr:row>6</xdr:row>
      <xdr:rowOff>453355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0389E57-9A36-41F8-8108-327139837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808655" y="2913145"/>
          <a:ext cx="351691" cy="422133"/>
        </a:xfrm>
        <a:prstGeom prst="rect">
          <a:avLst/>
        </a:prstGeom>
      </xdr:spPr>
    </xdr:pic>
    <xdr:clientData/>
  </xdr:twoCellAnchor>
  <xdr:twoCellAnchor editAs="oneCell">
    <xdr:from>
      <xdr:col>2</xdr:col>
      <xdr:colOff>630115</xdr:colOff>
      <xdr:row>6</xdr:row>
      <xdr:rowOff>63499</xdr:rowOff>
    </xdr:from>
    <xdr:to>
      <xdr:col>2</xdr:col>
      <xdr:colOff>1202699</xdr:colOff>
      <xdr:row>6</xdr:row>
      <xdr:rowOff>420076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8DC5828-C6A7-4572-D7DC-116FDE6F9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3365500" y="3477845"/>
          <a:ext cx="572584" cy="356577"/>
        </a:xfrm>
        <a:prstGeom prst="rect">
          <a:avLst/>
        </a:prstGeom>
      </xdr:spPr>
    </xdr:pic>
    <xdr:clientData/>
  </xdr:twoCellAnchor>
  <xdr:twoCellAnchor editAs="oneCell">
    <xdr:from>
      <xdr:col>2</xdr:col>
      <xdr:colOff>97204</xdr:colOff>
      <xdr:row>7</xdr:row>
      <xdr:rowOff>48845</xdr:rowOff>
    </xdr:from>
    <xdr:to>
      <xdr:col>2</xdr:col>
      <xdr:colOff>555812</xdr:colOff>
      <xdr:row>7</xdr:row>
      <xdr:rowOff>502626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71FE25D-90F7-480E-8FAC-A2FAF71913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062" t="11514" r="13396" b="31516"/>
        <a:stretch>
          <a:fillRect/>
        </a:stretch>
      </xdr:blipFill>
      <xdr:spPr>
        <a:xfrm>
          <a:off x="2832589" y="3985845"/>
          <a:ext cx="458608" cy="453781"/>
        </a:xfrm>
        <a:prstGeom prst="rect">
          <a:avLst/>
        </a:prstGeom>
      </xdr:spPr>
    </xdr:pic>
    <xdr:clientData/>
  </xdr:twoCellAnchor>
  <xdr:twoCellAnchor editAs="oneCell">
    <xdr:from>
      <xdr:col>2</xdr:col>
      <xdr:colOff>118208</xdr:colOff>
      <xdr:row>8</xdr:row>
      <xdr:rowOff>51737</xdr:rowOff>
    </xdr:from>
    <xdr:to>
      <xdr:col>2</xdr:col>
      <xdr:colOff>469899</xdr:colOff>
      <xdr:row>8</xdr:row>
      <xdr:rowOff>473870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632E5D-C240-48F4-A32A-178B207F8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853593" y="3925237"/>
          <a:ext cx="351691" cy="422133"/>
        </a:xfrm>
        <a:prstGeom prst="rect">
          <a:avLst/>
        </a:prstGeom>
      </xdr:spPr>
    </xdr:pic>
    <xdr:clientData/>
  </xdr:twoCellAnchor>
  <xdr:twoCellAnchor editAs="oneCell">
    <xdr:from>
      <xdr:col>2</xdr:col>
      <xdr:colOff>124069</xdr:colOff>
      <xdr:row>9</xdr:row>
      <xdr:rowOff>52714</xdr:rowOff>
    </xdr:from>
    <xdr:to>
      <xdr:col>2</xdr:col>
      <xdr:colOff>475760</xdr:colOff>
      <xdr:row>9</xdr:row>
      <xdr:rowOff>474847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6DDE828-103C-41DB-9F74-CE6B0D79F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2859454" y="4448868"/>
          <a:ext cx="351691" cy="422133"/>
        </a:xfrm>
        <a:prstGeom prst="rect">
          <a:avLst/>
        </a:prstGeom>
      </xdr:spPr>
    </xdr:pic>
    <xdr:clientData/>
  </xdr:twoCellAnchor>
  <xdr:twoCellAnchor editAs="oneCell">
    <xdr:from>
      <xdr:col>2</xdr:col>
      <xdr:colOff>608029</xdr:colOff>
      <xdr:row>8</xdr:row>
      <xdr:rowOff>67237</xdr:rowOff>
    </xdr:from>
    <xdr:to>
      <xdr:col>2</xdr:col>
      <xdr:colOff>912216</xdr:colOff>
      <xdr:row>8</xdr:row>
      <xdr:rowOff>470370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C153AEF-D736-2202-170F-EDA71E8FB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936" y="3939953"/>
          <a:ext cx="304187" cy="403133"/>
        </a:xfrm>
        <a:prstGeom prst="rect">
          <a:avLst/>
        </a:prstGeom>
      </xdr:spPr>
    </xdr:pic>
    <xdr:clientData/>
  </xdr:twoCellAnchor>
  <xdr:twoCellAnchor editAs="oneCell">
    <xdr:from>
      <xdr:col>2</xdr:col>
      <xdr:colOff>59756</xdr:colOff>
      <xdr:row>11</xdr:row>
      <xdr:rowOff>48846</xdr:rowOff>
    </xdr:from>
    <xdr:to>
      <xdr:col>2</xdr:col>
      <xdr:colOff>518364</xdr:colOff>
      <xdr:row>11</xdr:row>
      <xdr:rowOff>502627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32BC2-1E34-48E8-8FB4-F50BFB417C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062" t="11514" r="13396" b="31516"/>
        <a:stretch>
          <a:fillRect/>
        </a:stretch>
      </xdr:blipFill>
      <xdr:spPr>
        <a:xfrm>
          <a:off x="4187256" y="5583929"/>
          <a:ext cx="458608" cy="453781"/>
        </a:xfrm>
        <a:prstGeom prst="rect">
          <a:avLst/>
        </a:prstGeom>
      </xdr:spPr>
    </xdr:pic>
    <xdr:clientData/>
  </xdr:twoCellAnchor>
  <xdr:twoCellAnchor editAs="oneCell">
    <xdr:from>
      <xdr:col>2</xdr:col>
      <xdr:colOff>70176</xdr:colOff>
      <xdr:row>12</xdr:row>
      <xdr:rowOff>51737</xdr:rowOff>
    </xdr:from>
    <xdr:to>
      <xdr:col>2</xdr:col>
      <xdr:colOff>421867</xdr:colOff>
      <xdr:row>12</xdr:row>
      <xdr:rowOff>473870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317F29-5F96-48A4-872F-689E02387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197676" y="6105404"/>
          <a:ext cx="351691" cy="422133"/>
        </a:xfrm>
        <a:prstGeom prst="rect">
          <a:avLst/>
        </a:prstGeom>
      </xdr:spPr>
    </xdr:pic>
    <xdr:clientData/>
  </xdr:twoCellAnchor>
  <xdr:twoCellAnchor editAs="oneCell">
    <xdr:from>
      <xdr:col>2</xdr:col>
      <xdr:colOff>84993</xdr:colOff>
      <xdr:row>13</xdr:row>
      <xdr:rowOff>77137</xdr:rowOff>
    </xdr:from>
    <xdr:to>
      <xdr:col>2</xdr:col>
      <xdr:colOff>436684</xdr:colOff>
      <xdr:row>13</xdr:row>
      <xdr:rowOff>499270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85BC5EA-F218-4DA1-AFAD-5374A221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H="1" flipV="1">
          <a:off x="4212493" y="6649387"/>
          <a:ext cx="351691" cy="422133"/>
        </a:xfrm>
        <a:prstGeom prst="rect">
          <a:avLst/>
        </a:prstGeom>
      </xdr:spPr>
    </xdr:pic>
    <xdr:clientData/>
  </xdr:twoCellAnchor>
  <xdr:twoCellAnchor editAs="oneCell">
    <xdr:from>
      <xdr:col>2</xdr:col>
      <xdr:colOff>479853</xdr:colOff>
      <xdr:row>12</xdr:row>
      <xdr:rowOff>55869</xdr:rowOff>
    </xdr:from>
    <xdr:to>
      <xdr:col>2</xdr:col>
      <xdr:colOff>784040</xdr:colOff>
      <xdr:row>12</xdr:row>
      <xdr:rowOff>459002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F3FA998-45E7-46B5-B763-76E2E101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7353" y="6109536"/>
          <a:ext cx="304187" cy="403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plangrid.com/projects/7013e639-a783-4018-b12d-1a26d47e897a/field-reports/1517c207-6c8f-4cc3-b417-0d628308bd27/reports/889ffd60-b472-94de-4d7b-a80441919fc9" TargetMode="External"/><Relationship Id="rId18" Type="http://schemas.openxmlformats.org/officeDocument/2006/relationships/hyperlink" Target="https://app.plangrid.com/projects/7013e639-a783-4018-b12d-1a26d47e897a/field-reports/1517c207-6c8f-4cc3-b417-0d628308bd27/reports/af95b548-ce8d-733f-9bbd-65d4a35fd165" TargetMode="External"/><Relationship Id="rId26" Type="http://schemas.openxmlformats.org/officeDocument/2006/relationships/hyperlink" Target="https://app.plangrid.com/projects/7013e639-a783-4018-b12d-1a26d47e897a/field-reports/1517c207-6c8f-4cc3-b417-0d628308bd27/reports/db19b146-2a05-523b-9737-03fb0a58a698" TargetMode="External"/><Relationship Id="rId39" Type="http://schemas.openxmlformats.org/officeDocument/2006/relationships/hyperlink" Target="https://app.plangrid.com/projects/7013e639-a783-4018-b12d-1a26d47e897a/field-reports/1517c207-6c8f-4cc3-b417-0d628308bd27/reports/f9f5e928-cf39-c3d3-0966-40e9cb5dc71a" TargetMode="External"/><Relationship Id="rId21" Type="http://schemas.openxmlformats.org/officeDocument/2006/relationships/hyperlink" Target="https://app.plangrid.com/projects/7013e639-a783-4018-b12d-1a26d47e897a/field-reports/1517c207-6c8f-4cc3-b417-0d628308bd27/reports/db16ffce-af6d-23a5-f071-abc9fb235db3" TargetMode="External"/><Relationship Id="rId34" Type="http://schemas.openxmlformats.org/officeDocument/2006/relationships/hyperlink" Target="https://app.plangrid.com/projects/7013e639-a783-4018-b12d-1a26d47e897a/field-reports/1517c207-6c8f-4cc3-b417-0d628308bd27/reports/11dfefb1-9706-452b-012b-4cd09546fa89" TargetMode="External"/><Relationship Id="rId42" Type="http://schemas.openxmlformats.org/officeDocument/2006/relationships/hyperlink" Target="https://app.plangrid.com/projects/7013e639-a783-4018-b12d-1a26d47e897a/field-reports/1517c207-6c8f-4cc3-b417-0d628308bd27/reports/38f360b1-2628-af14-19e5-4d77f0338a5e" TargetMode="External"/><Relationship Id="rId47" Type="http://schemas.openxmlformats.org/officeDocument/2006/relationships/hyperlink" Target="https://app.plangrid.com/projects/7013e639-a783-4018-b12d-1a26d47e897a/field-reports/1517c207-6c8f-4cc3-b417-0d628308bd27/reports/6a44ced8-cc92-69fa-56ac-ab680c7a547c" TargetMode="External"/><Relationship Id="rId50" Type="http://schemas.openxmlformats.org/officeDocument/2006/relationships/hyperlink" Target="https://app.plangrid.com/projects/9db07f87-be90-4c60-b04e-d9bc0d3b6973/field-reports/e27097cd-2693-4911-8e59-e5677de46e74/reports/441c8511-c8a3-ff86-78f4-a448b1465899" TargetMode="External"/><Relationship Id="rId7" Type="http://schemas.openxmlformats.org/officeDocument/2006/relationships/hyperlink" Target="https://app.plangrid.com/projects/7013e639-a783-4018-b12d-1a26d47e897a/field-reports/1517c207-6c8f-4cc3-b417-0d628308bd27/reports/1eed1a6d-e710-5f68-a6d2-a7f38ea6269f" TargetMode="External"/><Relationship Id="rId2" Type="http://schemas.openxmlformats.org/officeDocument/2006/relationships/hyperlink" Target="https://app.plangrid.com/projects/7013e639-a783-4018-b12d-1a26d47e897a/field-reports/1517c207-6c8f-4cc3-b417-0d628308bd27/reports/5e93d794-413a-49ec-b7cb-6f4e23c101ca" TargetMode="External"/><Relationship Id="rId16" Type="http://schemas.openxmlformats.org/officeDocument/2006/relationships/hyperlink" Target="https://app.plangrid.com/projects/7013e639-a783-4018-b12d-1a26d47e897a/field-reports/1517c207-6c8f-4cc3-b417-0d628308bd27/reports/0138bf1d-6c2c-d8b4-7aa7-ec31c395344d" TargetMode="External"/><Relationship Id="rId29" Type="http://schemas.openxmlformats.org/officeDocument/2006/relationships/hyperlink" Target="https://app.plangrid.com/projects/7013e639-a783-4018-b12d-1a26d47e897a/field-reports/1517c207-6c8f-4cc3-b417-0d628308bd27/reports/0ab9d690-f52e-c466-fb7a-3157ddf0a9d1" TargetMode="External"/><Relationship Id="rId11" Type="http://schemas.openxmlformats.org/officeDocument/2006/relationships/hyperlink" Target="https://app.plangrid.com/projects/7013e639-a783-4018-b12d-1a26d47e897a/field-reports/1517c207-6c8f-4cc3-b417-0d628308bd27/reports/d57fc909-b64c-2cc5-7415-d30a7ea1dfb2" TargetMode="External"/><Relationship Id="rId24" Type="http://schemas.openxmlformats.org/officeDocument/2006/relationships/hyperlink" Target="https://app.plangrid.com/projects/7013e639-a783-4018-b12d-1a26d47e897a/field-reports/1517c207-6c8f-4cc3-b417-0d628308bd27/reports/e37c52ff-8c18-3e97-94c6-3d72c1c788b5" TargetMode="External"/><Relationship Id="rId32" Type="http://schemas.openxmlformats.org/officeDocument/2006/relationships/hyperlink" Target="https://app.plangrid.com/projects/7013e639-a783-4018-b12d-1a26d47e897a/field-reports/1517c207-6c8f-4cc3-b417-0d628308bd27/reports/fd5bfc15-8986-bc1d-fec3-ce6dc14fcdac" TargetMode="External"/><Relationship Id="rId37" Type="http://schemas.openxmlformats.org/officeDocument/2006/relationships/hyperlink" Target="https://app.plangrid.com/projects/7013e639-a783-4018-b12d-1a26d47e897a/field-reports/1517c207-6c8f-4cc3-b417-0d628308bd27/reports/7765816e-c51f-ec3f-e75e-8c0867c4e116" TargetMode="External"/><Relationship Id="rId40" Type="http://schemas.openxmlformats.org/officeDocument/2006/relationships/hyperlink" Target="https://app.plangrid.com/projects/7013e639-a783-4018-b12d-1a26d47e897a/field-reports/1517c207-6c8f-4cc3-b417-0d628308bd27/reports/f11d51a9-e91d-102d-cd96-6b7f2360a176" TargetMode="External"/><Relationship Id="rId45" Type="http://schemas.openxmlformats.org/officeDocument/2006/relationships/hyperlink" Target="https://app.plangrid.com/projects/7013e639-a783-4018-b12d-1a26d47e897a/field-reports/1517c207-6c8f-4cc3-b417-0d628308bd27/reports/9046045f-3b39-ba11-b7b0-2e8ab582558e" TargetMode="External"/><Relationship Id="rId53" Type="http://schemas.openxmlformats.org/officeDocument/2006/relationships/hyperlink" Target="https://app.plangrid.com/projects/9db07f87-be90-4c60-b04e-d9bc0d3b6973/field-reports/e27097cd-2693-4911-8e59-e5677de46e74/reports/d3a922b4-87cb-7c2f-309d-afb164c303e7" TargetMode="External"/><Relationship Id="rId5" Type="http://schemas.openxmlformats.org/officeDocument/2006/relationships/hyperlink" Target="https://app.plangrid.com/projects/7013e639-a783-4018-b12d-1a26d47e897a/field-reports/1517c207-6c8f-4cc3-b417-0d628308bd27/reports/d29b1cbb-f195-cb45-a5ce-99ac45561d13" TargetMode="External"/><Relationship Id="rId10" Type="http://schemas.openxmlformats.org/officeDocument/2006/relationships/hyperlink" Target="https://app.plangrid.com/projects/7013e639-a783-4018-b12d-1a26d47e897a/field-reports/1517c207-6c8f-4cc3-b417-0d628308bd27/reports/4e4023ad-1b9f-0d44-2cf4-43fb7b6999aa" TargetMode="External"/><Relationship Id="rId19" Type="http://schemas.openxmlformats.org/officeDocument/2006/relationships/hyperlink" Target="https://app.plangrid.com/projects/7013e639-a783-4018-b12d-1a26d47e897a/field-reports/1517c207-6c8f-4cc3-b417-0d628308bd27/reports/42b0ab39-60c4-63cb-2e5d-974ea32a75f2" TargetMode="External"/><Relationship Id="rId31" Type="http://schemas.openxmlformats.org/officeDocument/2006/relationships/hyperlink" Target="https://app.plangrid.com/projects/7013e639-a783-4018-b12d-1a26d47e897a/field-reports/1517c207-6c8f-4cc3-b417-0d628308bd27/reports/629f5960-cc12-a07d-09b6-e44114c77bf0" TargetMode="External"/><Relationship Id="rId44" Type="http://schemas.openxmlformats.org/officeDocument/2006/relationships/hyperlink" Target="https://app.plangrid.com/projects/7013e639-a783-4018-b12d-1a26d47e897a/field-reports/1517c207-6c8f-4cc3-b417-0d628308bd27/reports/dc7eaba1-36f9-74bc-0e78-742e141f7f79" TargetMode="External"/><Relationship Id="rId52" Type="http://schemas.openxmlformats.org/officeDocument/2006/relationships/hyperlink" Target="https://app.plangrid.com/projects/9db07f87-be90-4c60-b04e-d9bc0d3b6973/field-reports/e27097cd-2693-4911-8e59-e5677de46e74/reports/e2f7d02a-ded4-c6a9-bcb0-2535c36fd250" TargetMode="External"/><Relationship Id="rId4" Type="http://schemas.openxmlformats.org/officeDocument/2006/relationships/hyperlink" Target="https://app.plangrid.com/projects/7013e639-a783-4018-b12d-1a26d47e897a/field-reports/1517c207-6c8f-4cc3-b417-0d628308bd27/reports/9b61616a-e09a-3c01-0150-989ba1f84f29" TargetMode="External"/><Relationship Id="rId9" Type="http://schemas.openxmlformats.org/officeDocument/2006/relationships/hyperlink" Target="https://app.plangrid.com/projects/7013e639-a783-4018-b12d-1a26d47e897a/field-reports/1517c207-6c8f-4cc3-b417-0d628308bd27/reports/9ab6664f-fa02-4b10-0e75-87b9e9d9d55a" TargetMode="External"/><Relationship Id="rId14" Type="http://schemas.openxmlformats.org/officeDocument/2006/relationships/hyperlink" Target="https://app.plangrid.com/projects/7013e639-a783-4018-b12d-1a26d47e897a/field-reports/1517c207-6c8f-4cc3-b417-0d628308bd27/reports/51bb3a7d-9e14-a037-54d0-19216ef66c94" TargetMode="External"/><Relationship Id="rId22" Type="http://schemas.openxmlformats.org/officeDocument/2006/relationships/hyperlink" Target="https://app.plangrid.com/projects/7013e639-a783-4018-b12d-1a26d47e897a/field-reports/1517c207-6c8f-4cc3-b417-0d628308bd27/reports/bcf89b74-740e-2215-4229-447c234166a9" TargetMode="External"/><Relationship Id="rId27" Type="http://schemas.openxmlformats.org/officeDocument/2006/relationships/hyperlink" Target="https://app.plangrid.com/projects/7013e639-a783-4018-b12d-1a26d47e897a/field-reports/1517c207-6c8f-4cc3-b417-0d628308bd27/reports/3c76e787-2013-589e-7d7c-98ab0227b953" TargetMode="External"/><Relationship Id="rId30" Type="http://schemas.openxmlformats.org/officeDocument/2006/relationships/hyperlink" Target="https://app.plangrid.com/projects/7013e639-a783-4018-b12d-1a26d47e897a/field-reports/1517c207-6c8f-4cc3-b417-0d628308bd27/reports/274c119f-cdce-c645-b55b-4fcc620be69e" TargetMode="External"/><Relationship Id="rId35" Type="http://schemas.openxmlformats.org/officeDocument/2006/relationships/hyperlink" Target="https://app.plangrid.com/projects/7013e639-a783-4018-b12d-1a26d47e897a/field-reports/1517c207-6c8f-4cc3-b417-0d628308bd27/reports/2c29ae5f-ea6c-e24b-6b1a-7a2c2a1ec897" TargetMode="External"/><Relationship Id="rId43" Type="http://schemas.openxmlformats.org/officeDocument/2006/relationships/hyperlink" Target="https://app.plangrid.com/projects/7013e639-a783-4018-b12d-1a26d47e897a/field-reports/1517c207-6c8f-4cc3-b417-0d628308bd27/reports/2b61a39c-7192-26b7-5b89-3a5776527167" TargetMode="External"/><Relationship Id="rId48" Type="http://schemas.openxmlformats.org/officeDocument/2006/relationships/hyperlink" Target="https://app.plangrid.com/projects/7013e639-a783-4018-b12d-1a26d47e897a/field-reports/1517c207-6c8f-4cc3-b417-0d628308bd27/reports/5d46ce7d-71ba-dafc-885b-a71f2696f6ff" TargetMode="External"/><Relationship Id="rId8" Type="http://schemas.openxmlformats.org/officeDocument/2006/relationships/hyperlink" Target="https://app.plangrid.com/projects/7013e639-a783-4018-b12d-1a26d47e897a/field-reports/1517c207-6c8f-4cc3-b417-0d628308bd27/reports/7459cef4-b5c6-dda1-9503-5bb49ccf5d7b" TargetMode="External"/><Relationship Id="rId51" Type="http://schemas.openxmlformats.org/officeDocument/2006/relationships/hyperlink" Target="https://app.plangrid.com/projects/7013e639-a783-4018-b12d-1a26d47e897a/field-reports/1517c207-6c8f-4cc3-b417-0d628308bd27/reports/565bd7e9-6b09-238f-9754-a21a5a8e7b19" TargetMode="External"/><Relationship Id="rId3" Type="http://schemas.openxmlformats.org/officeDocument/2006/relationships/hyperlink" Target="https://app.plangrid.com/projects/7013e639-a783-4018-b12d-1a26d47e897a/field-reports/1517c207-6c8f-4cc3-b417-0d628308bd27/reports/8b31c1cd-0781-7c30-50d6-07fbc516df81" TargetMode="External"/><Relationship Id="rId12" Type="http://schemas.openxmlformats.org/officeDocument/2006/relationships/hyperlink" Target="https://app.plangrid.com/projects/7013e639-a783-4018-b12d-1a26d47e897a/field-reports/1517c207-6c8f-4cc3-b417-0d628308bd27/reports/4d47f880-b138-1523-9443-e7b4621735eb" TargetMode="External"/><Relationship Id="rId17" Type="http://schemas.openxmlformats.org/officeDocument/2006/relationships/hyperlink" Target="https://app.plangrid.com/projects/7013e639-a783-4018-b12d-1a26d47e897a/field-reports/1517c207-6c8f-4cc3-b417-0d628308bd27/reports/848c9539-a9f9-724f-d1a3-dc68fe8b9387" TargetMode="External"/><Relationship Id="rId25" Type="http://schemas.openxmlformats.org/officeDocument/2006/relationships/hyperlink" Target="https://app.plangrid.com/projects/7013e639-a783-4018-b12d-1a26d47e897a/field-reports/1517c207-6c8f-4cc3-b417-0d628308bd27/reports/79d6186f-eeaa-2478-9d7e-bcfba6f8fcd4" TargetMode="External"/><Relationship Id="rId33" Type="http://schemas.openxmlformats.org/officeDocument/2006/relationships/hyperlink" Target="https://app.plangrid.com/projects/7013e639-a783-4018-b12d-1a26d47e897a/field-reports/1517c207-6c8f-4cc3-b417-0d628308bd27/reports/ae047ae1-de37-8002-75a6-121bdd4577d1" TargetMode="External"/><Relationship Id="rId38" Type="http://schemas.openxmlformats.org/officeDocument/2006/relationships/hyperlink" Target="https://app.plangrid.com/projects/7013e639-a783-4018-b12d-1a26d47e897a/field-reports/1517c207-6c8f-4cc3-b417-0d628308bd27/reports/8d813532-b4f8-e029-4dcb-136dc3d158bf" TargetMode="External"/><Relationship Id="rId46" Type="http://schemas.openxmlformats.org/officeDocument/2006/relationships/hyperlink" Target="https://app.plangrid.com/projects/7013e639-a783-4018-b12d-1a26d47e897a/field-reports/1517c207-6c8f-4cc3-b417-0d628308bd27/reports/8da58d91-0b60-8a78-0fcc-7af3c3255b67" TargetMode="External"/><Relationship Id="rId20" Type="http://schemas.openxmlformats.org/officeDocument/2006/relationships/hyperlink" Target="https://app.plangrid.com/projects/7013e639-a783-4018-b12d-1a26d47e897a/field-reports/1517c207-6c8f-4cc3-b417-0d628308bd27/reports/c53e1c50-0b25-4a58-ad3c-323ab80444a8" TargetMode="External"/><Relationship Id="rId41" Type="http://schemas.openxmlformats.org/officeDocument/2006/relationships/hyperlink" Target="https://app.plangrid.com/projects/7013e639-a783-4018-b12d-1a26d47e897a/field-reports/1517c207-6c8f-4cc3-b417-0d628308bd27/reports/6a2c7acf-302b-337e-de93-f1f70e7085fd" TargetMode="External"/><Relationship Id="rId1" Type="http://schemas.openxmlformats.org/officeDocument/2006/relationships/hyperlink" Target="https://app.plangrid.com/projects/7013e639-a783-4018-b12d-1a26d47e897a/field-reports/1517c207-6c8f-4cc3-b417-0d628308bd27/reports/efb53139-b3b2-7a7e-b680-ad5b0de1aba0" TargetMode="External"/><Relationship Id="rId6" Type="http://schemas.openxmlformats.org/officeDocument/2006/relationships/hyperlink" Target="https://app.plangrid.com/projects/7013e639-a783-4018-b12d-1a26d47e897a/field-reports/1517c207-6c8f-4cc3-b417-0d628308bd27/reports/92617e9e-0340-3ca8-f2a9-c8f293cd90ad" TargetMode="External"/><Relationship Id="rId15" Type="http://schemas.openxmlformats.org/officeDocument/2006/relationships/hyperlink" Target="https://app.plangrid.com/projects/7013e639-a783-4018-b12d-1a26d47e897a/field-reports/1517c207-6c8f-4cc3-b417-0d628308bd27/reports/daaf3880-56bc-98f7-cfd6-00ae3bf54038" TargetMode="External"/><Relationship Id="rId23" Type="http://schemas.openxmlformats.org/officeDocument/2006/relationships/hyperlink" Target="https://app.plangrid.com/projects/7013e639-a783-4018-b12d-1a26d47e897a/field-reports/1517c207-6c8f-4cc3-b417-0d628308bd27/reports/2b3c511f-f60b-0295-6d02-a3f5716798cc" TargetMode="External"/><Relationship Id="rId28" Type="http://schemas.openxmlformats.org/officeDocument/2006/relationships/hyperlink" Target="https://app.plangrid.com/projects/7013e639-a783-4018-b12d-1a26d47e897a/field-reports/1517c207-6c8f-4cc3-b417-0d628308bd27/reports/746ec4ad-f5e7-fdff-bd46-183637962d58" TargetMode="External"/><Relationship Id="rId36" Type="http://schemas.openxmlformats.org/officeDocument/2006/relationships/hyperlink" Target="https://app.plangrid.com/projects/7013e639-a783-4018-b12d-1a26d47e897a/field-reports/1517c207-6c8f-4cc3-b417-0d628308bd27/reports/b5d345fe-2ff6-1977-1dcf-73b64801de1c" TargetMode="External"/><Relationship Id="rId49" Type="http://schemas.openxmlformats.org/officeDocument/2006/relationships/hyperlink" Target="https://app.plangrid.com/projects/7013e639-a783-4018-b12d-1a26d47e897a/field-reports/1517c207-6c8f-4cc3-b417-0d628308bd27/reports/8738182c-348d-bd40-81fb-437672539149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langrid.com/projects/7013e639-a783-4018-b12d-1a26d47e897a/field-reports/1517c207-6c8f-4cc3-b417-0d628308bd27/reports/4e7a99e6-c20e-317c-2fae-24e2d6e70cc5" TargetMode="External"/><Relationship Id="rId13" Type="http://schemas.openxmlformats.org/officeDocument/2006/relationships/hyperlink" Target="https://app.plangrid.com/projects/7013e639-a783-4018-b12d-1a26d47e897a/field-reports/1517c207-6c8f-4cc3-b417-0d628308bd27/reports/2b61a39c-7192-26b7-5b89-3a5776527167" TargetMode="External"/><Relationship Id="rId18" Type="http://schemas.openxmlformats.org/officeDocument/2006/relationships/hyperlink" Target="https://app.plangrid.com/projects/9db07f87-be90-4c60-b04e-d9bc0d3b6973/field-reports/e27097cd-2693-4911-8e59-e5677de46e74/reports/441c8511-c8a3-ff86-78f4-a448b1465899" TargetMode="External"/><Relationship Id="rId26" Type="http://schemas.openxmlformats.org/officeDocument/2006/relationships/hyperlink" Target="https://app.plangrid.com/projects/9db07f87-be90-4c60-b04e-d9bc0d3b6973/field-reports/e27097cd-2693-4911-8e59-e5677de46e74/reports/74388504-1c16-ac4a-1690-4df30a8abdd4" TargetMode="External"/><Relationship Id="rId3" Type="http://schemas.openxmlformats.org/officeDocument/2006/relationships/hyperlink" Target="https://app.plangrid.com/projects/7013e639-a783-4018-b12d-1a26d47e897a/field-reports/1517c207-6c8f-4cc3-b417-0d628308bd27/reports/1eed1a6d-e710-5f68-a6d2-a7f38ea6269f" TargetMode="External"/><Relationship Id="rId21" Type="http://schemas.openxmlformats.org/officeDocument/2006/relationships/hyperlink" Target="https://app.plangrid.com/projects/9db07f87-be90-4c60-b04e-d9bc0d3b6973/field-reports/e27097cd-2693-4911-8e59-e5677de46e74/reports/9caafe28-7656-dd42-f67b-5dfe0db41dde" TargetMode="External"/><Relationship Id="rId7" Type="http://schemas.openxmlformats.org/officeDocument/2006/relationships/hyperlink" Target="https://app.plangrid.com/projects/7013e639-a783-4018-b12d-1a26d47e897a/field-reports/1517c207-6c8f-4cc3-b417-0d628308bd27/reports/5e93d794-413a-49ec-b7cb-6f4e23c101ca" TargetMode="External"/><Relationship Id="rId12" Type="http://schemas.openxmlformats.org/officeDocument/2006/relationships/hyperlink" Target="https://app.plangrid.com/projects/7013e639-a783-4018-b12d-1a26d47e897a/field-reports/1517c207-6c8f-4cc3-b417-0d628308bd27/reports/38f360b1-2628-af14-19e5-4d77f0338a5e" TargetMode="External"/><Relationship Id="rId17" Type="http://schemas.openxmlformats.org/officeDocument/2006/relationships/hyperlink" Target="https://app.plangrid.com/projects/7013e639-a783-4018-b12d-1a26d47e897a/field-reports/1517c207-6c8f-4cc3-b417-0d628308bd27/reports/6a44ced8-cc92-69fa-56ac-ab680c7a547c" TargetMode="External"/><Relationship Id="rId25" Type="http://schemas.openxmlformats.org/officeDocument/2006/relationships/hyperlink" Target="https://app.plangrid.com/projects/9db07f87-be90-4c60-b04e-d9bc0d3b6973/field-reports/e27097cd-2693-4911-8e59-e5677de46e74/reports/6e5a23a3-4110-d907-ae1f-e1971902d159" TargetMode="External"/><Relationship Id="rId2" Type="http://schemas.openxmlformats.org/officeDocument/2006/relationships/hyperlink" Target="https://app.plangrid.com/projects/7013e639-a783-4018-b12d-1a26d47e897a/field-reports/1517c207-6c8f-4cc3-b417-0d628308bd27/reports/92617e9e-0340-3ca8-f2a9-c8f293cd90ad" TargetMode="External"/><Relationship Id="rId16" Type="http://schemas.openxmlformats.org/officeDocument/2006/relationships/hyperlink" Target="https://app.plangrid.com/projects/7013e639-a783-4018-b12d-1a26d47e897a/field-reports/1517c207-6c8f-4cc3-b417-0d628308bd27/reports/8da58d91-0b60-8a78-0fcc-7af3c3255b67" TargetMode="External"/><Relationship Id="rId20" Type="http://schemas.openxmlformats.org/officeDocument/2006/relationships/hyperlink" Target="https://app.plangrid.com/projects/9db07f87-be90-4c60-b04e-d9bc0d3b6973/field-reports/e27097cd-2693-4911-8e59-e5677de46e74/reports/6e5a23a3-4110-d907-ae1f-e1971902d159" TargetMode="External"/><Relationship Id="rId1" Type="http://schemas.openxmlformats.org/officeDocument/2006/relationships/hyperlink" Target="https://app.plangrid.com/projects/7013e639-a783-4018-b12d-1a26d47e897a/field-reports/1517c207-6c8f-4cc3-b417-0d628308bd27/reports/d29b1cbb-f195-cb45-a5ce-99ac45561d13" TargetMode="External"/><Relationship Id="rId6" Type="http://schemas.openxmlformats.org/officeDocument/2006/relationships/hyperlink" Target="https://app.plangrid.com/projects/7013e639-a783-4018-b12d-1a26d47e897a/field-reports/1517c207-6c8f-4cc3-b417-0d628308bd27/reports/efb53139-b3b2-7a7e-b680-ad5b0de1aba0" TargetMode="External"/><Relationship Id="rId11" Type="http://schemas.openxmlformats.org/officeDocument/2006/relationships/hyperlink" Target="https://app.plangrid.com/projects/7013e639-a783-4018-b12d-1a26d47e897a/field-reports/1517c207-6c8f-4cc3-b417-0d628308bd27/reports/6a2c7acf-302b-337e-de93-f1f70e7085fd" TargetMode="External"/><Relationship Id="rId24" Type="http://schemas.openxmlformats.org/officeDocument/2006/relationships/hyperlink" Target="https://app.plangrid.com/projects/9db07f87-be90-4c60-b04e-d9bc0d3b6973/field-reports/e27097cd-2693-4911-8e59-e5677de46e74/reports/577e329d-de27-9976-afd0-4abb899a2b59" TargetMode="External"/><Relationship Id="rId5" Type="http://schemas.openxmlformats.org/officeDocument/2006/relationships/hyperlink" Target="https://app.plangrid.com/projects/7013e639-a783-4018-b12d-1a26d47e897a/field-reports/1517c207-6c8f-4cc3-b417-0d628308bd27/reports/9ab6664f-fa02-4b10-0e75-87b9e9d9d55a" TargetMode="External"/><Relationship Id="rId15" Type="http://schemas.openxmlformats.org/officeDocument/2006/relationships/hyperlink" Target="https://app.plangrid.com/projects/7013e639-a783-4018-b12d-1a26d47e897a/field-reports/1517c207-6c8f-4cc3-b417-0d628308bd27/reports/9046045f-3b39-ba11-b7b0-2e8ab582558e" TargetMode="External"/><Relationship Id="rId23" Type="http://schemas.openxmlformats.org/officeDocument/2006/relationships/hyperlink" Target="https://app.plangrid.com/projects/7013e639-a783-4018-b12d-1a26d47e897a/field-reports/1517c207-6c8f-4cc3-b417-0d628308bd27/reports/b2bdd98b-6456-46a6-c860-4151e2ad8dc6" TargetMode="External"/><Relationship Id="rId10" Type="http://schemas.openxmlformats.org/officeDocument/2006/relationships/hyperlink" Target="https://app.plangrid.com/projects/7013e639-a783-4018-b12d-1a26d47e897a/field-reports/1517c207-6c8f-4cc3-b417-0d628308bd27/reports/a78b001c-9c2b-0515-c77a-bc8deaf22058" TargetMode="External"/><Relationship Id="rId19" Type="http://schemas.openxmlformats.org/officeDocument/2006/relationships/hyperlink" Target="https://app.plangrid.com/projects/9db07f87-be90-4c60-b04e-d9bc0d3b6973/field-reports/e27097cd-2693-4911-8e59-e5677de46e74/reports/6430c4fb-aa7a-c565-1e7a-8e07a16bf54b" TargetMode="External"/><Relationship Id="rId4" Type="http://schemas.openxmlformats.org/officeDocument/2006/relationships/hyperlink" Target="https://app.plangrid.com/projects/7013e639-a783-4018-b12d-1a26d47e897a/field-reports/1517c207-6c8f-4cc3-b417-0d628308bd27/reports/7459cef4-b5c6-dda1-9503-5bb49ccf5d7b" TargetMode="External"/><Relationship Id="rId9" Type="http://schemas.openxmlformats.org/officeDocument/2006/relationships/hyperlink" Target="https://app.plangrid.com/projects/7013e639-a783-4018-b12d-1a26d47e897a/field-reports/1517c207-6c8f-4cc3-b417-0d628308bd27/reports/f11d51a9-e91d-102d-cd96-6b7f2360a176" TargetMode="External"/><Relationship Id="rId14" Type="http://schemas.openxmlformats.org/officeDocument/2006/relationships/hyperlink" Target="https://app.plangrid.com/projects/7013e639-a783-4018-b12d-1a26d47e897a/field-reports/1517c207-6c8f-4cc3-b417-0d628308bd27/reports/dc7eaba1-36f9-74bc-0e78-742e141f7f79" TargetMode="External"/><Relationship Id="rId22" Type="http://schemas.openxmlformats.org/officeDocument/2006/relationships/hyperlink" Target="https://app.plangrid.com/projects/9f142387-42d6-4f1e-8e27-588559f7e501/field-reports/b2c3e725-a5c8-4119-8cb3-6a2d6de1e2c1/reports/160e2cf0-9d2e-29e2-b23e-c5fa5a63d41a" TargetMode="External"/><Relationship Id="rId27" Type="http://schemas.openxmlformats.org/officeDocument/2006/relationships/hyperlink" Target="https://app.plangrid.com/projects/9db07f87-be90-4c60-b04e-d9bc0d3b6973/field-reports/e27097cd-2693-4911-8e59-e5677de46e74/reports/ba3d09f0-7548-7209-a8a6-685a10fe4dd3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AF4D-46D2-4EF5-AC42-BECB48652E34}">
  <dimension ref="A1:AA2139"/>
  <sheetViews>
    <sheetView topLeftCell="A2004" workbookViewId="0">
      <selection activeCell="G2126" sqref="G2126"/>
    </sheetView>
  </sheetViews>
  <sheetFormatPr defaultRowHeight="14.5" x14ac:dyDescent="0.35"/>
  <cols>
    <col min="3" max="3" width="6" bestFit="1" customWidth="1"/>
    <col min="4" max="4" width="6.26953125" bestFit="1" customWidth="1"/>
    <col min="5" max="5" width="29.36328125" bestFit="1" customWidth="1"/>
    <col min="6" max="6" width="26.6328125" bestFit="1" customWidth="1"/>
    <col min="7" max="7" width="18.453125" bestFit="1" customWidth="1"/>
    <col min="8" max="8" width="7.1796875" bestFit="1" customWidth="1"/>
    <col min="9" max="9" width="11.90625" bestFit="1" customWidth="1"/>
    <col min="10" max="10" width="22.36328125" bestFit="1" customWidth="1"/>
    <col min="11" max="11" width="10.81640625" bestFit="1" customWidth="1"/>
    <col min="12" max="12" width="10.26953125" bestFit="1" customWidth="1"/>
    <col min="13" max="13" width="39.08984375" bestFit="1" customWidth="1"/>
    <col min="14" max="14" width="10.6328125" bestFit="1" customWidth="1"/>
    <col min="16" max="16" width="7.90625" bestFit="1" customWidth="1"/>
    <col min="17" max="17" width="5.26953125" bestFit="1" customWidth="1"/>
    <col min="18" max="18" width="8.1796875" bestFit="1" customWidth="1"/>
    <col min="19" max="19" width="9.08984375" bestFit="1" customWidth="1"/>
    <col min="20" max="20" width="8.453125" bestFit="1" customWidth="1"/>
    <col min="21" max="21" width="10.90625" bestFit="1" customWidth="1"/>
    <col min="22" max="22" width="18" bestFit="1" customWidth="1"/>
    <col min="23" max="23" width="15.08984375" bestFit="1" customWidth="1"/>
    <col min="24" max="24" width="27.81640625" bestFit="1" customWidth="1"/>
    <col min="25" max="25" width="20.26953125" bestFit="1" customWidth="1"/>
    <col min="26" max="27" width="18.453125" bestFit="1" customWidth="1"/>
  </cols>
  <sheetData>
    <row r="1" spans="1:27" x14ac:dyDescent="0.35">
      <c r="A1" t="s">
        <v>3492</v>
      </c>
      <c r="B1" t="s">
        <v>3493</v>
      </c>
      <c r="C1" s="11" t="s">
        <v>14</v>
      </c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25</v>
      </c>
      <c r="O1" s="11" t="s">
        <v>26</v>
      </c>
      <c r="P1" s="11" t="s">
        <v>27</v>
      </c>
      <c r="Q1" s="11" t="s">
        <v>28</v>
      </c>
      <c r="R1" s="11" t="s">
        <v>29</v>
      </c>
      <c r="S1" s="11" t="s">
        <v>30</v>
      </c>
      <c r="T1" s="11" t="s">
        <v>31</v>
      </c>
      <c r="U1" s="11" t="s">
        <v>32</v>
      </c>
      <c r="V1" s="11" t="s">
        <v>33</v>
      </c>
      <c r="W1" s="11" t="s">
        <v>34</v>
      </c>
      <c r="X1" s="11" t="s">
        <v>35</v>
      </c>
      <c r="Y1" s="11" t="s">
        <v>36</v>
      </c>
      <c r="Z1" s="11" t="s">
        <v>37</v>
      </c>
      <c r="AA1" s="11" t="s">
        <v>38</v>
      </c>
    </row>
    <row r="2" spans="1:27" x14ac:dyDescent="0.35">
      <c r="A2" t="str">
        <f>B2&amp;D2</f>
        <v>1905F3</v>
      </c>
      <c r="B2" t="str">
        <f t="shared" ref="B2:B65" si="0">LEFT($J:$J,4)</f>
        <v>1905</v>
      </c>
      <c r="C2" t="s">
        <v>39</v>
      </c>
      <c r="D2" t="s">
        <v>5</v>
      </c>
      <c r="E2" t="s">
        <v>40</v>
      </c>
      <c r="G2" t="s">
        <v>41</v>
      </c>
      <c r="H2" t="s">
        <v>42</v>
      </c>
      <c r="I2" t="s">
        <v>43</v>
      </c>
      <c r="J2" t="s">
        <v>44</v>
      </c>
      <c r="M2" t="s">
        <v>45</v>
      </c>
      <c r="P2" t="s">
        <v>46</v>
      </c>
      <c r="Q2" t="s">
        <v>47</v>
      </c>
      <c r="R2" t="s">
        <v>48</v>
      </c>
      <c r="V2" t="s">
        <v>49</v>
      </c>
      <c r="X2" t="s">
        <v>49</v>
      </c>
      <c r="Z2" t="s">
        <v>50</v>
      </c>
      <c r="AA2" t="s">
        <v>50</v>
      </c>
    </row>
    <row r="3" spans="1:27" x14ac:dyDescent="0.35">
      <c r="A3" t="str">
        <f t="shared" ref="A3:A66" si="1">B3&amp;D3</f>
        <v>3210D4</v>
      </c>
      <c r="B3" t="str">
        <f t="shared" si="0"/>
        <v>3210</v>
      </c>
      <c r="C3" t="s">
        <v>51</v>
      </c>
      <c r="D3" t="s">
        <v>3</v>
      </c>
      <c r="E3" t="s">
        <v>52</v>
      </c>
      <c r="F3" t="s">
        <v>53</v>
      </c>
      <c r="G3" t="s">
        <v>54</v>
      </c>
      <c r="H3" t="s">
        <v>42</v>
      </c>
      <c r="I3" t="s">
        <v>43</v>
      </c>
      <c r="J3" t="s">
        <v>55</v>
      </c>
      <c r="K3" t="s">
        <v>56</v>
      </c>
      <c r="M3" t="s">
        <v>57</v>
      </c>
      <c r="P3" t="s">
        <v>58</v>
      </c>
      <c r="Q3" t="s">
        <v>47</v>
      </c>
      <c r="R3" t="s">
        <v>48</v>
      </c>
      <c r="V3" t="s">
        <v>49</v>
      </c>
      <c r="X3" t="s">
        <v>49</v>
      </c>
      <c r="Y3" t="s">
        <v>59</v>
      </c>
      <c r="Z3" t="s">
        <v>60</v>
      </c>
      <c r="AA3" t="s">
        <v>60</v>
      </c>
    </row>
    <row r="4" spans="1:27" x14ac:dyDescent="0.35">
      <c r="A4" t="str">
        <f t="shared" si="1"/>
        <v>3210D2</v>
      </c>
      <c r="B4" t="str">
        <f t="shared" si="0"/>
        <v>3210</v>
      </c>
      <c r="C4" t="s">
        <v>61</v>
      </c>
      <c r="D4" t="s">
        <v>2</v>
      </c>
      <c r="E4" t="s">
        <v>62</v>
      </c>
      <c r="F4" t="s">
        <v>63</v>
      </c>
      <c r="G4" t="s">
        <v>54</v>
      </c>
      <c r="H4" t="s">
        <v>42</v>
      </c>
      <c r="I4" t="s">
        <v>43</v>
      </c>
      <c r="J4" t="s">
        <v>55</v>
      </c>
      <c r="K4" t="s">
        <v>56</v>
      </c>
      <c r="M4" t="s">
        <v>57</v>
      </c>
      <c r="P4" t="s">
        <v>58</v>
      </c>
      <c r="Q4" t="s">
        <v>47</v>
      </c>
      <c r="R4" t="s">
        <v>48</v>
      </c>
      <c r="V4" t="s">
        <v>49</v>
      </c>
      <c r="X4" t="s">
        <v>49</v>
      </c>
      <c r="Y4" t="s">
        <v>59</v>
      </c>
      <c r="Z4" t="s">
        <v>60</v>
      </c>
      <c r="AA4" t="s">
        <v>60</v>
      </c>
    </row>
    <row r="5" spans="1:27" x14ac:dyDescent="0.35">
      <c r="A5" t="str">
        <f t="shared" si="1"/>
        <v>3109C2</v>
      </c>
      <c r="B5" t="str">
        <f t="shared" si="0"/>
        <v>3109</v>
      </c>
      <c r="C5" t="s">
        <v>64</v>
      </c>
      <c r="D5" t="s">
        <v>1</v>
      </c>
      <c r="E5" t="s">
        <v>65</v>
      </c>
      <c r="F5" t="s">
        <v>66</v>
      </c>
      <c r="G5" t="s">
        <v>54</v>
      </c>
      <c r="H5" t="s">
        <v>42</v>
      </c>
      <c r="I5" t="s">
        <v>67</v>
      </c>
      <c r="J5" t="s">
        <v>68</v>
      </c>
      <c r="M5" t="s">
        <v>57</v>
      </c>
      <c r="P5" t="s">
        <v>69</v>
      </c>
      <c r="Q5" t="s">
        <v>47</v>
      </c>
      <c r="R5" t="s">
        <v>48</v>
      </c>
      <c r="V5" t="s">
        <v>49</v>
      </c>
      <c r="X5" t="s">
        <v>49</v>
      </c>
      <c r="Y5" t="s">
        <v>70</v>
      </c>
      <c r="Z5" t="s">
        <v>71</v>
      </c>
      <c r="AA5" t="s">
        <v>71</v>
      </c>
    </row>
    <row r="6" spans="1:27" x14ac:dyDescent="0.35">
      <c r="A6" t="str">
        <f t="shared" si="1"/>
        <v>3109F3</v>
      </c>
      <c r="B6" t="str">
        <f t="shared" si="0"/>
        <v>3109</v>
      </c>
      <c r="C6" t="s">
        <v>72</v>
      </c>
      <c r="D6" t="s">
        <v>5</v>
      </c>
      <c r="E6" t="s">
        <v>40</v>
      </c>
      <c r="F6" t="s">
        <v>73</v>
      </c>
      <c r="G6" t="s">
        <v>54</v>
      </c>
      <c r="H6" t="s">
        <v>42</v>
      </c>
      <c r="I6" t="s">
        <v>67</v>
      </c>
      <c r="J6" t="s">
        <v>68</v>
      </c>
      <c r="M6" t="s">
        <v>57</v>
      </c>
      <c r="P6" t="s">
        <v>46</v>
      </c>
      <c r="Q6" t="s">
        <v>47</v>
      </c>
      <c r="R6" t="s">
        <v>48</v>
      </c>
      <c r="V6" t="s">
        <v>49</v>
      </c>
      <c r="X6" t="s">
        <v>49</v>
      </c>
      <c r="Y6" t="s">
        <v>74</v>
      </c>
      <c r="Z6" t="s">
        <v>75</v>
      </c>
      <c r="AA6" t="s">
        <v>75</v>
      </c>
    </row>
    <row r="7" spans="1:27" x14ac:dyDescent="0.35">
      <c r="A7" t="str">
        <f t="shared" si="1"/>
        <v>3109F2</v>
      </c>
      <c r="B7" t="str">
        <f t="shared" si="0"/>
        <v>3109</v>
      </c>
      <c r="C7" t="s">
        <v>76</v>
      </c>
      <c r="D7" t="s">
        <v>4</v>
      </c>
      <c r="E7" t="s">
        <v>77</v>
      </c>
      <c r="F7" t="s">
        <v>78</v>
      </c>
      <c r="G7" t="s">
        <v>54</v>
      </c>
      <c r="H7" t="s">
        <v>42</v>
      </c>
      <c r="I7" t="s">
        <v>67</v>
      </c>
      <c r="J7" t="s">
        <v>68</v>
      </c>
      <c r="M7" t="s">
        <v>57</v>
      </c>
      <c r="P7" t="s">
        <v>79</v>
      </c>
      <c r="Q7" t="s">
        <v>47</v>
      </c>
      <c r="R7" t="s">
        <v>48</v>
      </c>
      <c r="V7" t="s">
        <v>49</v>
      </c>
      <c r="X7" t="s">
        <v>49</v>
      </c>
      <c r="Y7" t="s">
        <v>74</v>
      </c>
      <c r="Z7" t="s">
        <v>75</v>
      </c>
      <c r="AA7" t="s">
        <v>75</v>
      </c>
    </row>
    <row r="8" spans="1:27" x14ac:dyDescent="0.35">
      <c r="A8" t="str">
        <f t="shared" si="1"/>
        <v>1204C2</v>
      </c>
      <c r="B8" t="str">
        <f t="shared" si="0"/>
        <v>1204</v>
      </c>
      <c r="C8" t="s">
        <v>80</v>
      </c>
      <c r="D8" t="s">
        <v>1</v>
      </c>
      <c r="E8" t="s">
        <v>65</v>
      </c>
      <c r="G8" t="s">
        <v>81</v>
      </c>
      <c r="H8" t="s">
        <v>42</v>
      </c>
      <c r="I8" t="s">
        <v>67</v>
      </c>
      <c r="J8" t="s">
        <v>82</v>
      </c>
      <c r="M8" t="s">
        <v>83</v>
      </c>
      <c r="P8" t="s">
        <v>69</v>
      </c>
      <c r="Q8" t="s">
        <v>47</v>
      </c>
      <c r="R8" t="s">
        <v>48</v>
      </c>
      <c r="V8" t="s">
        <v>49</v>
      </c>
      <c r="X8" t="s">
        <v>49</v>
      </c>
      <c r="Y8" t="s">
        <v>70</v>
      </c>
      <c r="Z8" t="s">
        <v>84</v>
      </c>
      <c r="AA8" t="s">
        <v>84</v>
      </c>
    </row>
    <row r="9" spans="1:27" x14ac:dyDescent="0.35">
      <c r="A9" t="str">
        <f t="shared" si="1"/>
        <v>2002F3</v>
      </c>
      <c r="B9" t="str">
        <f t="shared" si="0"/>
        <v>2002</v>
      </c>
      <c r="C9" t="s">
        <v>85</v>
      </c>
      <c r="D9" t="s">
        <v>5</v>
      </c>
      <c r="E9" t="s">
        <v>40</v>
      </c>
      <c r="G9" t="s">
        <v>86</v>
      </c>
      <c r="H9" t="s">
        <v>42</v>
      </c>
      <c r="I9" t="s">
        <v>43</v>
      </c>
      <c r="J9" t="s">
        <v>87</v>
      </c>
      <c r="M9" t="s">
        <v>88</v>
      </c>
      <c r="P9" t="s">
        <v>46</v>
      </c>
      <c r="Q9" t="s">
        <v>47</v>
      </c>
      <c r="R9" t="s">
        <v>48</v>
      </c>
      <c r="V9" t="s">
        <v>49</v>
      </c>
      <c r="X9" t="s">
        <v>49</v>
      </c>
      <c r="Z9" t="s">
        <v>89</v>
      </c>
      <c r="AA9" t="s">
        <v>89</v>
      </c>
    </row>
    <row r="10" spans="1:27" x14ac:dyDescent="0.35">
      <c r="A10" t="str">
        <f t="shared" si="1"/>
        <v>2002F2</v>
      </c>
      <c r="B10" t="str">
        <f t="shared" si="0"/>
        <v>2002</v>
      </c>
      <c r="C10" t="s">
        <v>90</v>
      </c>
      <c r="D10" t="s">
        <v>4</v>
      </c>
      <c r="E10" t="s">
        <v>77</v>
      </c>
      <c r="G10" t="s">
        <v>86</v>
      </c>
      <c r="H10" t="s">
        <v>42</v>
      </c>
      <c r="I10" t="s">
        <v>43</v>
      </c>
      <c r="J10" t="s">
        <v>87</v>
      </c>
      <c r="M10" t="s">
        <v>88</v>
      </c>
      <c r="P10" t="s">
        <v>91</v>
      </c>
      <c r="Q10" t="s">
        <v>47</v>
      </c>
      <c r="R10" t="s">
        <v>48</v>
      </c>
      <c r="V10" t="s">
        <v>49</v>
      </c>
      <c r="X10" t="s">
        <v>49</v>
      </c>
      <c r="Z10" t="s">
        <v>92</v>
      </c>
      <c r="AA10" t="s">
        <v>92</v>
      </c>
    </row>
    <row r="11" spans="1:27" x14ac:dyDescent="0.35">
      <c r="A11" t="str">
        <f t="shared" si="1"/>
        <v>2002D7</v>
      </c>
      <c r="B11" t="str">
        <f t="shared" si="0"/>
        <v>2002</v>
      </c>
      <c r="C11" t="s">
        <v>93</v>
      </c>
      <c r="D11" t="s">
        <v>6</v>
      </c>
      <c r="E11" t="s">
        <v>94</v>
      </c>
      <c r="G11" t="s">
        <v>86</v>
      </c>
      <c r="H11" t="s">
        <v>42</v>
      </c>
      <c r="I11" t="s">
        <v>43</v>
      </c>
      <c r="J11" t="s">
        <v>87</v>
      </c>
      <c r="M11" t="s">
        <v>88</v>
      </c>
      <c r="P11" t="s">
        <v>46</v>
      </c>
      <c r="Q11" t="s">
        <v>47</v>
      </c>
      <c r="R11" t="s">
        <v>48</v>
      </c>
      <c r="V11" t="s">
        <v>49</v>
      </c>
      <c r="X11" t="s">
        <v>49</v>
      </c>
      <c r="Z11" t="s">
        <v>95</v>
      </c>
      <c r="AA11" t="s">
        <v>95</v>
      </c>
    </row>
    <row r="12" spans="1:27" x14ac:dyDescent="0.35">
      <c r="A12" t="str">
        <f t="shared" si="1"/>
        <v>2002D4</v>
      </c>
      <c r="B12" t="str">
        <f t="shared" si="0"/>
        <v>2002</v>
      </c>
      <c r="C12" t="s">
        <v>96</v>
      </c>
      <c r="D12" t="s">
        <v>3</v>
      </c>
      <c r="E12" t="s">
        <v>52</v>
      </c>
      <c r="G12" t="s">
        <v>97</v>
      </c>
      <c r="H12" t="s">
        <v>42</v>
      </c>
      <c r="I12" t="s">
        <v>43</v>
      </c>
      <c r="J12" t="s">
        <v>87</v>
      </c>
      <c r="M12" t="s">
        <v>88</v>
      </c>
      <c r="P12" t="s">
        <v>58</v>
      </c>
      <c r="Q12" t="s">
        <v>47</v>
      </c>
      <c r="R12" t="s">
        <v>48</v>
      </c>
      <c r="V12" t="s">
        <v>49</v>
      </c>
      <c r="X12" t="s">
        <v>49</v>
      </c>
      <c r="Z12" t="s">
        <v>3591</v>
      </c>
      <c r="AA12" t="s">
        <v>3591</v>
      </c>
    </row>
    <row r="13" spans="1:27" x14ac:dyDescent="0.35">
      <c r="A13" t="str">
        <f t="shared" si="1"/>
        <v>2002D2</v>
      </c>
      <c r="B13" t="str">
        <f t="shared" si="0"/>
        <v>2002</v>
      </c>
      <c r="C13" t="s">
        <v>99</v>
      </c>
      <c r="D13" t="s">
        <v>2</v>
      </c>
      <c r="E13" t="s">
        <v>62</v>
      </c>
      <c r="G13" t="s">
        <v>97</v>
      </c>
      <c r="H13" t="s">
        <v>42</v>
      </c>
      <c r="I13" t="s">
        <v>43</v>
      </c>
      <c r="J13" t="s">
        <v>87</v>
      </c>
      <c r="M13" t="s">
        <v>88</v>
      </c>
      <c r="P13" t="s">
        <v>58</v>
      </c>
      <c r="Q13" t="s">
        <v>47</v>
      </c>
      <c r="R13" t="s">
        <v>48</v>
      </c>
      <c r="V13" t="s">
        <v>49</v>
      </c>
      <c r="X13" t="s">
        <v>49</v>
      </c>
      <c r="Z13" t="s">
        <v>100</v>
      </c>
      <c r="AA13" t="s">
        <v>100</v>
      </c>
    </row>
    <row r="14" spans="1:27" x14ac:dyDescent="0.35">
      <c r="A14" t="str">
        <f t="shared" si="1"/>
        <v>2002C2</v>
      </c>
      <c r="B14" t="str">
        <f t="shared" si="0"/>
        <v>2002</v>
      </c>
      <c r="C14" t="s">
        <v>101</v>
      </c>
      <c r="D14" t="s">
        <v>1</v>
      </c>
      <c r="E14" t="s">
        <v>65</v>
      </c>
      <c r="G14" t="s">
        <v>97</v>
      </c>
      <c r="H14" t="s">
        <v>42</v>
      </c>
      <c r="I14" t="s">
        <v>43</v>
      </c>
      <c r="J14" t="s">
        <v>87</v>
      </c>
      <c r="M14" t="s">
        <v>88</v>
      </c>
      <c r="P14" t="s">
        <v>69</v>
      </c>
      <c r="Q14" t="s">
        <v>47</v>
      </c>
      <c r="R14" t="s">
        <v>48</v>
      </c>
      <c r="V14" t="s">
        <v>49</v>
      </c>
      <c r="X14" t="s">
        <v>49</v>
      </c>
      <c r="Z14" t="s">
        <v>102</v>
      </c>
      <c r="AA14" t="s">
        <v>102</v>
      </c>
    </row>
    <row r="15" spans="1:27" x14ac:dyDescent="0.35">
      <c r="A15" t="str">
        <f t="shared" si="1"/>
        <v>1909C2</v>
      </c>
      <c r="B15" t="str">
        <f t="shared" si="0"/>
        <v>1909</v>
      </c>
      <c r="C15" t="s">
        <v>103</v>
      </c>
      <c r="D15" t="s">
        <v>1</v>
      </c>
      <c r="E15" t="s">
        <v>65</v>
      </c>
      <c r="F15" t="s">
        <v>66</v>
      </c>
      <c r="G15" t="s">
        <v>104</v>
      </c>
      <c r="H15" t="s">
        <v>42</v>
      </c>
      <c r="I15" t="s">
        <v>67</v>
      </c>
      <c r="J15" t="s">
        <v>105</v>
      </c>
      <c r="M15" t="s">
        <v>106</v>
      </c>
      <c r="P15" t="s">
        <v>69</v>
      </c>
      <c r="Q15" t="s">
        <v>47</v>
      </c>
      <c r="R15" t="s">
        <v>48</v>
      </c>
      <c r="V15" t="s">
        <v>49</v>
      </c>
      <c r="X15" t="s">
        <v>49</v>
      </c>
      <c r="Y15" t="s">
        <v>70</v>
      </c>
      <c r="Z15" t="s">
        <v>107</v>
      </c>
      <c r="AA15" t="s">
        <v>107</v>
      </c>
    </row>
    <row r="16" spans="1:27" x14ac:dyDescent="0.35">
      <c r="A16" t="str">
        <f t="shared" si="1"/>
        <v>1909F2</v>
      </c>
      <c r="B16" t="str">
        <f t="shared" si="0"/>
        <v>1909</v>
      </c>
      <c r="C16" t="s">
        <v>108</v>
      </c>
      <c r="D16" t="s">
        <v>4</v>
      </c>
      <c r="E16" t="s">
        <v>77</v>
      </c>
      <c r="F16" t="s">
        <v>78</v>
      </c>
      <c r="G16" t="s">
        <v>104</v>
      </c>
      <c r="H16" t="s">
        <v>42</v>
      </c>
      <c r="I16" t="s">
        <v>67</v>
      </c>
      <c r="J16" t="s">
        <v>105</v>
      </c>
      <c r="M16" t="s">
        <v>106</v>
      </c>
      <c r="P16" t="s">
        <v>79</v>
      </c>
      <c r="Q16" t="s">
        <v>47</v>
      </c>
      <c r="R16" t="s">
        <v>48</v>
      </c>
      <c r="V16" t="s">
        <v>49</v>
      </c>
      <c r="X16" t="s">
        <v>49</v>
      </c>
      <c r="Y16" t="s">
        <v>74</v>
      </c>
      <c r="Z16" t="s">
        <v>109</v>
      </c>
      <c r="AA16" t="s">
        <v>109</v>
      </c>
    </row>
    <row r="17" spans="1:27" x14ac:dyDescent="0.35">
      <c r="A17" t="str">
        <f t="shared" si="1"/>
        <v>1909D7</v>
      </c>
      <c r="B17" t="str">
        <f t="shared" si="0"/>
        <v>1909</v>
      </c>
      <c r="C17" t="s">
        <v>110</v>
      </c>
      <c r="D17" t="s">
        <v>6</v>
      </c>
      <c r="E17" t="s">
        <v>94</v>
      </c>
      <c r="F17" t="s">
        <v>111</v>
      </c>
      <c r="G17" t="s">
        <v>104</v>
      </c>
      <c r="H17" t="s">
        <v>42</v>
      </c>
      <c r="I17" t="s">
        <v>67</v>
      </c>
      <c r="J17" t="s">
        <v>105</v>
      </c>
      <c r="M17" t="s">
        <v>106</v>
      </c>
      <c r="P17" t="s">
        <v>46</v>
      </c>
      <c r="Q17" t="s">
        <v>47</v>
      </c>
      <c r="R17" t="s">
        <v>48</v>
      </c>
      <c r="V17" t="s">
        <v>49</v>
      </c>
      <c r="X17" t="s">
        <v>49</v>
      </c>
      <c r="Y17" t="s">
        <v>59</v>
      </c>
      <c r="Z17" t="s">
        <v>112</v>
      </c>
      <c r="AA17" t="s">
        <v>112</v>
      </c>
    </row>
    <row r="18" spans="1:27" x14ac:dyDescent="0.35">
      <c r="A18" t="str">
        <f t="shared" si="1"/>
        <v>1909D4</v>
      </c>
      <c r="B18" t="str">
        <f t="shared" si="0"/>
        <v>1909</v>
      </c>
      <c r="C18" t="s">
        <v>113</v>
      </c>
      <c r="D18" t="s">
        <v>3</v>
      </c>
      <c r="E18" t="s">
        <v>52</v>
      </c>
      <c r="F18" t="s">
        <v>114</v>
      </c>
      <c r="G18" t="s">
        <v>104</v>
      </c>
      <c r="H18" t="s">
        <v>42</v>
      </c>
      <c r="I18" t="s">
        <v>67</v>
      </c>
      <c r="J18" t="s">
        <v>105</v>
      </c>
      <c r="M18" t="s">
        <v>106</v>
      </c>
      <c r="P18" t="s">
        <v>58</v>
      </c>
      <c r="Q18" t="s">
        <v>47</v>
      </c>
      <c r="R18" t="s">
        <v>48</v>
      </c>
      <c r="V18" t="s">
        <v>49</v>
      </c>
      <c r="X18" t="s">
        <v>49</v>
      </c>
      <c r="Y18" t="s">
        <v>59</v>
      </c>
      <c r="Z18" t="s">
        <v>115</v>
      </c>
      <c r="AA18" t="s">
        <v>115</v>
      </c>
    </row>
    <row r="19" spans="1:27" x14ac:dyDescent="0.35">
      <c r="A19" t="str">
        <f t="shared" si="1"/>
        <v>1909F3</v>
      </c>
      <c r="B19" t="str">
        <f t="shared" si="0"/>
        <v>1909</v>
      </c>
      <c r="C19" t="s">
        <v>116</v>
      </c>
      <c r="D19" t="s">
        <v>5</v>
      </c>
      <c r="E19" t="s">
        <v>40</v>
      </c>
      <c r="F19" t="s">
        <v>73</v>
      </c>
      <c r="G19" t="s">
        <v>104</v>
      </c>
      <c r="H19" t="s">
        <v>42</v>
      </c>
      <c r="I19" t="s">
        <v>67</v>
      </c>
      <c r="J19" t="s">
        <v>105</v>
      </c>
      <c r="M19" t="s">
        <v>106</v>
      </c>
      <c r="P19" t="s">
        <v>46</v>
      </c>
      <c r="Q19" t="s">
        <v>47</v>
      </c>
      <c r="R19" t="s">
        <v>48</v>
      </c>
      <c r="V19" t="s">
        <v>49</v>
      </c>
      <c r="X19" t="s">
        <v>49</v>
      </c>
      <c r="Y19" t="s">
        <v>74</v>
      </c>
      <c r="Z19" t="s">
        <v>117</v>
      </c>
      <c r="AA19" t="s">
        <v>118</v>
      </c>
    </row>
    <row r="20" spans="1:27" x14ac:dyDescent="0.35">
      <c r="A20" t="str">
        <f t="shared" si="1"/>
        <v>1909D2</v>
      </c>
      <c r="B20" t="str">
        <f t="shared" si="0"/>
        <v>1909</v>
      </c>
      <c r="C20" t="s">
        <v>119</v>
      </c>
      <c r="D20" t="s">
        <v>2</v>
      </c>
      <c r="E20" t="s">
        <v>62</v>
      </c>
      <c r="F20" t="s">
        <v>120</v>
      </c>
      <c r="G20" t="s">
        <v>104</v>
      </c>
      <c r="H20" t="s">
        <v>42</v>
      </c>
      <c r="I20" t="s">
        <v>67</v>
      </c>
      <c r="J20" t="s">
        <v>105</v>
      </c>
      <c r="M20" t="s">
        <v>106</v>
      </c>
      <c r="P20" t="s">
        <v>58</v>
      </c>
      <c r="Q20" t="s">
        <v>47</v>
      </c>
      <c r="R20" t="s">
        <v>48</v>
      </c>
      <c r="V20" t="s">
        <v>49</v>
      </c>
      <c r="X20" t="s">
        <v>49</v>
      </c>
      <c r="Y20" t="s">
        <v>59</v>
      </c>
      <c r="Z20" t="s">
        <v>121</v>
      </c>
      <c r="AA20" t="s">
        <v>121</v>
      </c>
    </row>
    <row r="21" spans="1:27" x14ac:dyDescent="0.35">
      <c r="A21" t="str">
        <f t="shared" si="1"/>
        <v>1309C2</v>
      </c>
      <c r="B21" t="str">
        <f t="shared" si="0"/>
        <v>1309</v>
      </c>
      <c r="C21" t="s">
        <v>122</v>
      </c>
      <c r="D21" t="s">
        <v>1</v>
      </c>
      <c r="E21" t="s">
        <v>65</v>
      </c>
      <c r="F21" t="s">
        <v>66</v>
      </c>
      <c r="G21" t="s">
        <v>104</v>
      </c>
      <c r="H21" t="s">
        <v>42</v>
      </c>
      <c r="I21" t="s">
        <v>67</v>
      </c>
      <c r="J21" t="s">
        <v>123</v>
      </c>
      <c r="M21" t="s">
        <v>106</v>
      </c>
      <c r="P21" t="s">
        <v>69</v>
      </c>
      <c r="Q21" t="s">
        <v>47</v>
      </c>
      <c r="R21" t="s">
        <v>48</v>
      </c>
      <c r="V21" t="s">
        <v>49</v>
      </c>
      <c r="X21" t="s">
        <v>49</v>
      </c>
      <c r="Y21" t="s">
        <v>70</v>
      </c>
      <c r="Z21" t="s">
        <v>124</v>
      </c>
      <c r="AA21" t="s">
        <v>124</v>
      </c>
    </row>
    <row r="22" spans="1:27" x14ac:dyDescent="0.35">
      <c r="A22" t="str">
        <f t="shared" si="1"/>
        <v>1309F2</v>
      </c>
      <c r="B22" t="str">
        <f t="shared" si="0"/>
        <v>1309</v>
      </c>
      <c r="C22" t="s">
        <v>125</v>
      </c>
      <c r="D22" t="s">
        <v>4</v>
      </c>
      <c r="E22" t="s">
        <v>77</v>
      </c>
      <c r="F22" t="s">
        <v>78</v>
      </c>
      <c r="G22" t="s">
        <v>104</v>
      </c>
      <c r="H22" t="s">
        <v>42</v>
      </c>
      <c r="I22" t="s">
        <v>67</v>
      </c>
      <c r="J22" t="s">
        <v>123</v>
      </c>
      <c r="K22" t="s">
        <v>126</v>
      </c>
      <c r="M22" t="s">
        <v>106</v>
      </c>
      <c r="P22" t="s">
        <v>79</v>
      </c>
      <c r="Q22" t="s">
        <v>47</v>
      </c>
      <c r="R22" t="s">
        <v>48</v>
      </c>
      <c r="V22" t="s">
        <v>49</v>
      </c>
      <c r="X22" t="s">
        <v>49</v>
      </c>
      <c r="Y22" t="s">
        <v>74</v>
      </c>
      <c r="Z22" t="s">
        <v>127</v>
      </c>
      <c r="AA22" t="s">
        <v>127</v>
      </c>
    </row>
    <row r="23" spans="1:27" x14ac:dyDescent="0.35">
      <c r="A23" t="str">
        <f t="shared" si="1"/>
        <v>1309D7</v>
      </c>
      <c r="B23" t="str">
        <f t="shared" si="0"/>
        <v>1309</v>
      </c>
      <c r="C23" t="s">
        <v>128</v>
      </c>
      <c r="D23" t="s">
        <v>6</v>
      </c>
      <c r="E23" t="s">
        <v>94</v>
      </c>
      <c r="F23" t="s">
        <v>111</v>
      </c>
      <c r="G23" t="s">
        <v>104</v>
      </c>
      <c r="H23" t="s">
        <v>42</v>
      </c>
      <c r="I23" t="s">
        <v>67</v>
      </c>
      <c r="J23" t="s">
        <v>123</v>
      </c>
      <c r="M23" t="s">
        <v>106</v>
      </c>
      <c r="P23" t="s">
        <v>46</v>
      </c>
      <c r="Q23" t="s">
        <v>47</v>
      </c>
      <c r="R23" t="s">
        <v>48</v>
      </c>
      <c r="V23" t="s">
        <v>49</v>
      </c>
      <c r="X23" t="s">
        <v>49</v>
      </c>
      <c r="Y23" t="s">
        <v>59</v>
      </c>
      <c r="Z23" t="s">
        <v>129</v>
      </c>
      <c r="AA23" t="s">
        <v>129</v>
      </c>
    </row>
    <row r="24" spans="1:27" x14ac:dyDescent="0.35">
      <c r="A24" t="str">
        <f t="shared" si="1"/>
        <v>1309D4</v>
      </c>
      <c r="B24" t="str">
        <f t="shared" si="0"/>
        <v>1309</v>
      </c>
      <c r="C24" t="s">
        <v>130</v>
      </c>
      <c r="D24" t="s">
        <v>3</v>
      </c>
      <c r="E24" t="s">
        <v>52</v>
      </c>
      <c r="F24" t="s">
        <v>114</v>
      </c>
      <c r="G24" t="s">
        <v>104</v>
      </c>
      <c r="H24" t="s">
        <v>42</v>
      </c>
      <c r="I24" t="s">
        <v>67</v>
      </c>
      <c r="J24" t="s">
        <v>123</v>
      </c>
      <c r="K24" t="s">
        <v>56</v>
      </c>
      <c r="M24" t="s">
        <v>106</v>
      </c>
      <c r="P24" t="s">
        <v>58</v>
      </c>
      <c r="Q24" t="s">
        <v>47</v>
      </c>
      <c r="R24" t="s">
        <v>48</v>
      </c>
      <c r="V24" t="s">
        <v>49</v>
      </c>
      <c r="X24" t="s">
        <v>49</v>
      </c>
      <c r="Y24" t="s">
        <v>59</v>
      </c>
      <c r="Z24" t="s">
        <v>131</v>
      </c>
      <c r="AA24" t="s">
        <v>131</v>
      </c>
    </row>
    <row r="25" spans="1:27" x14ac:dyDescent="0.35">
      <c r="A25" t="str">
        <f t="shared" si="1"/>
        <v>1309F3</v>
      </c>
      <c r="B25" t="str">
        <f t="shared" si="0"/>
        <v>1309</v>
      </c>
      <c r="C25" t="s">
        <v>132</v>
      </c>
      <c r="D25" t="s">
        <v>5</v>
      </c>
      <c r="E25" t="s">
        <v>40</v>
      </c>
      <c r="F25" t="s">
        <v>73</v>
      </c>
      <c r="G25" t="s">
        <v>104</v>
      </c>
      <c r="H25" t="s">
        <v>42</v>
      </c>
      <c r="I25" t="s">
        <v>67</v>
      </c>
      <c r="J25" t="s">
        <v>123</v>
      </c>
      <c r="M25" t="s">
        <v>106</v>
      </c>
      <c r="P25" t="s">
        <v>46</v>
      </c>
      <c r="Q25" t="s">
        <v>47</v>
      </c>
      <c r="R25" t="s">
        <v>48</v>
      </c>
      <c r="V25" t="s">
        <v>49</v>
      </c>
      <c r="X25" t="s">
        <v>49</v>
      </c>
      <c r="Y25" t="s">
        <v>74</v>
      </c>
      <c r="Z25" t="s">
        <v>133</v>
      </c>
      <c r="AA25" t="s">
        <v>133</v>
      </c>
    </row>
    <row r="26" spans="1:27" x14ac:dyDescent="0.35">
      <c r="A26" t="str">
        <f t="shared" si="1"/>
        <v>1309D2</v>
      </c>
      <c r="B26" t="str">
        <f t="shared" si="0"/>
        <v>1309</v>
      </c>
      <c r="C26" t="s">
        <v>134</v>
      </c>
      <c r="D26" t="s">
        <v>2</v>
      </c>
      <c r="E26" t="s">
        <v>62</v>
      </c>
      <c r="F26" t="s">
        <v>120</v>
      </c>
      <c r="G26" t="s">
        <v>104</v>
      </c>
      <c r="H26" t="s">
        <v>42</v>
      </c>
      <c r="I26" t="s">
        <v>67</v>
      </c>
      <c r="J26" t="s">
        <v>123</v>
      </c>
      <c r="M26" t="s">
        <v>106</v>
      </c>
      <c r="P26" t="s">
        <v>58</v>
      </c>
      <c r="Q26" t="s">
        <v>47</v>
      </c>
      <c r="R26" t="s">
        <v>48</v>
      </c>
      <c r="V26" t="s">
        <v>49</v>
      </c>
      <c r="X26" t="s">
        <v>49</v>
      </c>
      <c r="Y26" t="s">
        <v>59</v>
      </c>
      <c r="Z26" t="s">
        <v>135</v>
      </c>
      <c r="AA26" t="s">
        <v>135</v>
      </c>
    </row>
    <row r="27" spans="1:27" x14ac:dyDescent="0.35">
      <c r="A27" t="str">
        <f t="shared" si="1"/>
        <v>3301F2</v>
      </c>
      <c r="B27" t="str">
        <f t="shared" si="0"/>
        <v>3301</v>
      </c>
      <c r="C27" t="s">
        <v>136</v>
      </c>
      <c r="D27" t="s">
        <v>4</v>
      </c>
      <c r="E27" t="s">
        <v>77</v>
      </c>
      <c r="F27" t="s">
        <v>78</v>
      </c>
      <c r="G27" t="s">
        <v>104</v>
      </c>
      <c r="H27" t="s">
        <v>42</v>
      </c>
      <c r="I27" t="s">
        <v>67</v>
      </c>
      <c r="J27" t="s">
        <v>137</v>
      </c>
      <c r="M27" t="s">
        <v>106</v>
      </c>
      <c r="P27" t="s">
        <v>138</v>
      </c>
      <c r="Q27" t="s">
        <v>47</v>
      </c>
      <c r="R27" t="s">
        <v>48</v>
      </c>
      <c r="V27" t="s">
        <v>49</v>
      </c>
      <c r="X27" t="s">
        <v>49</v>
      </c>
      <c r="Y27" t="s">
        <v>74</v>
      </c>
      <c r="Z27" t="s">
        <v>139</v>
      </c>
      <c r="AA27" t="s">
        <v>139</v>
      </c>
    </row>
    <row r="28" spans="1:27" x14ac:dyDescent="0.35">
      <c r="A28" t="str">
        <f t="shared" si="1"/>
        <v>3301D4</v>
      </c>
      <c r="B28" t="str">
        <f t="shared" si="0"/>
        <v>3301</v>
      </c>
      <c r="C28" t="s">
        <v>140</v>
      </c>
      <c r="D28" t="s">
        <v>3</v>
      </c>
      <c r="E28" t="s">
        <v>52</v>
      </c>
      <c r="F28" t="s">
        <v>53</v>
      </c>
      <c r="G28" t="s">
        <v>104</v>
      </c>
      <c r="H28" t="s">
        <v>42</v>
      </c>
      <c r="I28" t="s">
        <v>67</v>
      </c>
      <c r="J28" t="s">
        <v>137</v>
      </c>
      <c r="K28" t="s">
        <v>56</v>
      </c>
      <c r="M28" t="s">
        <v>106</v>
      </c>
      <c r="P28" t="s">
        <v>58</v>
      </c>
      <c r="Q28" t="s">
        <v>47</v>
      </c>
      <c r="R28" t="s">
        <v>48</v>
      </c>
      <c r="V28" t="s">
        <v>49</v>
      </c>
      <c r="X28" t="s">
        <v>49</v>
      </c>
      <c r="Y28" t="s">
        <v>59</v>
      </c>
      <c r="Z28" t="s">
        <v>3591</v>
      </c>
      <c r="AA28" t="s">
        <v>3591</v>
      </c>
    </row>
    <row r="29" spans="1:27" x14ac:dyDescent="0.35">
      <c r="A29" t="str">
        <f t="shared" si="1"/>
        <v>3301D2</v>
      </c>
      <c r="B29" t="str">
        <f t="shared" si="0"/>
        <v>3301</v>
      </c>
      <c r="C29" t="s">
        <v>141</v>
      </c>
      <c r="D29" t="s">
        <v>2</v>
      </c>
      <c r="E29" t="s">
        <v>62</v>
      </c>
      <c r="F29" t="s">
        <v>63</v>
      </c>
      <c r="G29" t="s">
        <v>104</v>
      </c>
      <c r="H29" t="s">
        <v>42</v>
      </c>
      <c r="I29" t="s">
        <v>67</v>
      </c>
      <c r="J29" t="s">
        <v>137</v>
      </c>
      <c r="K29" t="s">
        <v>56</v>
      </c>
      <c r="M29" t="s">
        <v>106</v>
      </c>
      <c r="P29" t="s">
        <v>58</v>
      </c>
      <c r="Q29" t="s">
        <v>47</v>
      </c>
      <c r="R29" t="s">
        <v>48</v>
      </c>
      <c r="V29" t="s">
        <v>49</v>
      </c>
      <c r="X29" t="s">
        <v>49</v>
      </c>
      <c r="Y29" t="s">
        <v>59</v>
      </c>
      <c r="Z29" t="s">
        <v>3592</v>
      </c>
      <c r="AA29" t="s">
        <v>3592</v>
      </c>
    </row>
    <row r="30" spans="1:27" x14ac:dyDescent="0.35">
      <c r="A30" t="str">
        <f t="shared" si="1"/>
        <v>3301F3</v>
      </c>
      <c r="B30" t="str">
        <f t="shared" si="0"/>
        <v>3301</v>
      </c>
      <c r="C30" t="s">
        <v>142</v>
      </c>
      <c r="D30" t="s">
        <v>5</v>
      </c>
      <c r="E30" t="s">
        <v>40</v>
      </c>
      <c r="F30" t="s">
        <v>73</v>
      </c>
      <c r="G30" t="s">
        <v>104</v>
      </c>
      <c r="H30" t="s">
        <v>42</v>
      </c>
      <c r="I30" t="s">
        <v>67</v>
      </c>
      <c r="J30" t="s">
        <v>137</v>
      </c>
      <c r="M30" t="s">
        <v>106</v>
      </c>
      <c r="P30" t="s">
        <v>46</v>
      </c>
      <c r="Q30" t="s">
        <v>47</v>
      </c>
      <c r="R30" t="s">
        <v>48</v>
      </c>
      <c r="V30" t="s">
        <v>49</v>
      </c>
      <c r="X30" t="s">
        <v>49</v>
      </c>
      <c r="Y30" t="s">
        <v>74</v>
      </c>
      <c r="Z30" t="s">
        <v>143</v>
      </c>
      <c r="AA30" t="s">
        <v>143</v>
      </c>
    </row>
    <row r="31" spans="1:27" x14ac:dyDescent="0.35">
      <c r="A31" t="str">
        <f t="shared" si="1"/>
        <v>3301C2</v>
      </c>
      <c r="B31" t="str">
        <f t="shared" si="0"/>
        <v>3301</v>
      </c>
      <c r="C31" t="s">
        <v>144</v>
      </c>
      <c r="D31" t="s">
        <v>1</v>
      </c>
      <c r="E31" t="s">
        <v>65</v>
      </c>
      <c r="F31" t="s">
        <v>66</v>
      </c>
      <c r="G31" t="s">
        <v>104</v>
      </c>
      <c r="H31" t="s">
        <v>42</v>
      </c>
      <c r="I31" t="s">
        <v>67</v>
      </c>
      <c r="J31" t="s">
        <v>137</v>
      </c>
      <c r="M31" t="s">
        <v>106</v>
      </c>
      <c r="P31" t="s">
        <v>69</v>
      </c>
      <c r="Q31" t="s">
        <v>47</v>
      </c>
      <c r="R31" t="s">
        <v>48</v>
      </c>
      <c r="V31" t="s">
        <v>49</v>
      </c>
      <c r="X31" t="s">
        <v>49</v>
      </c>
      <c r="Y31" t="s">
        <v>70</v>
      </c>
      <c r="Z31" t="s">
        <v>3592</v>
      </c>
      <c r="AA31" t="s">
        <v>3592</v>
      </c>
    </row>
    <row r="32" spans="1:27" x14ac:dyDescent="0.35">
      <c r="A32" t="str">
        <f t="shared" si="1"/>
        <v>3301D7</v>
      </c>
      <c r="B32" t="str">
        <f t="shared" si="0"/>
        <v>3301</v>
      </c>
      <c r="C32" t="s">
        <v>145</v>
      </c>
      <c r="D32" t="s">
        <v>6</v>
      </c>
      <c r="E32" t="s">
        <v>94</v>
      </c>
      <c r="F32" t="s">
        <v>111</v>
      </c>
      <c r="G32" t="s">
        <v>104</v>
      </c>
      <c r="H32" t="s">
        <v>42</v>
      </c>
      <c r="I32" t="s">
        <v>67</v>
      </c>
      <c r="J32" t="s">
        <v>137</v>
      </c>
      <c r="M32" t="s">
        <v>106</v>
      </c>
      <c r="P32" t="s">
        <v>46</v>
      </c>
      <c r="Q32" t="s">
        <v>47</v>
      </c>
      <c r="R32" t="s">
        <v>48</v>
      </c>
      <c r="V32" t="s">
        <v>49</v>
      </c>
      <c r="X32" t="s">
        <v>49</v>
      </c>
      <c r="Y32" t="s">
        <v>59</v>
      </c>
      <c r="Z32" t="s">
        <v>146</v>
      </c>
      <c r="AA32" t="s">
        <v>146</v>
      </c>
    </row>
    <row r="33" spans="1:27" x14ac:dyDescent="0.35">
      <c r="A33" t="str">
        <f t="shared" si="1"/>
        <v>3302F2</v>
      </c>
      <c r="B33" t="str">
        <f t="shared" si="0"/>
        <v>3302</v>
      </c>
      <c r="C33" t="s">
        <v>147</v>
      </c>
      <c r="D33" t="s">
        <v>4</v>
      </c>
      <c r="E33" t="s">
        <v>77</v>
      </c>
      <c r="F33" t="s">
        <v>78</v>
      </c>
      <c r="G33" t="s">
        <v>104</v>
      </c>
      <c r="H33" t="s">
        <v>42</v>
      </c>
      <c r="I33" t="s">
        <v>67</v>
      </c>
      <c r="J33" t="s">
        <v>148</v>
      </c>
      <c r="M33" t="s">
        <v>106</v>
      </c>
      <c r="P33" t="s">
        <v>91</v>
      </c>
      <c r="Q33" t="s">
        <v>47</v>
      </c>
      <c r="R33" t="s">
        <v>48</v>
      </c>
      <c r="V33" t="s">
        <v>49</v>
      </c>
      <c r="X33" t="s">
        <v>49</v>
      </c>
      <c r="Y33" t="s">
        <v>74</v>
      </c>
      <c r="Z33" t="s">
        <v>149</v>
      </c>
      <c r="AA33" t="s">
        <v>149</v>
      </c>
    </row>
    <row r="34" spans="1:27" x14ac:dyDescent="0.35">
      <c r="A34" t="str">
        <f t="shared" si="1"/>
        <v>3302D4</v>
      </c>
      <c r="B34" t="str">
        <f t="shared" si="0"/>
        <v>3302</v>
      </c>
      <c r="C34" t="s">
        <v>150</v>
      </c>
      <c r="D34" t="s">
        <v>3</v>
      </c>
      <c r="E34" t="s">
        <v>52</v>
      </c>
      <c r="F34" t="s">
        <v>53</v>
      </c>
      <c r="G34" t="s">
        <v>104</v>
      </c>
      <c r="H34" t="s">
        <v>42</v>
      </c>
      <c r="I34" t="s">
        <v>67</v>
      </c>
      <c r="J34" t="s">
        <v>148</v>
      </c>
      <c r="K34" t="s">
        <v>56</v>
      </c>
      <c r="M34" t="s">
        <v>106</v>
      </c>
      <c r="P34" t="s">
        <v>58</v>
      </c>
      <c r="Q34" t="s">
        <v>47</v>
      </c>
      <c r="R34" t="s">
        <v>48</v>
      </c>
      <c r="V34" t="s">
        <v>49</v>
      </c>
      <c r="X34" t="s">
        <v>49</v>
      </c>
      <c r="Y34" t="s">
        <v>59</v>
      </c>
      <c r="Z34" t="s">
        <v>3591</v>
      </c>
      <c r="AA34" t="s">
        <v>3591</v>
      </c>
    </row>
    <row r="35" spans="1:27" x14ac:dyDescent="0.35">
      <c r="A35" t="str">
        <f t="shared" si="1"/>
        <v>3302D2</v>
      </c>
      <c r="B35" t="str">
        <f t="shared" si="0"/>
        <v>3302</v>
      </c>
      <c r="C35" t="s">
        <v>151</v>
      </c>
      <c r="D35" t="s">
        <v>2</v>
      </c>
      <c r="E35" t="s">
        <v>62</v>
      </c>
      <c r="F35" t="s">
        <v>63</v>
      </c>
      <c r="G35" t="s">
        <v>104</v>
      </c>
      <c r="H35" t="s">
        <v>42</v>
      </c>
      <c r="I35" t="s">
        <v>67</v>
      </c>
      <c r="J35" t="s">
        <v>148</v>
      </c>
      <c r="K35" t="s">
        <v>56</v>
      </c>
      <c r="M35" t="s">
        <v>106</v>
      </c>
      <c r="P35" t="s">
        <v>58</v>
      </c>
      <c r="Q35" t="s">
        <v>47</v>
      </c>
      <c r="R35" t="s">
        <v>48</v>
      </c>
      <c r="V35" t="s">
        <v>49</v>
      </c>
      <c r="X35" t="s">
        <v>49</v>
      </c>
      <c r="Y35" t="s">
        <v>59</v>
      </c>
      <c r="Z35" t="s">
        <v>3593</v>
      </c>
      <c r="AA35" t="s">
        <v>3593</v>
      </c>
    </row>
    <row r="36" spans="1:27" x14ac:dyDescent="0.35">
      <c r="A36" t="str">
        <f t="shared" si="1"/>
        <v>3302F3</v>
      </c>
      <c r="B36" t="str">
        <f t="shared" si="0"/>
        <v>3302</v>
      </c>
      <c r="C36" t="s">
        <v>152</v>
      </c>
      <c r="D36" t="s">
        <v>5</v>
      </c>
      <c r="E36" t="s">
        <v>40</v>
      </c>
      <c r="F36" t="s">
        <v>73</v>
      </c>
      <c r="G36" t="s">
        <v>104</v>
      </c>
      <c r="H36" t="s">
        <v>42</v>
      </c>
      <c r="I36" t="s">
        <v>67</v>
      </c>
      <c r="J36" t="s">
        <v>148</v>
      </c>
      <c r="M36" t="s">
        <v>106</v>
      </c>
      <c r="P36" t="s">
        <v>46</v>
      </c>
      <c r="Q36" t="s">
        <v>47</v>
      </c>
      <c r="R36" t="s">
        <v>48</v>
      </c>
      <c r="V36" t="s">
        <v>49</v>
      </c>
      <c r="X36" t="s">
        <v>49</v>
      </c>
      <c r="Y36" t="s">
        <v>74</v>
      </c>
      <c r="Z36" t="s">
        <v>153</v>
      </c>
      <c r="AA36" t="s">
        <v>153</v>
      </c>
    </row>
    <row r="37" spans="1:27" x14ac:dyDescent="0.35">
      <c r="A37" t="str">
        <f t="shared" si="1"/>
        <v>3302C2</v>
      </c>
      <c r="B37" t="str">
        <f t="shared" si="0"/>
        <v>3302</v>
      </c>
      <c r="C37" t="s">
        <v>154</v>
      </c>
      <c r="D37" t="s">
        <v>1</v>
      </c>
      <c r="E37" t="s">
        <v>65</v>
      </c>
      <c r="F37" t="s">
        <v>66</v>
      </c>
      <c r="G37" t="s">
        <v>104</v>
      </c>
      <c r="H37" t="s">
        <v>42</v>
      </c>
      <c r="I37" t="s">
        <v>67</v>
      </c>
      <c r="J37" t="s">
        <v>148</v>
      </c>
      <c r="M37" t="s">
        <v>106</v>
      </c>
      <c r="P37" t="s">
        <v>69</v>
      </c>
      <c r="Q37" t="s">
        <v>47</v>
      </c>
      <c r="R37" t="s">
        <v>48</v>
      </c>
      <c r="V37" t="s">
        <v>49</v>
      </c>
      <c r="X37" t="s">
        <v>49</v>
      </c>
      <c r="Y37" t="s">
        <v>70</v>
      </c>
      <c r="Z37" t="s">
        <v>3593</v>
      </c>
      <c r="AA37" t="s">
        <v>3593</v>
      </c>
    </row>
    <row r="38" spans="1:27" x14ac:dyDescent="0.35">
      <c r="A38" t="str">
        <f t="shared" si="1"/>
        <v>3302D7</v>
      </c>
      <c r="B38" t="str">
        <f t="shared" si="0"/>
        <v>3302</v>
      </c>
      <c r="C38" t="s">
        <v>155</v>
      </c>
      <c r="D38" t="s">
        <v>6</v>
      </c>
      <c r="E38" t="s">
        <v>94</v>
      </c>
      <c r="F38" t="s">
        <v>111</v>
      </c>
      <c r="G38" t="s">
        <v>104</v>
      </c>
      <c r="H38" t="s">
        <v>42</v>
      </c>
      <c r="I38" t="s">
        <v>67</v>
      </c>
      <c r="J38" t="s">
        <v>148</v>
      </c>
      <c r="M38" t="s">
        <v>106</v>
      </c>
      <c r="P38" t="s">
        <v>46</v>
      </c>
      <c r="Q38" t="s">
        <v>47</v>
      </c>
      <c r="R38" t="s">
        <v>48</v>
      </c>
      <c r="V38" t="s">
        <v>49</v>
      </c>
      <c r="X38" t="s">
        <v>49</v>
      </c>
      <c r="Y38" t="s">
        <v>59</v>
      </c>
      <c r="Z38" t="s">
        <v>146</v>
      </c>
      <c r="AA38" t="s">
        <v>146</v>
      </c>
    </row>
    <row r="39" spans="1:27" x14ac:dyDescent="0.35">
      <c r="A39" t="str">
        <f t="shared" si="1"/>
        <v>3303F2</v>
      </c>
      <c r="B39" t="str">
        <f t="shared" si="0"/>
        <v>3303</v>
      </c>
      <c r="C39" t="s">
        <v>156</v>
      </c>
      <c r="D39" t="s">
        <v>4</v>
      </c>
      <c r="E39" t="s">
        <v>77</v>
      </c>
      <c r="F39" t="s">
        <v>78</v>
      </c>
      <c r="G39" t="s">
        <v>104</v>
      </c>
      <c r="H39" t="s">
        <v>42</v>
      </c>
      <c r="I39" t="s">
        <v>67</v>
      </c>
      <c r="J39" t="s">
        <v>157</v>
      </c>
      <c r="M39" t="s">
        <v>106</v>
      </c>
      <c r="P39" t="s">
        <v>91</v>
      </c>
      <c r="Q39" t="s">
        <v>47</v>
      </c>
      <c r="R39" t="s">
        <v>48</v>
      </c>
      <c r="V39" t="s">
        <v>49</v>
      </c>
      <c r="X39" t="s">
        <v>49</v>
      </c>
      <c r="Y39" t="s">
        <v>74</v>
      </c>
      <c r="Z39" t="s">
        <v>158</v>
      </c>
      <c r="AA39" t="s">
        <v>158</v>
      </c>
    </row>
    <row r="40" spans="1:27" x14ac:dyDescent="0.35">
      <c r="A40" t="str">
        <f t="shared" si="1"/>
        <v>3303D4</v>
      </c>
      <c r="B40" t="str">
        <f t="shared" si="0"/>
        <v>3303</v>
      </c>
      <c r="C40" t="s">
        <v>159</v>
      </c>
      <c r="D40" t="s">
        <v>3</v>
      </c>
      <c r="E40" t="s">
        <v>52</v>
      </c>
      <c r="F40" t="s">
        <v>53</v>
      </c>
      <c r="G40" t="s">
        <v>104</v>
      </c>
      <c r="H40" t="s">
        <v>42</v>
      </c>
      <c r="I40" t="s">
        <v>67</v>
      </c>
      <c r="J40" t="s">
        <v>157</v>
      </c>
      <c r="K40" t="s">
        <v>56</v>
      </c>
      <c r="M40" t="s">
        <v>106</v>
      </c>
      <c r="P40" t="s">
        <v>58</v>
      </c>
      <c r="Q40" t="s">
        <v>47</v>
      </c>
      <c r="R40" t="s">
        <v>48</v>
      </c>
      <c r="V40" t="s">
        <v>49</v>
      </c>
      <c r="X40" t="s">
        <v>49</v>
      </c>
      <c r="Y40" t="s">
        <v>59</v>
      </c>
      <c r="Z40" t="s">
        <v>102</v>
      </c>
      <c r="AA40" t="s">
        <v>102</v>
      </c>
    </row>
    <row r="41" spans="1:27" x14ac:dyDescent="0.35">
      <c r="A41" t="str">
        <f t="shared" si="1"/>
        <v>3303D2</v>
      </c>
      <c r="B41" t="str">
        <f t="shared" si="0"/>
        <v>3303</v>
      </c>
      <c r="C41" t="s">
        <v>160</v>
      </c>
      <c r="D41" t="s">
        <v>2</v>
      </c>
      <c r="E41" t="s">
        <v>62</v>
      </c>
      <c r="F41" t="s">
        <v>63</v>
      </c>
      <c r="G41" t="s">
        <v>104</v>
      </c>
      <c r="H41" t="s">
        <v>42</v>
      </c>
      <c r="I41" t="s">
        <v>67</v>
      </c>
      <c r="J41" t="s">
        <v>157</v>
      </c>
      <c r="K41" t="s">
        <v>56</v>
      </c>
      <c r="M41" t="s">
        <v>106</v>
      </c>
      <c r="P41" t="s">
        <v>58</v>
      </c>
      <c r="Q41" t="s">
        <v>47</v>
      </c>
      <c r="R41" t="s">
        <v>48</v>
      </c>
      <c r="V41" t="s">
        <v>49</v>
      </c>
      <c r="X41" t="s">
        <v>49</v>
      </c>
      <c r="Y41" t="s">
        <v>59</v>
      </c>
      <c r="Z41" t="s">
        <v>161</v>
      </c>
      <c r="AA41" t="s">
        <v>162</v>
      </c>
    </row>
    <row r="42" spans="1:27" x14ac:dyDescent="0.35">
      <c r="A42" t="str">
        <f t="shared" si="1"/>
        <v>3303F3</v>
      </c>
      <c r="B42" t="str">
        <f t="shared" si="0"/>
        <v>3303</v>
      </c>
      <c r="C42" t="s">
        <v>163</v>
      </c>
      <c r="D42" t="s">
        <v>5</v>
      </c>
      <c r="E42" t="s">
        <v>40</v>
      </c>
      <c r="F42" t="s">
        <v>73</v>
      </c>
      <c r="G42" t="s">
        <v>104</v>
      </c>
      <c r="H42" t="s">
        <v>42</v>
      </c>
      <c r="I42" t="s">
        <v>67</v>
      </c>
      <c r="J42" t="s">
        <v>157</v>
      </c>
      <c r="M42" t="s">
        <v>106</v>
      </c>
      <c r="P42" t="s">
        <v>46</v>
      </c>
      <c r="Q42" t="s">
        <v>47</v>
      </c>
      <c r="R42" t="s">
        <v>48</v>
      </c>
      <c r="V42" t="s">
        <v>49</v>
      </c>
      <c r="X42" t="s">
        <v>49</v>
      </c>
      <c r="Y42" t="s">
        <v>74</v>
      </c>
      <c r="Z42" t="s">
        <v>158</v>
      </c>
      <c r="AA42" t="s">
        <v>158</v>
      </c>
    </row>
    <row r="43" spans="1:27" x14ac:dyDescent="0.35">
      <c r="A43" t="str">
        <f t="shared" si="1"/>
        <v>3303C2</v>
      </c>
      <c r="B43" t="str">
        <f t="shared" si="0"/>
        <v>3303</v>
      </c>
      <c r="C43" t="s">
        <v>164</v>
      </c>
      <c r="D43" t="s">
        <v>1</v>
      </c>
      <c r="E43" t="s">
        <v>65</v>
      </c>
      <c r="F43" t="s">
        <v>66</v>
      </c>
      <c r="G43" t="s">
        <v>104</v>
      </c>
      <c r="H43" t="s">
        <v>42</v>
      </c>
      <c r="I43" t="s">
        <v>67</v>
      </c>
      <c r="J43" t="s">
        <v>157</v>
      </c>
      <c r="M43" t="s">
        <v>106</v>
      </c>
      <c r="P43" t="s">
        <v>69</v>
      </c>
      <c r="Q43" t="s">
        <v>47</v>
      </c>
      <c r="R43" t="s">
        <v>48</v>
      </c>
      <c r="V43" t="s">
        <v>49</v>
      </c>
      <c r="X43" t="s">
        <v>49</v>
      </c>
      <c r="Y43" t="s">
        <v>70</v>
      </c>
      <c r="Z43" t="s">
        <v>102</v>
      </c>
      <c r="AA43" t="s">
        <v>102</v>
      </c>
    </row>
    <row r="44" spans="1:27" x14ac:dyDescent="0.35">
      <c r="A44" t="str">
        <f t="shared" si="1"/>
        <v>3303D7</v>
      </c>
      <c r="B44" t="str">
        <f t="shared" si="0"/>
        <v>3303</v>
      </c>
      <c r="C44" t="s">
        <v>165</v>
      </c>
      <c r="D44" t="s">
        <v>6</v>
      </c>
      <c r="E44" t="s">
        <v>94</v>
      </c>
      <c r="F44" t="s">
        <v>111</v>
      </c>
      <c r="G44" t="s">
        <v>104</v>
      </c>
      <c r="H44" t="s">
        <v>42</v>
      </c>
      <c r="I44" t="s">
        <v>67</v>
      </c>
      <c r="J44" t="s">
        <v>157</v>
      </c>
      <c r="M44" t="s">
        <v>106</v>
      </c>
      <c r="P44" t="s">
        <v>46</v>
      </c>
      <c r="Q44" t="s">
        <v>47</v>
      </c>
      <c r="R44" t="s">
        <v>48</v>
      </c>
      <c r="V44" t="s">
        <v>49</v>
      </c>
      <c r="X44" t="s">
        <v>49</v>
      </c>
      <c r="Y44" t="s">
        <v>59</v>
      </c>
      <c r="Z44" t="s">
        <v>166</v>
      </c>
      <c r="AA44" t="s">
        <v>166</v>
      </c>
    </row>
    <row r="45" spans="1:27" x14ac:dyDescent="0.35">
      <c r="A45" t="str">
        <f t="shared" si="1"/>
        <v>3304F2</v>
      </c>
      <c r="B45" t="str">
        <f t="shared" si="0"/>
        <v>3304</v>
      </c>
      <c r="C45" t="s">
        <v>167</v>
      </c>
      <c r="D45" t="s">
        <v>4</v>
      </c>
      <c r="E45" t="s">
        <v>77</v>
      </c>
      <c r="F45" t="s">
        <v>78</v>
      </c>
      <c r="G45" t="s">
        <v>104</v>
      </c>
      <c r="H45" t="s">
        <v>42</v>
      </c>
      <c r="I45" t="s">
        <v>67</v>
      </c>
      <c r="J45" t="s">
        <v>168</v>
      </c>
      <c r="M45" t="s">
        <v>106</v>
      </c>
      <c r="P45" t="s">
        <v>138</v>
      </c>
      <c r="Q45" t="s">
        <v>47</v>
      </c>
      <c r="R45" t="s">
        <v>48</v>
      </c>
      <c r="V45" t="s">
        <v>49</v>
      </c>
      <c r="X45" t="s">
        <v>49</v>
      </c>
      <c r="Y45" t="s">
        <v>74</v>
      </c>
      <c r="Z45" t="s">
        <v>169</v>
      </c>
      <c r="AA45" t="s">
        <v>169</v>
      </c>
    </row>
    <row r="46" spans="1:27" x14ac:dyDescent="0.35">
      <c r="A46" t="str">
        <f t="shared" si="1"/>
        <v>3304D4</v>
      </c>
      <c r="B46" t="str">
        <f t="shared" si="0"/>
        <v>3304</v>
      </c>
      <c r="C46" t="s">
        <v>170</v>
      </c>
      <c r="D46" t="s">
        <v>3</v>
      </c>
      <c r="E46" t="s">
        <v>52</v>
      </c>
      <c r="F46" t="s">
        <v>53</v>
      </c>
      <c r="G46" t="s">
        <v>104</v>
      </c>
      <c r="H46" t="s">
        <v>42</v>
      </c>
      <c r="I46" t="s">
        <v>67</v>
      </c>
      <c r="J46" t="s">
        <v>168</v>
      </c>
      <c r="K46" t="s">
        <v>56</v>
      </c>
      <c r="M46" t="s">
        <v>106</v>
      </c>
      <c r="P46" t="s">
        <v>58</v>
      </c>
      <c r="Q46" t="s">
        <v>47</v>
      </c>
      <c r="R46" t="s">
        <v>48</v>
      </c>
      <c r="V46" t="s">
        <v>49</v>
      </c>
      <c r="X46" t="s">
        <v>49</v>
      </c>
      <c r="Y46" t="s">
        <v>59</v>
      </c>
      <c r="Z46" t="s">
        <v>102</v>
      </c>
      <c r="AA46" t="s">
        <v>102</v>
      </c>
    </row>
    <row r="47" spans="1:27" x14ac:dyDescent="0.35">
      <c r="A47" t="str">
        <f t="shared" si="1"/>
        <v>3304D2</v>
      </c>
      <c r="B47" t="str">
        <f t="shared" si="0"/>
        <v>3304</v>
      </c>
      <c r="C47" t="s">
        <v>171</v>
      </c>
      <c r="D47" t="s">
        <v>2</v>
      </c>
      <c r="E47" t="s">
        <v>62</v>
      </c>
      <c r="F47" t="s">
        <v>63</v>
      </c>
      <c r="G47" t="s">
        <v>104</v>
      </c>
      <c r="H47" t="s">
        <v>42</v>
      </c>
      <c r="I47" t="s">
        <v>43</v>
      </c>
      <c r="J47" t="s">
        <v>168</v>
      </c>
      <c r="K47" t="s">
        <v>56</v>
      </c>
      <c r="M47" t="s">
        <v>106</v>
      </c>
      <c r="P47" t="s">
        <v>69</v>
      </c>
      <c r="Q47" t="s">
        <v>47</v>
      </c>
      <c r="R47" t="s">
        <v>48</v>
      </c>
      <c r="V47" t="s">
        <v>49</v>
      </c>
      <c r="X47" t="s">
        <v>49</v>
      </c>
      <c r="Y47" t="s">
        <v>59</v>
      </c>
      <c r="Z47" t="s">
        <v>162</v>
      </c>
      <c r="AA47" t="s">
        <v>162</v>
      </c>
    </row>
    <row r="48" spans="1:27" x14ac:dyDescent="0.35">
      <c r="A48" t="str">
        <f t="shared" si="1"/>
        <v>3304F3</v>
      </c>
      <c r="B48" t="str">
        <f t="shared" si="0"/>
        <v>3304</v>
      </c>
      <c r="C48" t="s">
        <v>172</v>
      </c>
      <c r="D48" t="s">
        <v>5</v>
      </c>
      <c r="E48" t="s">
        <v>40</v>
      </c>
      <c r="F48" t="s">
        <v>73</v>
      </c>
      <c r="G48" t="s">
        <v>104</v>
      </c>
      <c r="H48" t="s">
        <v>42</v>
      </c>
      <c r="I48" t="s">
        <v>67</v>
      </c>
      <c r="J48" t="s">
        <v>168</v>
      </c>
      <c r="M48" t="s">
        <v>106</v>
      </c>
      <c r="P48" t="s">
        <v>46</v>
      </c>
      <c r="Q48" t="s">
        <v>47</v>
      </c>
      <c r="R48" t="s">
        <v>48</v>
      </c>
      <c r="V48" t="s">
        <v>49</v>
      </c>
      <c r="X48" t="s">
        <v>49</v>
      </c>
      <c r="Y48" t="s">
        <v>74</v>
      </c>
      <c r="Z48" t="s">
        <v>169</v>
      </c>
      <c r="AA48" t="s">
        <v>169</v>
      </c>
    </row>
    <row r="49" spans="1:27" x14ac:dyDescent="0.35">
      <c r="A49" t="str">
        <f t="shared" si="1"/>
        <v>3304C2</v>
      </c>
      <c r="B49" t="str">
        <f t="shared" si="0"/>
        <v>3304</v>
      </c>
      <c r="C49" t="s">
        <v>173</v>
      </c>
      <c r="D49" t="s">
        <v>1</v>
      </c>
      <c r="E49" t="s">
        <v>65</v>
      </c>
      <c r="F49" t="s">
        <v>66</v>
      </c>
      <c r="G49" t="s">
        <v>104</v>
      </c>
      <c r="H49" t="s">
        <v>42</v>
      </c>
      <c r="I49" t="s">
        <v>67</v>
      </c>
      <c r="J49" t="s">
        <v>168</v>
      </c>
      <c r="M49" t="s">
        <v>106</v>
      </c>
      <c r="P49" t="s">
        <v>69</v>
      </c>
      <c r="Q49" t="s">
        <v>47</v>
      </c>
      <c r="R49" t="s">
        <v>48</v>
      </c>
      <c r="V49" t="s">
        <v>49</v>
      </c>
      <c r="X49" t="s">
        <v>49</v>
      </c>
      <c r="Y49" t="s">
        <v>70</v>
      </c>
      <c r="Z49" t="s">
        <v>174</v>
      </c>
      <c r="AA49" t="s">
        <v>174</v>
      </c>
    </row>
    <row r="50" spans="1:27" x14ac:dyDescent="0.35">
      <c r="A50" t="str">
        <f t="shared" si="1"/>
        <v>3304D7</v>
      </c>
      <c r="B50" t="str">
        <f t="shared" si="0"/>
        <v>3304</v>
      </c>
      <c r="C50" t="s">
        <v>175</v>
      </c>
      <c r="D50" t="s">
        <v>6</v>
      </c>
      <c r="E50" t="s">
        <v>94</v>
      </c>
      <c r="F50" t="s">
        <v>111</v>
      </c>
      <c r="G50" t="s">
        <v>104</v>
      </c>
      <c r="H50" t="s">
        <v>42</v>
      </c>
      <c r="I50" t="s">
        <v>43</v>
      </c>
      <c r="J50" t="s">
        <v>168</v>
      </c>
      <c r="M50" t="s">
        <v>106</v>
      </c>
      <c r="P50" t="s">
        <v>46</v>
      </c>
      <c r="Q50" t="s">
        <v>47</v>
      </c>
      <c r="R50" t="s">
        <v>48</v>
      </c>
      <c r="V50" t="s">
        <v>49</v>
      </c>
      <c r="X50" t="s">
        <v>49</v>
      </c>
      <c r="Y50" t="s">
        <v>59</v>
      </c>
      <c r="Z50" t="s">
        <v>166</v>
      </c>
      <c r="AA50" t="s">
        <v>166</v>
      </c>
    </row>
    <row r="51" spans="1:27" x14ac:dyDescent="0.35">
      <c r="A51" t="str">
        <f t="shared" si="1"/>
        <v>3305F2</v>
      </c>
      <c r="B51" t="str">
        <f t="shared" si="0"/>
        <v>3305</v>
      </c>
      <c r="C51" t="s">
        <v>176</v>
      </c>
      <c r="D51" t="s">
        <v>4</v>
      </c>
      <c r="E51" t="s">
        <v>77</v>
      </c>
      <c r="F51" t="s">
        <v>78</v>
      </c>
      <c r="G51" t="s">
        <v>104</v>
      </c>
      <c r="H51" t="s">
        <v>42</v>
      </c>
      <c r="I51" t="s">
        <v>67</v>
      </c>
      <c r="J51" t="s">
        <v>177</v>
      </c>
      <c r="M51" t="s">
        <v>106</v>
      </c>
      <c r="P51" t="s">
        <v>178</v>
      </c>
      <c r="Q51" t="s">
        <v>47</v>
      </c>
      <c r="R51" t="s">
        <v>48</v>
      </c>
      <c r="V51" t="s">
        <v>49</v>
      </c>
      <c r="X51" t="s">
        <v>49</v>
      </c>
      <c r="Y51" t="s">
        <v>74</v>
      </c>
      <c r="Z51" t="s">
        <v>169</v>
      </c>
      <c r="AA51" t="s">
        <v>169</v>
      </c>
    </row>
    <row r="52" spans="1:27" x14ac:dyDescent="0.35">
      <c r="A52" t="str">
        <f t="shared" si="1"/>
        <v>3305D4</v>
      </c>
      <c r="B52" t="str">
        <f t="shared" si="0"/>
        <v>3305</v>
      </c>
      <c r="C52" t="s">
        <v>179</v>
      </c>
      <c r="D52" t="s">
        <v>3</v>
      </c>
      <c r="E52" t="s">
        <v>52</v>
      </c>
      <c r="F52" t="s">
        <v>53</v>
      </c>
      <c r="G52" t="s">
        <v>104</v>
      </c>
      <c r="H52" t="s">
        <v>42</v>
      </c>
      <c r="I52" t="s">
        <v>43</v>
      </c>
      <c r="J52" t="s">
        <v>177</v>
      </c>
      <c r="K52" t="s">
        <v>56</v>
      </c>
      <c r="M52" t="s">
        <v>106</v>
      </c>
      <c r="P52" t="s">
        <v>58</v>
      </c>
      <c r="Q52" t="s">
        <v>47</v>
      </c>
      <c r="R52" t="s">
        <v>48</v>
      </c>
      <c r="V52" t="s">
        <v>49</v>
      </c>
      <c r="X52" t="s">
        <v>49</v>
      </c>
      <c r="Y52" t="s">
        <v>59</v>
      </c>
      <c r="Z52" t="s">
        <v>3591</v>
      </c>
      <c r="AA52" t="s">
        <v>3591</v>
      </c>
    </row>
    <row r="53" spans="1:27" x14ac:dyDescent="0.35">
      <c r="A53" t="str">
        <f t="shared" si="1"/>
        <v>3305D2</v>
      </c>
      <c r="B53" t="str">
        <f t="shared" si="0"/>
        <v>3305</v>
      </c>
      <c r="C53" t="s">
        <v>181</v>
      </c>
      <c r="D53" t="s">
        <v>2</v>
      </c>
      <c r="E53" t="s">
        <v>62</v>
      </c>
      <c r="F53" t="s">
        <v>63</v>
      </c>
      <c r="G53" t="s">
        <v>104</v>
      </c>
      <c r="H53" t="s">
        <v>42</v>
      </c>
      <c r="I53" t="s">
        <v>43</v>
      </c>
      <c r="J53" t="s">
        <v>177</v>
      </c>
      <c r="K53" t="s">
        <v>56</v>
      </c>
      <c r="M53" t="s">
        <v>106</v>
      </c>
      <c r="P53" t="s">
        <v>58</v>
      </c>
      <c r="Q53" t="s">
        <v>47</v>
      </c>
      <c r="R53" t="s">
        <v>48</v>
      </c>
      <c r="V53" t="s">
        <v>49</v>
      </c>
      <c r="X53" t="s">
        <v>49</v>
      </c>
      <c r="Y53" t="s">
        <v>59</v>
      </c>
      <c r="Z53" t="s">
        <v>162</v>
      </c>
      <c r="AA53" t="s">
        <v>162</v>
      </c>
    </row>
    <row r="54" spans="1:27" x14ac:dyDescent="0.35">
      <c r="A54" t="str">
        <f t="shared" si="1"/>
        <v>3305F3</v>
      </c>
      <c r="B54" t="str">
        <f t="shared" si="0"/>
        <v>3305</v>
      </c>
      <c r="C54" t="s">
        <v>182</v>
      </c>
      <c r="D54" t="s">
        <v>5</v>
      </c>
      <c r="E54" t="s">
        <v>40</v>
      </c>
      <c r="F54" t="s">
        <v>73</v>
      </c>
      <c r="G54" t="s">
        <v>104</v>
      </c>
      <c r="H54" t="s">
        <v>42</v>
      </c>
      <c r="I54" t="s">
        <v>67</v>
      </c>
      <c r="J54" t="s">
        <v>177</v>
      </c>
      <c r="M54" t="s">
        <v>106</v>
      </c>
      <c r="P54" t="s">
        <v>46</v>
      </c>
      <c r="Q54" t="s">
        <v>47</v>
      </c>
      <c r="R54" t="s">
        <v>48</v>
      </c>
      <c r="V54" t="s">
        <v>49</v>
      </c>
      <c r="X54" t="s">
        <v>49</v>
      </c>
      <c r="Y54" t="s">
        <v>74</v>
      </c>
      <c r="Z54" t="s">
        <v>183</v>
      </c>
      <c r="AA54" t="s">
        <v>183</v>
      </c>
    </row>
    <row r="55" spans="1:27" x14ac:dyDescent="0.35">
      <c r="A55" t="str">
        <f t="shared" si="1"/>
        <v>3305C2</v>
      </c>
      <c r="B55" t="str">
        <f t="shared" si="0"/>
        <v>3305</v>
      </c>
      <c r="C55" t="s">
        <v>184</v>
      </c>
      <c r="D55" t="s">
        <v>1</v>
      </c>
      <c r="E55" t="s">
        <v>65</v>
      </c>
      <c r="F55" t="s">
        <v>66</v>
      </c>
      <c r="G55" t="s">
        <v>104</v>
      </c>
      <c r="H55" t="s">
        <v>42</v>
      </c>
      <c r="I55" t="s">
        <v>67</v>
      </c>
      <c r="J55" t="s">
        <v>177</v>
      </c>
      <c r="M55" t="s">
        <v>106</v>
      </c>
      <c r="P55" t="s">
        <v>69</v>
      </c>
      <c r="Q55" t="s">
        <v>47</v>
      </c>
      <c r="R55" t="s">
        <v>48</v>
      </c>
      <c r="V55" t="s">
        <v>49</v>
      </c>
      <c r="X55" t="s">
        <v>49</v>
      </c>
      <c r="Y55" t="s">
        <v>70</v>
      </c>
      <c r="Z55" t="s">
        <v>3594</v>
      </c>
      <c r="AA55" t="s">
        <v>3594</v>
      </c>
    </row>
    <row r="56" spans="1:27" x14ac:dyDescent="0.35">
      <c r="A56" t="str">
        <f t="shared" si="1"/>
        <v>3305D7</v>
      </c>
      <c r="B56" t="str">
        <f t="shared" si="0"/>
        <v>3305</v>
      </c>
      <c r="C56" t="s">
        <v>185</v>
      </c>
      <c r="D56" t="s">
        <v>6</v>
      </c>
      <c r="E56" t="s">
        <v>94</v>
      </c>
      <c r="F56" t="s">
        <v>111</v>
      </c>
      <c r="G56" t="s">
        <v>104</v>
      </c>
      <c r="H56" t="s">
        <v>42</v>
      </c>
      <c r="I56" t="s">
        <v>43</v>
      </c>
      <c r="J56" t="s">
        <v>177</v>
      </c>
      <c r="M56" t="s">
        <v>106</v>
      </c>
      <c r="P56" t="s">
        <v>46</v>
      </c>
      <c r="Q56" t="s">
        <v>47</v>
      </c>
      <c r="R56" t="s">
        <v>48</v>
      </c>
      <c r="V56" t="s">
        <v>49</v>
      </c>
      <c r="X56" t="s">
        <v>49</v>
      </c>
      <c r="Y56" t="s">
        <v>59</v>
      </c>
      <c r="Z56" t="s">
        <v>186</v>
      </c>
      <c r="AA56" t="s">
        <v>186</v>
      </c>
    </row>
    <row r="57" spans="1:27" x14ac:dyDescent="0.35">
      <c r="A57" t="str">
        <f t="shared" si="1"/>
        <v>3306F2</v>
      </c>
      <c r="B57" t="str">
        <f t="shared" si="0"/>
        <v>3306</v>
      </c>
      <c r="C57" t="s">
        <v>187</v>
      </c>
      <c r="D57" t="s">
        <v>4</v>
      </c>
      <c r="E57" t="s">
        <v>77</v>
      </c>
      <c r="F57" t="s">
        <v>78</v>
      </c>
      <c r="G57" t="s">
        <v>104</v>
      </c>
      <c r="H57" t="s">
        <v>42</v>
      </c>
      <c r="I57" t="s">
        <v>67</v>
      </c>
      <c r="J57" t="s">
        <v>188</v>
      </c>
      <c r="M57" t="s">
        <v>106</v>
      </c>
      <c r="P57" t="s">
        <v>189</v>
      </c>
      <c r="Q57" t="s">
        <v>47</v>
      </c>
      <c r="R57" t="s">
        <v>48</v>
      </c>
      <c r="V57" t="s">
        <v>49</v>
      </c>
      <c r="X57" t="s">
        <v>49</v>
      </c>
      <c r="Y57" t="s">
        <v>74</v>
      </c>
      <c r="Z57" t="s">
        <v>183</v>
      </c>
      <c r="AA57" t="s">
        <v>183</v>
      </c>
    </row>
    <row r="58" spans="1:27" x14ac:dyDescent="0.35">
      <c r="A58" t="str">
        <f t="shared" si="1"/>
        <v>3306D4</v>
      </c>
      <c r="B58" t="str">
        <f t="shared" si="0"/>
        <v>3306</v>
      </c>
      <c r="C58" t="s">
        <v>190</v>
      </c>
      <c r="D58" t="s">
        <v>3</v>
      </c>
      <c r="E58" t="s">
        <v>52</v>
      </c>
      <c r="F58" t="s">
        <v>53</v>
      </c>
      <c r="G58" t="s">
        <v>104</v>
      </c>
      <c r="H58" t="s">
        <v>42</v>
      </c>
      <c r="I58" t="s">
        <v>43</v>
      </c>
      <c r="J58" t="s">
        <v>188</v>
      </c>
      <c r="K58" t="s">
        <v>56</v>
      </c>
      <c r="M58" t="s">
        <v>106</v>
      </c>
      <c r="P58" t="s">
        <v>58</v>
      </c>
      <c r="Q58" t="s">
        <v>47</v>
      </c>
      <c r="R58" t="s">
        <v>48</v>
      </c>
      <c r="V58" t="s">
        <v>49</v>
      </c>
      <c r="X58" t="s">
        <v>49</v>
      </c>
      <c r="Y58" t="s">
        <v>59</v>
      </c>
      <c r="Z58" t="s">
        <v>191</v>
      </c>
      <c r="AA58" t="s">
        <v>191</v>
      </c>
    </row>
    <row r="59" spans="1:27" x14ac:dyDescent="0.35">
      <c r="A59" t="str">
        <f t="shared" si="1"/>
        <v>3306D2</v>
      </c>
      <c r="B59" t="str">
        <f t="shared" si="0"/>
        <v>3306</v>
      </c>
      <c r="C59" t="s">
        <v>192</v>
      </c>
      <c r="D59" t="s">
        <v>2</v>
      </c>
      <c r="E59" t="s">
        <v>62</v>
      </c>
      <c r="F59" t="s">
        <v>63</v>
      </c>
      <c r="G59" t="s">
        <v>104</v>
      </c>
      <c r="H59" t="s">
        <v>42</v>
      </c>
      <c r="I59" t="s">
        <v>43</v>
      </c>
      <c r="J59" t="s">
        <v>188</v>
      </c>
      <c r="K59" t="s">
        <v>56</v>
      </c>
      <c r="M59" t="s">
        <v>106</v>
      </c>
      <c r="P59" t="s">
        <v>69</v>
      </c>
      <c r="Q59" t="s">
        <v>47</v>
      </c>
      <c r="R59" t="s">
        <v>48</v>
      </c>
      <c r="V59" t="s">
        <v>49</v>
      </c>
      <c r="X59" t="s">
        <v>49</v>
      </c>
      <c r="Y59" t="s">
        <v>59</v>
      </c>
      <c r="Z59" t="s">
        <v>180</v>
      </c>
      <c r="AA59" t="s">
        <v>193</v>
      </c>
    </row>
    <row r="60" spans="1:27" x14ac:dyDescent="0.35">
      <c r="A60" t="str">
        <f t="shared" si="1"/>
        <v>3306F3</v>
      </c>
      <c r="B60" t="str">
        <f t="shared" si="0"/>
        <v>3306</v>
      </c>
      <c r="C60" t="s">
        <v>194</v>
      </c>
      <c r="D60" t="s">
        <v>5</v>
      </c>
      <c r="E60" t="s">
        <v>40</v>
      </c>
      <c r="F60" t="s">
        <v>73</v>
      </c>
      <c r="G60" t="s">
        <v>104</v>
      </c>
      <c r="H60" t="s">
        <v>42</v>
      </c>
      <c r="I60" t="s">
        <v>67</v>
      </c>
      <c r="J60" t="s">
        <v>188</v>
      </c>
      <c r="M60" t="s">
        <v>106</v>
      </c>
      <c r="P60" t="s">
        <v>46</v>
      </c>
      <c r="Q60" t="s">
        <v>47</v>
      </c>
      <c r="R60" t="s">
        <v>48</v>
      </c>
      <c r="V60" t="s">
        <v>49</v>
      </c>
      <c r="X60" t="s">
        <v>49</v>
      </c>
      <c r="Y60" t="s">
        <v>74</v>
      </c>
      <c r="Z60" t="s">
        <v>183</v>
      </c>
      <c r="AA60" t="s">
        <v>183</v>
      </c>
    </row>
    <row r="61" spans="1:27" x14ac:dyDescent="0.35">
      <c r="A61" t="str">
        <f t="shared" si="1"/>
        <v>3306C2</v>
      </c>
      <c r="B61" t="str">
        <f t="shared" si="0"/>
        <v>3306</v>
      </c>
      <c r="C61" t="s">
        <v>195</v>
      </c>
      <c r="D61" t="s">
        <v>1</v>
      </c>
      <c r="E61" t="s">
        <v>65</v>
      </c>
      <c r="F61" t="s">
        <v>66</v>
      </c>
      <c r="G61" t="s">
        <v>104</v>
      </c>
      <c r="H61" t="s">
        <v>42</v>
      </c>
      <c r="I61" t="s">
        <v>67</v>
      </c>
      <c r="J61" t="s">
        <v>188</v>
      </c>
      <c r="M61" t="s">
        <v>106</v>
      </c>
      <c r="P61" t="s">
        <v>69</v>
      </c>
      <c r="Q61" t="s">
        <v>47</v>
      </c>
      <c r="R61" t="s">
        <v>48</v>
      </c>
      <c r="V61" t="s">
        <v>49</v>
      </c>
      <c r="X61" t="s">
        <v>49</v>
      </c>
      <c r="Y61" t="s">
        <v>70</v>
      </c>
      <c r="Z61" t="s">
        <v>191</v>
      </c>
      <c r="AA61" t="s">
        <v>191</v>
      </c>
    </row>
    <row r="62" spans="1:27" x14ac:dyDescent="0.35">
      <c r="A62" t="str">
        <f t="shared" si="1"/>
        <v>3306D7</v>
      </c>
      <c r="B62" t="str">
        <f t="shared" si="0"/>
        <v>3306</v>
      </c>
      <c r="C62" t="s">
        <v>196</v>
      </c>
      <c r="D62" t="s">
        <v>6</v>
      </c>
      <c r="E62" t="s">
        <v>94</v>
      </c>
      <c r="F62" t="s">
        <v>111</v>
      </c>
      <c r="G62" t="s">
        <v>104</v>
      </c>
      <c r="H62" t="s">
        <v>42</v>
      </c>
      <c r="I62" t="s">
        <v>43</v>
      </c>
      <c r="J62" t="s">
        <v>188</v>
      </c>
      <c r="M62" t="s">
        <v>106</v>
      </c>
      <c r="P62" t="s">
        <v>46</v>
      </c>
      <c r="Q62" t="s">
        <v>47</v>
      </c>
      <c r="R62" t="s">
        <v>48</v>
      </c>
      <c r="V62" t="s">
        <v>49</v>
      </c>
      <c r="X62" t="s">
        <v>49</v>
      </c>
      <c r="Y62" t="s">
        <v>59</v>
      </c>
      <c r="Z62" t="s">
        <v>197</v>
      </c>
      <c r="AA62" t="s">
        <v>197</v>
      </c>
    </row>
    <row r="63" spans="1:27" x14ac:dyDescent="0.35">
      <c r="A63" t="str">
        <f t="shared" si="1"/>
        <v>3307F2</v>
      </c>
      <c r="B63" t="str">
        <f t="shared" si="0"/>
        <v>3307</v>
      </c>
      <c r="C63" t="s">
        <v>198</v>
      </c>
      <c r="D63" t="s">
        <v>4</v>
      </c>
      <c r="E63" t="s">
        <v>77</v>
      </c>
      <c r="F63" t="s">
        <v>78</v>
      </c>
      <c r="G63" t="s">
        <v>104</v>
      </c>
      <c r="H63" t="s">
        <v>42</v>
      </c>
      <c r="I63" t="s">
        <v>67</v>
      </c>
      <c r="J63" t="s">
        <v>199</v>
      </c>
      <c r="M63" t="s">
        <v>106</v>
      </c>
      <c r="P63" t="s">
        <v>79</v>
      </c>
      <c r="Q63" t="s">
        <v>47</v>
      </c>
      <c r="R63" t="s">
        <v>48</v>
      </c>
      <c r="V63" t="s">
        <v>49</v>
      </c>
      <c r="X63" t="s">
        <v>49</v>
      </c>
      <c r="Y63" t="s">
        <v>74</v>
      </c>
      <c r="Z63" t="s">
        <v>183</v>
      </c>
      <c r="AA63" t="s">
        <v>183</v>
      </c>
    </row>
    <row r="64" spans="1:27" x14ac:dyDescent="0.35">
      <c r="A64" t="str">
        <f t="shared" si="1"/>
        <v>3307D4</v>
      </c>
      <c r="B64" t="str">
        <f t="shared" si="0"/>
        <v>3307</v>
      </c>
      <c r="C64" t="s">
        <v>200</v>
      </c>
      <c r="D64" t="s">
        <v>3</v>
      </c>
      <c r="E64" t="s">
        <v>52</v>
      </c>
      <c r="F64" t="s">
        <v>53</v>
      </c>
      <c r="G64" t="s">
        <v>104</v>
      </c>
      <c r="H64" t="s">
        <v>42</v>
      </c>
      <c r="I64" t="s">
        <v>43</v>
      </c>
      <c r="J64" t="s">
        <v>199</v>
      </c>
      <c r="K64" t="s">
        <v>56</v>
      </c>
      <c r="M64" t="s">
        <v>106</v>
      </c>
      <c r="P64" t="s">
        <v>58</v>
      </c>
      <c r="Q64" t="s">
        <v>47</v>
      </c>
      <c r="R64" t="s">
        <v>48</v>
      </c>
      <c r="V64" t="s">
        <v>49</v>
      </c>
      <c r="X64" t="s">
        <v>49</v>
      </c>
      <c r="Y64" t="s">
        <v>59</v>
      </c>
      <c r="Z64" t="s">
        <v>201</v>
      </c>
      <c r="AA64" t="s">
        <v>201</v>
      </c>
    </row>
    <row r="65" spans="1:27" x14ac:dyDescent="0.35">
      <c r="A65" t="str">
        <f t="shared" si="1"/>
        <v>3307D2</v>
      </c>
      <c r="B65" t="str">
        <f t="shared" si="0"/>
        <v>3307</v>
      </c>
      <c r="C65" t="s">
        <v>202</v>
      </c>
      <c r="D65" t="s">
        <v>2</v>
      </c>
      <c r="E65" t="s">
        <v>62</v>
      </c>
      <c r="F65" t="s">
        <v>63</v>
      </c>
      <c r="G65" t="s">
        <v>104</v>
      </c>
      <c r="H65" t="s">
        <v>42</v>
      </c>
      <c r="I65" t="s">
        <v>43</v>
      </c>
      <c r="J65" t="s">
        <v>199</v>
      </c>
      <c r="K65" t="s">
        <v>56</v>
      </c>
      <c r="M65" t="s">
        <v>106</v>
      </c>
      <c r="P65" t="s">
        <v>58</v>
      </c>
      <c r="Q65" t="s">
        <v>47</v>
      </c>
      <c r="R65" t="s">
        <v>48</v>
      </c>
      <c r="V65" t="s">
        <v>49</v>
      </c>
      <c r="X65" t="s">
        <v>49</v>
      </c>
      <c r="Y65" t="s">
        <v>59</v>
      </c>
      <c r="Z65" t="s">
        <v>201</v>
      </c>
      <c r="AA65" t="s">
        <v>201</v>
      </c>
    </row>
    <row r="66" spans="1:27" x14ac:dyDescent="0.35">
      <c r="A66" t="str">
        <f t="shared" si="1"/>
        <v>3307F3</v>
      </c>
      <c r="B66" t="str">
        <f t="shared" ref="B66:B129" si="2">LEFT($J:$J,4)</f>
        <v>3307</v>
      </c>
      <c r="C66" t="s">
        <v>203</v>
      </c>
      <c r="D66" t="s">
        <v>5</v>
      </c>
      <c r="E66" t="s">
        <v>40</v>
      </c>
      <c r="F66" t="s">
        <v>73</v>
      </c>
      <c r="G66" t="s">
        <v>104</v>
      </c>
      <c r="H66" t="s">
        <v>42</v>
      </c>
      <c r="I66" t="s">
        <v>67</v>
      </c>
      <c r="J66" t="s">
        <v>199</v>
      </c>
      <c r="M66" t="s">
        <v>106</v>
      </c>
      <c r="P66" t="s">
        <v>46</v>
      </c>
      <c r="Q66" t="s">
        <v>47</v>
      </c>
      <c r="R66" t="s">
        <v>48</v>
      </c>
      <c r="V66" t="s">
        <v>49</v>
      </c>
      <c r="X66" t="s">
        <v>49</v>
      </c>
      <c r="Y66" t="s">
        <v>74</v>
      </c>
      <c r="Z66" t="s">
        <v>183</v>
      </c>
      <c r="AA66" t="s">
        <v>183</v>
      </c>
    </row>
    <row r="67" spans="1:27" x14ac:dyDescent="0.35">
      <c r="A67" t="str">
        <f t="shared" ref="A67:A130" si="3">B67&amp;D67</f>
        <v>3307C2</v>
      </c>
      <c r="B67" t="str">
        <f t="shared" si="2"/>
        <v>3307</v>
      </c>
      <c r="C67" t="s">
        <v>204</v>
      </c>
      <c r="D67" t="s">
        <v>1</v>
      </c>
      <c r="E67" t="s">
        <v>65</v>
      </c>
      <c r="F67" t="s">
        <v>66</v>
      </c>
      <c r="G67" t="s">
        <v>104</v>
      </c>
      <c r="H67" t="s">
        <v>42</v>
      </c>
      <c r="I67" t="s">
        <v>67</v>
      </c>
      <c r="J67" t="s">
        <v>199</v>
      </c>
      <c r="M67" t="s">
        <v>106</v>
      </c>
      <c r="P67" t="s">
        <v>69</v>
      </c>
      <c r="Q67" t="s">
        <v>47</v>
      </c>
      <c r="R67" t="s">
        <v>48</v>
      </c>
      <c r="V67" t="s">
        <v>49</v>
      </c>
      <c r="X67" t="s">
        <v>49</v>
      </c>
      <c r="Y67" t="s">
        <v>70</v>
      </c>
      <c r="Z67" t="s">
        <v>201</v>
      </c>
      <c r="AA67" t="s">
        <v>201</v>
      </c>
    </row>
    <row r="68" spans="1:27" x14ac:dyDescent="0.35">
      <c r="A68" t="str">
        <f t="shared" si="3"/>
        <v>3307D7</v>
      </c>
      <c r="B68" t="str">
        <f t="shared" si="2"/>
        <v>3307</v>
      </c>
      <c r="C68" t="s">
        <v>205</v>
      </c>
      <c r="D68" t="s">
        <v>6</v>
      </c>
      <c r="E68" t="s">
        <v>94</v>
      </c>
      <c r="F68" t="s">
        <v>111</v>
      </c>
      <c r="G68" t="s">
        <v>104</v>
      </c>
      <c r="H68" t="s">
        <v>42</v>
      </c>
      <c r="I68" t="s">
        <v>43</v>
      </c>
      <c r="J68" t="s">
        <v>199</v>
      </c>
      <c r="M68" t="s">
        <v>106</v>
      </c>
      <c r="P68" t="s">
        <v>46</v>
      </c>
      <c r="Q68" t="s">
        <v>47</v>
      </c>
      <c r="R68" t="s">
        <v>48</v>
      </c>
      <c r="V68" t="s">
        <v>49</v>
      </c>
      <c r="X68" t="s">
        <v>49</v>
      </c>
      <c r="Y68" t="s">
        <v>59</v>
      </c>
      <c r="Z68" t="s">
        <v>197</v>
      </c>
      <c r="AA68" t="s">
        <v>197</v>
      </c>
    </row>
    <row r="69" spans="1:27" x14ac:dyDescent="0.35">
      <c r="A69" t="str">
        <f t="shared" si="3"/>
        <v>3308F2</v>
      </c>
      <c r="B69" t="str">
        <f t="shared" si="2"/>
        <v>3308</v>
      </c>
      <c r="C69" t="s">
        <v>206</v>
      </c>
      <c r="D69" t="s">
        <v>4</v>
      </c>
      <c r="E69" t="s">
        <v>77</v>
      </c>
      <c r="F69" t="s">
        <v>78</v>
      </c>
      <c r="G69" t="s">
        <v>104</v>
      </c>
      <c r="H69" t="s">
        <v>42</v>
      </c>
      <c r="I69" t="s">
        <v>67</v>
      </c>
      <c r="J69" t="s">
        <v>207</v>
      </c>
      <c r="M69" t="s">
        <v>106</v>
      </c>
      <c r="P69" t="s">
        <v>189</v>
      </c>
      <c r="Q69" t="s">
        <v>47</v>
      </c>
      <c r="R69" t="s">
        <v>48</v>
      </c>
      <c r="V69" t="s">
        <v>49</v>
      </c>
      <c r="X69" t="s">
        <v>49</v>
      </c>
      <c r="Y69" t="s">
        <v>74</v>
      </c>
      <c r="Z69" t="s">
        <v>183</v>
      </c>
      <c r="AA69" t="s">
        <v>183</v>
      </c>
    </row>
    <row r="70" spans="1:27" x14ac:dyDescent="0.35">
      <c r="A70" t="str">
        <f t="shared" si="3"/>
        <v>3308D4</v>
      </c>
      <c r="B70" t="str">
        <f t="shared" si="2"/>
        <v>3308</v>
      </c>
      <c r="C70" t="s">
        <v>208</v>
      </c>
      <c r="D70" t="s">
        <v>3</v>
      </c>
      <c r="E70" t="s">
        <v>52</v>
      </c>
      <c r="F70" t="s">
        <v>53</v>
      </c>
      <c r="G70" t="s">
        <v>104</v>
      </c>
      <c r="H70" t="s">
        <v>42</v>
      </c>
      <c r="I70" t="s">
        <v>43</v>
      </c>
      <c r="J70" t="s">
        <v>207</v>
      </c>
      <c r="K70" t="s">
        <v>56</v>
      </c>
      <c r="M70" t="s">
        <v>106</v>
      </c>
      <c r="P70" t="s">
        <v>58</v>
      </c>
      <c r="Q70" t="s">
        <v>47</v>
      </c>
      <c r="R70" t="s">
        <v>48</v>
      </c>
      <c r="V70" t="s">
        <v>49</v>
      </c>
      <c r="X70" t="s">
        <v>49</v>
      </c>
      <c r="Y70" t="s">
        <v>59</v>
      </c>
      <c r="Z70" t="s">
        <v>209</v>
      </c>
      <c r="AA70" t="s">
        <v>209</v>
      </c>
    </row>
    <row r="71" spans="1:27" x14ac:dyDescent="0.35">
      <c r="A71" t="str">
        <f t="shared" si="3"/>
        <v>3308D2</v>
      </c>
      <c r="B71" t="str">
        <f t="shared" si="2"/>
        <v>3308</v>
      </c>
      <c r="C71" t="s">
        <v>210</v>
      </c>
      <c r="D71" t="s">
        <v>2</v>
      </c>
      <c r="E71" t="s">
        <v>62</v>
      </c>
      <c r="F71" t="s">
        <v>63</v>
      </c>
      <c r="G71" t="s">
        <v>104</v>
      </c>
      <c r="H71" t="s">
        <v>42</v>
      </c>
      <c r="I71" t="s">
        <v>43</v>
      </c>
      <c r="J71" t="s">
        <v>207</v>
      </c>
      <c r="K71" t="s">
        <v>56</v>
      </c>
      <c r="M71" t="s">
        <v>106</v>
      </c>
      <c r="P71" t="s">
        <v>58</v>
      </c>
      <c r="Q71" t="s">
        <v>47</v>
      </c>
      <c r="R71" t="s">
        <v>48</v>
      </c>
      <c r="V71" t="s">
        <v>49</v>
      </c>
      <c r="X71" t="s">
        <v>49</v>
      </c>
      <c r="Y71" t="s">
        <v>59</v>
      </c>
      <c r="Z71" t="s">
        <v>211</v>
      </c>
      <c r="AA71" t="s">
        <v>211</v>
      </c>
    </row>
    <row r="72" spans="1:27" x14ac:dyDescent="0.35">
      <c r="A72" t="str">
        <f t="shared" si="3"/>
        <v>3308F3</v>
      </c>
      <c r="B72" t="str">
        <f t="shared" si="2"/>
        <v>3308</v>
      </c>
      <c r="C72" t="s">
        <v>212</v>
      </c>
      <c r="D72" t="s">
        <v>5</v>
      </c>
      <c r="E72" t="s">
        <v>40</v>
      </c>
      <c r="F72" t="s">
        <v>73</v>
      </c>
      <c r="G72" t="s">
        <v>104</v>
      </c>
      <c r="H72" t="s">
        <v>42</v>
      </c>
      <c r="I72" t="s">
        <v>67</v>
      </c>
      <c r="J72" t="s">
        <v>207</v>
      </c>
      <c r="M72" t="s">
        <v>106</v>
      </c>
      <c r="P72" t="s">
        <v>46</v>
      </c>
      <c r="Q72" t="s">
        <v>47</v>
      </c>
      <c r="R72" t="s">
        <v>48</v>
      </c>
      <c r="V72" t="s">
        <v>49</v>
      </c>
      <c r="X72" t="s">
        <v>49</v>
      </c>
      <c r="Y72" t="s">
        <v>74</v>
      </c>
      <c r="Z72" t="s">
        <v>213</v>
      </c>
      <c r="AA72" t="s">
        <v>213</v>
      </c>
    </row>
    <row r="73" spans="1:27" x14ac:dyDescent="0.35">
      <c r="A73" t="str">
        <f t="shared" si="3"/>
        <v>3308C2</v>
      </c>
      <c r="B73" t="str">
        <f t="shared" si="2"/>
        <v>3308</v>
      </c>
      <c r="C73" t="s">
        <v>214</v>
      </c>
      <c r="D73" t="s">
        <v>1</v>
      </c>
      <c r="E73" t="s">
        <v>65</v>
      </c>
      <c r="F73" t="s">
        <v>66</v>
      </c>
      <c r="G73" t="s">
        <v>104</v>
      </c>
      <c r="H73" t="s">
        <v>42</v>
      </c>
      <c r="I73" t="s">
        <v>67</v>
      </c>
      <c r="J73" t="s">
        <v>207</v>
      </c>
      <c r="M73" t="s">
        <v>106</v>
      </c>
      <c r="P73" t="s">
        <v>69</v>
      </c>
      <c r="Q73" t="s">
        <v>47</v>
      </c>
      <c r="R73" t="s">
        <v>48</v>
      </c>
      <c r="V73" t="s">
        <v>49</v>
      </c>
      <c r="X73" t="s">
        <v>49</v>
      </c>
      <c r="Y73" t="s">
        <v>70</v>
      </c>
      <c r="Z73" t="s">
        <v>215</v>
      </c>
      <c r="AA73" t="s">
        <v>215</v>
      </c>
    </row>
    <row r="74" spans="1:27" x14ac:dyDescent="0.35">
      <c r="A74" t="str">
        <f t="shared" si="3"/>
        <v>3308D7</v>
      </c>
      <c r="B74" t="str">
        <f t="shared" si="2"/>
        <v>3308</v>
      </c>
      <c r="C74" t="s">
        <v>216</v>
      </c>
      <c r="D74" t="s">
        <v>6</v>
      </c>
      <c r="E74" t="s">
        <v>94</v>
      </c>
      <c r="F74" t="s">
        <v>111</v>
      </c>
      <c r="G74" t="s">
        <v>104</v>
      </c>
      <c r="H74" t="s">
        <v>42</v>
      </c>
      <c r="I74" t="s">
        <v>43</v>
      </c>
      <c r="J74" t="s">
        <v>207</v>
      </c>
      <c r="M74" t="s">
        <v>106</v>
      </c>
      <c r="P74" t="s">
        <v>46</v>
      </c>
      <c r="Q74" t="s">
        <v>47</v>
      </c>
      <c r="R74" t="s">
        <v>48</v>
      </c>
      <c r="V74" t="s">
        <v>49</v>
      </c>
      <c r="X74" t="s">
        <v>49</v>
      </c>
      <c r="Y74" t="s">
        <v>59</v>
      </c>
      <c r="Z74" t="s">
        <v>197</v>
      </c>
      <c r="AA74" t="s">
        <v>197</v>
      </c>
    </row>
    <row r="75" spans="1:27" x14ac:dyDescent="0.35">
      <c r="A75" t="str">
        <f t="shared" si="3"/>
        <v>3309F2</v>
      </c>
      <c r="B75" t="str">
        <f t="shared" si="2"/>
        <v>3309</v>
      </c>
      <c r="C75" t="s">
        <v>217</v>
      </c>
      <c r="D75" t="s">
        <v>4</v>
      </c>
      <c r="E75" t="s">
        <v>77</v>
      </c>
      <c r="F75" t="s">
        <v>78</v>
      </c>
      <c r="G75" t="s">
        <v>104</v>
      </c>
      <c r="H75" t="s">
        <v>42</v>
      </c>
      <c r="I75" t="s">
        <v>67</v>
      </c>
      <c r="J75" t="s">
        <v>218</v>
      </c>
      <c r="M75" t="s">
        <v>106</v>
      </c>
      <c r="P75" t="s">
        <v>79</v>
      </c>
      <c r="Q75" t="s">
        <v>47</v>
      </c>
      <c r="R75" t="s">
        <v>48</v>
      </c>
      <c r="V75" t="s">
        <v>49</v>
      </c>
      <c r="X75" t="s">
        <v>49</v>
      </c>
      <c r="Y75" t="s">
        <v>74</v>
      </c>
      <c r="Z75" t="s">
        <v>213</v>
      </c>
      <c r="AA75" t="s">
        <v>213</v>
      </c>
    </row>
    <row r="76" spans="1:27" x14ac:dyDescent="0.35">
      <c r="A76" t="str">
        <f t="shared" si="3"/>
        <v>3309D4</v>
      </c>
      <c r="B76" t="str">
        <f t="shared" si="2"/>
        <v>3309</v>
      </c>
      <c r="C76" t="s">
        <v>219</v>
      </c>
      <c r="D76" t="s">
        <v>3</v>
      </c>
      <c r="E76" t="s">
        <v>52</v>
      </c>
      <c r="F76" t="s">
        <v>53</v>
      </c>
      <c r="G76" t="s">
        <v>104</v>
      </c>
      <c r="H76" t="s">
        <v>42</v>
      </c>
      <c r="I76" t="s">
        <v>43</v>
      </c>
      <c r="J76" t="s">
        <v>218</v>
      </c>
      <c r="K76" t="s">
        <v>56</v>
      </c>
      <c r="M76" t="s">
        <v>106</v>
      </c>
      <c r="P76" t="s">
        <v>58</v>
      </c>
      <c r="Q76" t="s">
        <v>47</v>
      </c>
      <c r="R76" t="s">
        <v>48</v>
      </c>
      <c r="V76" t="s">
        <v>49</v>
      </c>
      <c r="X76" t="s">
        <v>49</v>
      </c>
      <c r="Y76" t="s">
        <v>59</v>
      </c>
      <c r="Z76" t="s">
        <v>211</v>
      </c>
      <c r="AA76" t="s">
        <v>211</v>
      </c>
    </row>
    <row r="77" spans="1:27" x14ac:dyDescent="0.35">
      <c r="A77" t="str">
        <f t="shared" si="3"/>
        <v>3309D2</v>
      </c>
      <c r="B77" t="str">
        <f t="shared" si="2"/>
        <v>3309</v>
      </c>
      <c r="C77" t="s">
        <v>220</v>
      </c>
      <c r="D77" t="s">
        <v>2</v>
      </c>
      <c r="E77" t="s">
        <v>62</v>
      </c>
      <c r="F77" t="s">
        <v>63</v>
      </c>
      <c r="G77" t="s">
        <v>104</v>
      </c>
      <c r="H77" t="s">
        <v>42</v>
      </c>
      <c r="I77" t="s">
        <v>43</v>
      </c>
      <c r="J77" t="s">
        <v>218</v>
      </c>
      <c r="K77" t="s">
        <v>56</v>
      </c>
      <c r="M77" t="s">
        <v>106</v>
      </c>
      <c r="P77" t="s">
        <v>69</v>
      </c>
      <c r="Q77" t="s">
        <v>47</v>
      </c>
      <c r="R77" t="s">
        <v>48</v>
      </c>
      <c r="V77" t="s">
        <v>49</v>
      </c>
      <c r="X77" t="s">
        <v>49</v>
      </c>
      <c r="Y77" t="s">
        <v>59</v>
      </c>
      <c r="Z77" t="s">
        <v>221</v>
      </c>
      <c r="AA77" t="s">
        <v>221</v>
      </c>
    </row>
    <row r="78" spans="1:27" x14ac:dyDescent="0.35">
      <c r="A78" t="str">
        <f t="shared" si="3"/>
        <v>3309F3</v>
      </c>
      <c r="B78" t="str">
        <f t="shared" si="2"/>
        <v>3309</v>
      </c>
      <c r="C78" t="s">
        <v>222</v>
      </c>
      <c r="D78" t="s">
        <v>5</v>
      </c>
      <c r="E78" t="s">
        <v>40</v>
      </c>
      <c r="F78" t="s">
        <v>73</v>
      </c>
      <c r="G78" t="s">
        <v>104</v>
      </c>
      <c r="H78" t="s">
        <v>42</v>
      </c>
      <c r="I78" t="s">
        <v>67</v>
      </c>
      <c r="J78" t="s">
        <v>218</v>
      </c>
      <c r="M78" t="s">
        <v>106</v>
      </c>
      <c r="P78" t="s">
        <v>46</v>
      </c>
      <c r="Q78" t="s">
        <v>47</v>
      </c>
      <c r="R78" t="s">
        <v>48</v>
      </c>
      <c r="V78" t="s">
        <v>49</v>
      </c>
      <c r="X78" t="s">
        <v>49</v>
      </c>
      <c r="Y78" t="s">
        <v>74</v>
      </c>
      <c r="Z78" t="s">
        <v>89</v>
      </c>
      <c r="AA78" t="s">
        <v>89</v>
      </c>
    </row>
    <row r="79" spans="1:27" x14ac:dyDescent="0.35">
      <c r="A79" t="str">
        <f t="shared" si="3"/>
        <v>3309C2</v>
      </c>
      <c r="B79" t="str">
        <f t="shared" si="2"/>
        <v>3309</v>
      </c>
      <c r="C79" t="s">
        <v>223</v>
      </c>
      <c r="D79" t="s">
        <v>1</v>
      </c>
      <c r="E79" t="s">
        <v>65</v>
      </c>
      <c r="F79" t="s">
        <v>66</v>
      </c>
      <c r="G79" t="s">
        <v>104</v>
      </c>
      <c r="H79" t="s">
        <v>42</v>
      </c>
      <c r="I79" t="s">
        <v>67</v>
      </c>
      <c r="J79" t="s">
        <v>218</v>
      </c>
      <c r="M79" t="s">
        <v>106</v>
      </c>
      <c r="P79" t="s">
        <v>69</v>
      </c>
      <c r="Q79" t="s">
        <v>47</v>
      </c>
      <c r="R79" t="s">
        <v>48</v>
      </c>
      <c r="V79" t="s">
        <v>49</v>
      </c>
      <c r="X79" t="s">
        <v>49</v>
      </c>
      <c r="Y79" t="s">
        <v>70</v>
      </c>
      <c r="Z79" t="s">
        <v>215</v>
      </c>
      <c r="AA79" t="s">
        <v>215</v>
      </c>
    </row>
    <row r="80" spans="1:27" x14ac:dyDescent="0.35">
      <c r="A80" t="str">
        <f t="shared" si="3"/>
        <v>3309D7</v>
      </c>
      <c r="B80" t="str">
        <f t="shared" si="2"/>
        <v>3309</v>
      </c>
      <c r="C80" t="s">
        <v>224</v>
      </c>
      <c r="D80" t="s">
        <v>6</v>
      </c>
      <c r="E80" t="s">
        <v>94</v>
      </c>
      <c r="F80" t="s">
        <v>111</v>
      </c>
      <c r="G80" t="s">
        <v>104</v>
      </c>
      <c r="H80" t="s">
        <v>42</v>
      </c>
      <c r="I80" t="s">
        <v>43</v>
      </c>
      <c r="J80" t="s">
        <v>218</v>
      </c>
      <c r="M80" t="s">
        <v>106</v>
      </c>
      <c r="P80" t="s">
        <v>46</v>
      </c>
      <c r="Q80" t="s">
        <v>47</v>
      </c>
      <c r="R80" t="s">
        <v>48</v>
      </c>
      <c r="V80" t="s">
        <v>49</v>
      </c>
      <c r="X80" t="s">
        <v>49</v>
      </c>
      <c r="Y80" t="s">
        <v>59</v>
      </c>
      <c r="Z80" t="s">
        <v>225</v>
      </c>
      <c r="AA80" t="s">
        <v>226</v>
      </c>
    </row>
    <row r="81" spans="1:27" x14ac:dyDescent="0.35">
      <c r="A81" t="str">
        <f t="shared" si="3"/>
        <v>3401F2</v>
      </c>
      <c r="B81" t="str">
        <f t="shared" si="2"/>
        <v>3401</v>
      </c>
      <c r="C81" t="s">
        <v>227</v>
      </c>
      <c r="D81" t="s">
        <v>4</v>
      </c>
      <c r="E81" t="s">
        <v>77</v>
      </c>
      <c r="F81" t="s">
        <v>78</v>
      </c>
      <c r="G81" t="s">
        <v>104</v>
      </c>
      <c r="H81" t="s">
        <v>42</v>
      </c>
      <c r="I81" t="s">
        <v>67</v>
      </c>
      <c r="J81" t="s">
        <v>228</v>
      </c>
      <c r="M81" t="s">
        <v>106</v>
      </c>
      <c r="P81" t="s">
        <v>138</v>
      </c>
      <c r="Q81" t="s">
        <v>47</v>
      </c>
      <c r="R81" t="s">
        <v>48</v>
      </c>
      <c r="V81" t="s">
        <v>49</v>
      </c>
      <c r="X81" t="s">
        <v>49</v>
      </c>
      <c r="Y81" t="s">
        <v>74</v>
      </c>
      <c r="Z81" t="s">
        <v>229</v>
      </c>
      <c r="AA81" t="s">
        <v>229</v>
      </c>
    </row>
    <row r="82" spans="1:27" x14ac:dyDescent="0.35">
      <c r="A82" t="str">
        <f t="shared" si="3"/>
        <v>3401D4</v>
      </c>
      <c r="B82" t="str">
        <f t="shared" si="2"/>
        <v>3401</v>
      </c>
      <c r="C82" t="s">
        <v>230</v>
      </c>
      <c r="D82" t="s">
        <v>3</v>
      </c>
      <c r="E82" t="s">
        <v>52</v>
      </c>
      <c r="F82" t="s">
        <v>53</v>
      </c>
      <c r="G82" t="s">
        <v>104</v>
      </c>
      <c r="H82" t="s">
        <v>42</v>
      </c>
      <c r="I82" t="s">
        <v>43</v>
      </c>
      <c r="J82" t="s">
        <v>228</v>
      </c>
      <c r="K82" t="s">
        <v>56</v>
      </c>
      <c r="M82" t="s">
        <v>106</v>
      </c>
      <c r="P82" t="s">
        <v>58</v>
      </c>
      <c r="Q82" t="s">
        <v>47</v>
      </c>
      <c r="R82" t="s">
        <v>48</v>
      </c>
      <c r="V82" t="s">
        <v>49</v>
      </c>
      <c r="X82" t="s">
        <v>49</v>
      </c>
      <c r="Y82" t="s">
        <v>59</v>
      </c>
      <c r="Z82" t="s">
        <v>231</v>
      </c>
      <c r="AA82" t="s">
        <v>231</v>
      </c>
    </row>
    <row r="83" spans="1:27" x14ac:dyDescent="0.35">
      <c r="A83" t="str">
        <f t="shared" si="3"/>
        <v>3401D2</v>
      </c>
      <c r="B83" t="str">
        <f t="shared" si="2"/>
        <v>3401</v>
      </c>
      <c r="C83" t="s">
        <v>232</v>
      </c>
      <c r="D83" t="s">
        <v>2</v>
      </c>
      <c r="E83" t="s">
        <v>62</v>
      </c>
      <c r="F83" t="s">
        <v>63</v>
      </c>
      <c r="G83" t="s">
        <v>104</v>
      </c>
      <c r="H83" t="s">
        <v>42</v>
      </c>
      <c r="I83" t="s">
        <v>43</v>
      </c>
      <c r="J83" t="s">
        <v>228</v>
      </c>
      <c r="K83" t="s">
        <v>56</v>
      </c>
      <c r="M83" t="s">
        <v>106</v>
      </c>
      <c r="P83" t="s">
        <v>58</v>
      </c>
      <c r="Q83" t="s">
        <v>47</v>
      </c>
      <c r="R83" t="s">
        <v>48</v>
      </c>
      <c r="V83" t="s">
        <v>49</v>
      </c>
      <c r="X83" t="s">
        <v>49</v>
      </c>
      <c r="Y83" t="s">
        <v>59</v>
      </c>
      <c r="Z83" t="s">
        <v>231</v>
      </c>
      <c r="AA83" t="s">
        <v>231</v>
      </c>
    </row>
    <row r="84" spans="1:27" x14ac:dyDescent="0.35">
      <c r="A84" t="str">
        <f t="shared" si="3"/>
        <v>3401F3</v>
      </c>
      <c r="B84" t="str">
        <f t="shared" si="2"/>
        <v>3401</v>
      </c>
      <c r="C84" t="s">
        <v>233</v>
      </c>
      <c r="D84" t="s">
        <v>5</v>
      </c>
      <c r="E84" t="s">
        <v>40</v>
      </c>
      <c r="F84" t="s">
        <v>73</v>
      </c>
      <c r="G84" t="s">
        <v>104</v>
      </c>
      <c r="H84" t="s">
        <v>42</v>
      </c>
      <c r="I84" t="s">
        <v>67</v>
      </c>
      <c r="J84" t="s">
        <v>228</v>
      </c>
      <c r="M84" t="s">
        <v>106</v>
      </c>
      <c r="P84" t="s">
        <v>46</v>
      </c>
      <c r="Q84" t="s">
        <v>47</v>
      </c>
      <c r="R84" t="s">
        <v>48</v>
      </c>
      <c r="V84" t="s">
        <v>49</v>
      </c>
      <c r="X84" t="s">
        <v>49</v>
      </c>
      <c r="Y84" t="s">
        <v>74</v>
      </c>
      <c r="Z84" t="s">
        <v>213</v>
      </c>
      <c r="AA84" t="s">
        <v>213</v>
      </c>
    </row>
    <row r="85" spans="1:27" x14ac:dyDescent="0.35">
      <c r="A85" t="str">
        <f t="shared" si="3"/>
        <v>3401C2</v>
      </c>
      <c r="B85" t="str">
        <f t="shared" si="2"/>
        <v>3401</v>
      </c>
      <c r="C85" t="s">
        <v>234</v>
      </c>
      <c r="D85" t="s">
        <v>1</v>
      </c>
      <c r="E85" t="s">
        <v>65</v>
      </c>
      <c r="F85" t="s">
        <v>66</v>
      </c>
      <c r="G85" t="s">
        <v>104</v>
      </c>
      <c r="H85" t="s">
        <v>42</v>
      </c>
      <c r="I85" t="s">
        <v>67</v>
      </c>
      <c r="J85" t="s">
        <v>228</v>
      </c>
      <c r="M85" t="s">
        <v>106</v>
      </c>
      <c r="P85" t="s">
        <v>69</v>
      </c>
      <c r="Q85" t="s">
        <v>47</v>
      </c>
      <c r="R85" t="s">
        <v>48</v>
      </c>
      <c r="V85" t="s">
        <v>49</v>
      </c>
      <c r="X85" t="s">
        <v>49</v>
      </c>
      <c r="Y85" t="s">
        <v>70</v>
      </c>
      <c r="Z85" t="s">
        <v>235</v>
      </c>
      <c r="AA85" t="s">
        <v>235</v>
      </c>
    </row>
    <row r="86" spans="1:27" x14ac:dyDescent="0.35">
      <c r="A86" t="str">
        <f t="shared" si="3"/>
        <v>3401D7</v>
      </c>
      <c r="B86" t="str">
        <f t="shared" si="2"/>
        <v>3401</v>
      </c>
      <c r="C86" t="s">
        <v>236</v>
      </c>
      <c r="D86" t="s">
        <v>6</v>
      </c>
      <c r="E86" t="s">
        <v>94</v>
      </c>
      <c r="F86" t="s">
        <v>111</v>
      </c>
      <c r="G86" t="s">
        <v>104</v>
      </c>
      <c r="H86" t="s">
        <v>42</v>
      </c>
      <c r="I86" t="s">
        <v>43</v>
      </c>
      <c r="J86" t="s">
        <v>228</v>
      </c>
      <c r="M86" t="s">
        <v>106</v>
      </c>
      <c r="P86" t="s">
        <v>46</v>
      </c>
      <c r="Q86" t="s">
        <v>47</v>
      </c>
      <c r="R86" t="s">
        <v>48</v>
      </c>
      <c r="V86" t="s">
        <v>49</v>
      </c>
      <c r="X86" t="s">
        <v>49</v>
      </c>
      <c r="Y86" t="s">
        <v>59</v>
      </c>
      <c r="Z86" t="s">
        <v>237</v>
      </c>
      <c r="AA86" t="s">
        <v>237</v>
      </c>
    </row>
    <row r="87" spans="1:27" x14ac:dyDescent="0.35">
      <c r="A87" t="str">
        <f t="shared" si="3"/>
        <v>3402F2</v>
      </c>
      <c r="B87" t="str">
        <f t="shared" si="2"/>
        <v>3402</v>
      </c>
      <c r="C87" t="s">
        <v>238</v>
      </c>
      <c r="D87" t="s">
        <v>4</v>
      </c>
      <c r="E87" t="s">
        <v>77</v>
      </c>
      <c r="F87" t="s">
        <v>78</v>
      </c>
      <c r="G87" t="s">
        <v>104</v>
      </c>
      <c r="H87" t="s">
        <v>42</v>
      </c>
      <c r="I87" t="s">
        <v>67</v>
      </c>
      <c r="J87" t="s">
        <v>239</v>
      </c>
      <c r="M87" t="s">
        <v>106</v>
      </c>
      <c r="P87" t="s">
        <v>91</v>
      </c>
      <c r="Q87" t="s">
        <v>47</v>
      </c>
      <c r="R87" t="s">
        <v>48</v>
      </c>
      <c r="V87" t="s">
        <v>49</v>
      </c>
      <c r="X87" t="s">
        <v>49</v>
      </c>
      <c r="Y87" t="s">
        <v>74</v>
      </c>
      <c r="Z87" t="s">
        <v>229</v>
      </c>
      <c r="AA87" t="s">
        <v>229</v>
      </c>
    </row>
    <row r="88" spans="1:27" x14ac:dyDescent="0.35">
      <c r="A88" t="str">
        <f t="shared" si="3"/>
        <v>3402D4</v>
      </c>
      <c r="B88" t="str">
        <f t="shared" si="2"/>
        <v>3402</v>
      </c>
      <c r="C88" t="s">
        <v>240</v>
      </c>
      <c r="D88" t="s">
        <v>3</v>
      </c>
      <c r="E88" t="s">
        <v>52</v>
      </c>
      <c r="F88" t="s">
        <v>53</v>
      </c>
      <c r="G88" t="s">
        <v>104</v>
      </c>
      <c r="H88" t="s">
        <v>42</v>
      </c>
      <c r="I88" t="s">
        <v>43</v>
      </c>
      <c r="J88" t="s">
        <v>239</v>
      </c>
      <c r="K88" t="s">
        <v>56</v>
      </c>
      <c r="M88" t="s">
        <v>106</v>
      </c>
      <c r="P88" t="s">
        <v>58</v>
      </c>
      <c r="Q88" t="s">
        <v>47</v>
      </c>
      <c r="R88" t="s">
        <v>48</v>
      </c>
      <c r="V88" t="s">
        <v>49</v>
      </c>
      <c r="X88" t="s">
        <v>49</v>
      </c>
      <c r="Y88" t="s">
        <v>59</v>
      </c>
      <c r="Z88" t="s">
        <v>235</v>
      </c>
      <c r="AA88" t="s">
        <v>235</v>
      </c>
    </row>
    <row r="89" spans="1:27" x14ac:dyDescent="0.35">
      <c r="A89" t="str">
        <f t="shared" si="3"/>
        <v>3402D2</v>
      </c>
      <c r="B89" t="str">
        <f t="shared" si="2"/>
        <v>3402</v>
      </c>
      <c r="C89" t="s">
        <v>241</v>
      </c>
      <c r="D89" t="s">
        <v>2</v>
      </c>
      <c r="E89" t="s">
        <v>62</v>
      </c>
      <c r="F89" t="s">
        <v>63</v>
      </c>
      <c r="G89" t="s">
        <v>104</v>
      </c>
      <c r="H89" t="s">
        <v>42</v>
      </c>
      <c r="I89" t="s">
        <v>43</v>
      </c>
      <c r="J89" t="s">
        <v>239</v>
      </c>
      <c r="K89" t="s">
        <v>56</v>
      </c>
      <c r="M89" t="s">
        <v>106</v>
      </c>
      <c r="P89" t="s">
        <v>58</v>
      </c>
      <c r="Q89" t="s">
        <v>47</v>
      </c>
      <c r="R89" t="s">
        <v>48</v>
      </c>
      <c r="V89" t="s">
        <v>49</v>
      </c>
      <c r="X89" t="s">
        <v>49</v>
      </c>
      <c r="Y89" t="s">
        <v>59</v>
      </c>
      <c r="Z89" t="s">
        <v>235</v>
      </c>
      <c r="AA89" t="s">
        <v>235</v>
      </c>
    </row>
    <row r="90" spans="1:27" x14ac:dyDescent="0.35">
      <c r="A90" t="str">
        <f t="shared" si="3"/>
        <v>3402F3</v>
      </c>
      <c r="B90" t="str">
        <f t="shared" si="2"/>
        <v>3402</v>
      </c>
      <c r="C90" t="s">
        <v>242</v>
      </c>
      <c r="D90" t="s">
        <v>5</v>
      </c>
      <c r="E90" t="s">
        <v>40</v>
      </c>
      <c r="F90" t="s">
        <v>73</v>
      </c>
      <c r="G90" t="s">
        <v>104</v>
      </c>
      <c r="H90" t="s">
        <v>42</v>
      </c>
      <c r="I90" t="s">
        <v>67</v>
      </c>
      <c r="J90" t="s">
        <v>239</v>
      </c>
      <c r="M90" t="s">
        <v>106</v>
      </c>
      <c r="P90" t="s">
        <v>46</v>
      </c>
      <c r="Q90" t="s">
        <v>47</v>
      </c>
      <c r="R90" t="s">
        <v>48</v>
      </c>
      <c r="V90" t="s">
        <v>49</v>
      </c>
      <c r="X90" t="s">
        <v>49</v>
      </c>
      <c r="Y90" t="s">
        <v>74</v>
      </c>
      <c r="Z90" t="s">
        <v>213</v>
      </c>
      <c r="AA90" t="s">
        <v>213</v>
      </c>
    </row>
    <row r="91" spans="1:27" x14ac:dyDescent="0.35">
      <c r="A91" t="str">
        <f t="shared" si="3"/>
        <v>3402C2</v>
      </c>
      <c r="B91" t="str">
        <f t="shared" si="2"/>
        <v>3402</v>
      </c>
      <c r="C91" t="s">
        <v>243</v>
      </c>
      <c r="D91" t="s">
        <v>1</v>
      </c>
      <c r="E91" t="s">
        <v>65</v>
      </c>
      <c r="F91" t="s">
        <v>66</v>
      </c>
      <c r="G91" t="s">
        <v>104</v>
      </c>
      <c r="H91" t="s">
        <v>42</v>
      </c>
      <c r="I91" t="s">
        <v>67</v>
      </c>
      <c r="J91" t="s">
        <v>239</v>
      </c>
      <c r="M91" t="s">
        <v>106</v>
      </c>
      <c r="P91" t="s">
        <v>58</v>
      </c>
      <c r="Q91" t="s">
        <v>47</v>
      </c>
      <c r="R91" t="s">
        <v>48</v>
      </c>
      <c r="V91" t="s">
        <v>49</v>
      </c>
      <c r="X91" t="s">
        <v>49</v>
      </c>
      <c r="Y91" t="s">
        <v>70</v>
      </c>
      <c r="Z91" t="s">
        <v>3605</v>
      </c>
      <c r="AA91" t="s">
        <v>3605</v>
      </c>
    </row>
    <row r="92" spans="1:27" x14ac:dyDescent="0.35">
      <c r="A92" t="str">
        <f t="shared" si="3"/>
        <v>3402D7</v>
      </c>
      <c r="B92" t="str">
        <f t="shared" si="2"/>
        <v>3402</v>
      </c>
      <c r="C92" t="s">
        <v>244</v>
      </c>
      <c r="D92" t="s">
        <v>6</v>
      </c>
      <c r="E92" t="s">
        <v>94</v>
      </c>
      <c r="F92" t="s">
        <v>111</v>
      </c>
      <c r="G92" t="s">
        <v>104</v>
      </c>
      <c r="H92" t="s">
        <v>42</v>
      </c>
      <c r="I92" t="s">
        <v>43</v>
      </c>
      <c r="J92" t="s">
        <v>239</v>
      </c>
      <c r="M92" t="s">
        <v>106</v>
      </c>
      <c r="P92" t="s">
        <v>46</v>
      </c>
      <c r="Q92" t="s">
        <v>47</v>
      </c>
      <c r="R92" t="s">
        <v>48</v>
      </c>
      <c r="V92" t="s">
        <v>49</v>
      </c>
      <c r="X92" t="s">
        <v>49</v>
      </c>
      <c r="Y92" t="s">
        <v>59</v>
      </c>
      <c r="Z92" t="s">
        <v>245</v>
      </c>
      <c r="AA92" t="s">
        <v>245</v>
      </c>
    </row>
    <row r="93" spans="1:27" x14ac:dyDescent="0.35">
      <c r="A93" t="str">
        <f t="shared" si="3"/>
        <v>3403F2</v>
      </c>
      <c r="B93" t="str">
        <f t="shared" si="2"/>
        <v>3403</v>
      </c>
      <c r="C93" t="s">
        <v>246</v>
      </c>
      <c r="D93" t="s">
        <v>4</v>
      </c>
      <c r="E93" t="s">
        <v>77</v>
      </c>
      <c r="F93" t="s">
        <v>78</v>
      </c>
      <c r="G93" t="s">
        <v>104</v>
      </c>
      <c r="H93" t="s">
        <v>42</v>
      </c>
      <c r="I93" t="s">
        <v>67</v>
      </c>
      <c r="J93" t="s">
        <v>247</v>
      </c>
      <c r="M93" t="s">
        <v>106</v>
      </c>
      <c r="P93" t="s">
        <v>138</v>
      </c>
      <c r="Q93" t="s">
        <v>47</v>
      </c>
      <c r="R93" t="s">
        <v>48</v>
      </c>
      <c r="V93" t="s">
        <v>49</v>
      </c>
      <c r="X93" t="s">
        <v>49</v>
      </c>
      <c r="Y93" t="s">
        <v>74</v>
      </c>
      <c r="Z93" t="s">
        <v>229</v>
      </c>
      <c r="AA93" t="s">
        <v>229</v>
      </c>
    </row>
    <row r="94" spans="1:27" x14ac:dyDescent="0.35">
      <c r="A94" t="str">
        <f t="shared" si="3"/>
        <v>3403D4</v>
      </c>
      <c r="B94" t="str">
        <f t="shared" si="2"/>
        <v>3403</v>
      </c>
      <c r="C94" t="s">
        <v>248</v>
      </c>
      <c r="D94" t="s">
        <v>3</v>
      </c>
      <c r="E94" t="s">
        <v>52</v>
      </c>
      <c r="F94" t="s">
        <v>53</v>
      </c>
      <c r="G94" t="s">
        <v>104</v>
      </c>
      <c r="H94" t="s">
        <v>42</v>
      </c>
      <c r="I94" t="s">
        <v>43</v>
      </c>
      <c r="J94" t="s">
        <v>247</v>
      </c>
      <c r="K94" t="s">
        <v>56</v>
      </c>
      <c r="M94" t="s">
        <v>106</v>
      </c>
      <c r="P94" t="s">
        <v>58</v>
      </c>
      <c r="Q94" t="s">
        <v>47</v>
      </c>
      <c r="R94" t="s">
        <v>48</v>
      </c>
      <c r="V94" t="s">
        <v>49</v>
      </c>
      <c r="X94" t="s">
        <v>49</v>
      </c>
      <c r="Y94" t="s">
        <v>59</v>
      </c>
      <c r="Z94" t="s">
        <v>235</v>
      </c>
      <c r="AA94" t="s">
        <v>235</v>
      </c>
    </row>
    <row r="95" spans="1:27" x14ac:dyDescent="0.35">
      <c r="A95" t="str">
        <f t="shared" si="3"/>
        <v>3403D2</v>
      </c>
      <c r="B95" t="str">
        <f t="shared" si="2"/>
        <v>3403</v>
      </c>
      <c r="C95" t="s">
        <v>249</v>
      </c>
      <c r="D95" t="s">
        <v>2</v>
      </c>
      <c r="E95" t="s">
        <v>62</v>
      </c>
      <c r="F95" t="s">
        <v>63</v>
      </c>
      <c r="G95" t="s">
        <v>104</v>
      </c>
      <c r="H95" t="s">
        <v>42</v>
      </c>
      <c r="I95" t="s">
        <v>43</v>
      </c>
      <c r="J95" t="s">
        <v>247</v>
      </c>
      <c r="K95" t="s">
        <v>56</v>
      </c>
      <c r="M95" t="s">
        <v>106</v>
      </c>
      <c r="P95" t="s">
        <v>58</v>
      </c>
      <c r="Q95" t="s">
        <v>47</v>
      </c>
      <c r="R95" t="s">
        <v>48</v>
      </c>
      <c r="V95" t="s">
        <v>49</v>
      </c>
      <c r="X95" t="s">
        <v>49</v>
      </c>
      <c r="Y95" t="s">
        <v>59</v>
      </c>
      <c r="Z95" t="s">
        <v>250</v>
      </c>
      <c r="AA95" t="s">
        <v>250</v>
      </c>
    </row>
    <row r="96" spans="1:27" x14ac:dyDescent="0.35">
      <c r="A96" t="str">
        <f t="shared" si="3"/>
        <v>3403F3</v>
      </c>
      <c r="B96" t="str">
        <f t="shared" si="2"/>
        <v>3403</v>
      </c>
      <c r="C96" t="s">
        <v>251</v>
      </c>
      <c r="D96" t="s">
        <v>5</v>
      </c>
      <c r="E96" t="s">
        <v>40</v>
      </c>
      <c r="F96" t="s">
        <v>73</v>
      </c>
      <c r="G96" t="s">
        <v>104</v>
      </c>
      <c r="H96" t="s">
        <v>42</v>
      </c>
      <c r="I96" t="s">
        <v>67</v>
      </c>
      <c r="J96" t="s">
        <v>247</v>
      </c>
      <c r="M96" t="s">
        <v>106</v>
      </c>
      <c r="P96" t="s">
        <v>46</v>
      </c>
      <c r="Q96" t="s">
        <v>47</v>
      </c>
      <c r="R96" t="s">
        <v>48</v>
      </c>
      <c r="V96" t="s">
        <v>49</v>
      </c>
      <c r="X96" t="s">
        <v>49</v>
      </c>
      <c r="Y96" t="s">
        <v>74</v>
      </c>
      <c r="Z96" t="s">
        <v>213</v>
      </c>
      <c r="AA96" t="s">
        <v>213</v>
      </c>
    </row>
    <row r="97" spans="1:27" x14ac:dyDescent="0.35">
      <c r="A97" t="str">
        <f t="shared" si="3"/>
        <v>3403C2</v>
      </c>
      <c r="B97" t="str">
        <f t="shared" si="2"/>
        <v>3403</v>
      </c>
      <c r="C97" t="s">
        <v>252</v>
      </c>
      <c r="D97" t="s">
        <v>1</v>
      </c>
      <c r="E97" t="s">
        <v>65</v>
      </c>
      <c r="F97" t="s">
        <v>66</v>
      </c>
      <c r="G97" t="s">
        <v>104</v>
      </c>
      <c r="H97" t="s">
        <v>42</v>
      </c>
      <c r="I97" t="s">
        <v>67</v>
      </c>
      <c r="J97" t="s">
        <v>247</v>
      </c>
      <c r="M97" t="s">
        <v>106</v>
      </c>
      <c r="P97" t="s">
        <v>69</v>
      </c>
      <c r="Q97" t="s">
        <v>47</v>
      </c>
      <c r="R97" t="s">
        <v>48</v>
      </c>
      <c r="V97" t="s">
        <v>49</v>
      </c>
      <c r="X97" t="s">
        <v>49</v>
      </c>
      <c r="Y97" t="s">
        <v>70</v>
      </c>
      <c r="Z97" t="s">
        <v>250</v>
      </c>
      <c r="AA97" t="s">
        <v>250</v>
      </c>
    </row>
    <row r="98" spans="1:27" x14ac:dyDescent="0.35">
      <c r="A98" t="str">
        <f t="shared" si="3"/>
        <v>3403D7</v>
      </c>
      <c r="B98" t="str">
        <f t="shared" si="2"/>
        <v>3403</v>
      </c>
      <c r="C98" t="s">
        <v>253</v>
      </c>
      <c r="D98" t="s">
        <v>6</v>
      </c>
      <c r="E98" t="s">
        <v>94</v>
      </c>
      <c r="F98" t="s">
        <v>111</v>
      </c>
      <c r="G98" t="s">
        <v>104</v>
      </c>
      <c r="H98" t="s">
        <v>42</v>
      </c>
      <c r="I98" t="s">
        <v>43</v>
      </c>
      <c r="J98" t="s">
        <v>247</v>
      </c>
      <c r="M98" t="s">
        <v>106</v>
      </c>
      <c r="P98" t="s">
        <v>46</v>
      </c>
      <c r="Q98" t="s">
        <v>47</v>
      </c>
      <c r="R98" t="s">
        <v>48</v>
      </c>
      <c r="V98" t="s">
        <v>49</v>
      </c>
      <c r="X98" t="s">
        <v>49</v>
      </c>
      <c r="Y98" t="s">
        <v>59</v>
      </c>
      <c r="Z98" t="s">
        <v>245</v>
      </c>
      <c r="AA98" t="s">
        <v>245</v>
      </c>
    </row>
    <row r="99" spans="1:27" x14ac:dyDescent="0.35">
      <c r="A99" t="str">
        <f t="shared" si="3"/>
        <v>3404F2</v>
      </c>
      <c r="B99" t="str">
        <f t="shared" si="2"/>
        <v>3404</v>
      </c>
      <c r="C99" t="s">
        <v>254</v>
      </c>
      <c r="D99" t="s">
        <v>4</v>
      </c>
      <c r="E99" t="s">
        <v>77</v>
      </c>
      <c r="F99" t="s">
        <v>78</v>
      </c>
      <c r="G99" t="s">
        <v>104</v>
      </c>
      <c r="H99" t="s">
        <v>42</v>
      </c>
      <c r="I99" t="s">
        <v>67</v>
      </c>
      <c r="J99" t="s">
        <v>255</v>
      </c>
      <c r="M99" t="s">
        <v>106</v>
      </c>
      <c r="P99" t="s">
        <v>138</v>
      </c>
      <c r="Q99" t="s">
        <v>47</v>
      </c>
      <c r="R99" t="s">
        <v>48</v>
      </c>
      <c r="V99" t="s">
        <v>49</v>
      </c>
      <c r="X99" t="s">
        <v>49</v>
      </c>
      <c r="Y99" t="s">
        <v>74</v>
      </c>
      <c r="Z99" t="s">
        <v>229</v>
      </c>
      <c r="AA99" t="s">
        <v>229</v>
      </c>
    </row>
    <row r="100" spans="1:27" x14ac:dyDescent="0.35">
      <c r="A100" t="str">
        <f t="shared" si="3"/>
        <v>3404D4</v>
      </c>
      <c r="B100" t="str">
        <f t="shared" si="2"/>
        <v>3404</v>
      </c>
      <c r="C100" t="s">
        <v>256</v>
      </c>
      <c r="D100" t="s">
        <v>3</v>
      </c>
      <c r="E100" t="s">
        <v>52</v>
      </c>
      <c r="F100" t="s">
        <v>53</v>
      </c>
      <c r="G100" t="s">
        <v>104</v>
      </c>
      <c r="H100" t="s">
        <v>42</v>
      </c>
      <c r="I100" t="s">
        <v>43</v>
      </c>
      <c r="J100" t="s">
        <v>255</v>
      </c>
      <c r="K100" t="s">
        <v>56</v>
      </c>
      <c r="M100" t="s">
        <v>106</v>
      </c>
      <c r="P100" t="s">
        <v>58</v>
      </c>
      <c r="Q100" t="s">
        <v>47</v>
      </c>
      <c r="R100" t="s">
        <v>48</v>
      </c>
      <c r="V100" t="s">
        <v>49</v>
      </c>
      <c r="X100" t="s">
        <v>49</v>
      </c>
      <c r="Y100" t="s">
        <v>59</v>
      </c>
      <c r="Z100" t="s">
        <v>250</v>
      </c>
      <c r="AA100" t="s">
        <v>250</v>
      </c>
    </row>
    <row r="101" spans="1:27" x14ac:dyDescent="0.35">
      <c r="A101" t="str">
        <f t="shared" si="3"/>
        <v>3404D2</v>
      </c>
      <c r="B101" t="str">
        <f t="shared" si="2"/>
        <v>3404</v>
      </c>
      <c r="C101" t="s">
        <v>257</v>
      </c>
      <c r="D101" t="s">
        <v>2</v>
      </c>
      <c r="E101" t="s">
        <v>62</v>
      </c>
      <c r="F101" t="s">
        <v>63</v>
      </c>
      <c r="G101" t="s">
        <v>104</v>
      </c>
      <c r="H101" t="s">
        <v>42</v>
      </c>
      <c r="I101" t="s">
        <v>43</v>
      </c>
      <c r="J101" t="s">
        <v>255</v>
      </c>
      <c r="K101" t="s">
        <v>56</v>
      </c>
      <c r="M101" t="s">
        <v>106</v>
      </c>
      <c r="P101" t="s">
        <v>58</v>
      </c>
      <c r="Q101" t="s">
        <v>47</v>
      </c>
      <c r="R101" t="s">
        <v>48</v>
      </c>
      <c r="V101" t="s">
        <v>49</v>
      </c>
      <c r="X101" t="s">
        <v>49</v>
      </c>
      <c r="Y101" t="s">
        <v>59</v>
      </c>
      <c r="Z101" t="s">
        <v>250</v>
      </c>
      <c r="AA101" t="s">
        <v>250</v>
      </c>
    </row>
    <row r="102" spans="1:27" x14ac:dyDescent="0.35">
      <c r="A102" t="str">
        <f t="shared" si="3"/>
        <v>3404F3</v>
      </c>
      <c r="B102" t="str">
        <f t="shared" si="2"/>
        <v>3404</v>
      </c>
      <c r="C102" t="s">
        <v>258</v>
      </c>
      <c r="D102" t="s">
        <v>5</v>
      </c>
      <c r="E102" t="s">
        <v>40</v>
      </c>
      <c r="F102" t="s">
        <v>73</v>
      </c>
      <c r="G102" t="s">
        <v>104</v>
      </c>
      <c r="H102" t="s">
        <v>42</v>
      </c>
      <c r="I102" t="s">
        <v>67</v>
      </c>
      <c r="J102" t="s">
        <v>255</v>
      </c>
      <c r="M102" t="s">
        <v>106</v>
      </c>
      <c r="P102" t="s">
        <v>46</v>
      </c>
      <c r="Q102" t="s">
        <v>47</v>
      </c>
      <c r="R102" t="s">
        <v>48</v>
      </c>
      <c r="V102" t="s">
        <v>49</v>
      </c>
      <c r="X102" t="s">
        <v>49</v>
      </c>
      <c r="Y102" t="s">
        <v>74</v>
      </c>
      <c r="Z102" t="s">
        <v>213</v>
      </c>
      <c r="AA102" t="s">
        <v>213</v>
      </c>
    </row>
    <row r="103" spans="1:27" x14ac:dyDescent="0.35">
      <c r="A103" t="str">
        <f t="shared" si="3"/>
        <v>3404C2</v>
      </c>
      <c r="B103" t="str">
        <f t="shared" si="2"/>
        <v>3404</v>
      </c>
      <c r="C103" t="s">
        <v>259</v>
      </c>
      <c r="D103" t="s">
        <v>1</v>
      </c>
      <c r="E103" t="s">
        <v>65</v>
      </c>
      <c r="F103" t="s">
        <v>66</v>
      </c>
      <c r="G103" t="s">
        <v>104</v>
      </c>
      <c r="H103" t="s">
        <v>42</v>
      </c>
      <c r="I103" t="s">
        <v>67</v>
      </c>
      <c r="J103" t="s">
        <v>255</v>
      </c>
      <c r="M103" t="s">
        <v>106</v>
      </c>
      <c r="P103" t="s">
        <v>69</v>
      </c>
      <c r="Q103" t="s">
        <v>47</v>
      </c>
      <c r="R103" t="s">
        <v>48</v>
      </c>
      <c r="V103" t="s">
        <v>49</v>
      </c>
      <c r="X103" t="s">
        <v>49</v>
      </c>
      <c r="Y103" t="s">
        <v>70</v>
      </c>
      <c r="Z103" t="s">
        <v>260</v>
      </c>
      <c r="AA103" t="s">
        <v>260</v>
      </c>
    </row>
    <row r="104" spans="1:27" x14ac:dyDescent="0.35">
      <c r="A104" t="str">
        <f t="shared" si="3"/>
        <v>3404D7</v>
      </c>
      <c r="B104" t="str">
        <f t="shared" si="2"/>
        <v>3404</v>
      </c>
      <c r="C104" t="s">
        <v>261</v>
      </c>
      <c r="D104" t="s">
        <v>6</v>
      </c>
      <c r="E104" t="s">
        <v>94</v>
      </c>
      <c r="F104" t="s">
        <v>111</v>
      </c>
      <c r="G104" t="s">
        <v>104</v>
      </c>
      <c r="H104" t="s">
        <v>42</v>
      </c>
      <c r="I104" t="s">
        <v>43</v>
      </c>
      <c r="J104" t="s">
        <v>255</v>
      </c>
      <c r="M104" t="s">
        <v>106</v>
      </c>
      <c r="P104" t="s">
        <v>46</v>
      </c>
      <c r="Q104" t="s">
        <v>47</v>
      </c>
      <c r="R104" t="s">
        <v>48</v>
      </c>
      <c r="V104" t="s">
        <v>49</v>
      </c>
      <c r="X104" t="s">
        <v>49</v>
      </c>
      <c r="Y104" t="s">
        <v>59</v>
      </c>
      <c r="Z104" t="s">
        <v>245</v>
      </c>
      <c r="AA104" t="s">
        <v>245</v>
      </c>
    </row>
    <row r="105" spans="1:27" x14ac:dyDescent="0.35">
      <c r="A105" t="str">
        <f t="shared" si="3"/>
        <v>3405F2</v>
      </c>
      <c r="B105" t="str">
        <f t="shared" si="2"/>
        <v>3405</v>
      </c>
      <c r="C105" t="s">
        <v>262</v>
      </c>
      <c r="D105" t="s">
        <v>4</v>
      </c>
      <c r="E105" t="s">
        <v>77</v>
      </c>
      <c r="F105" t="s">
        <v>78</v>
      </c>
      <c r="G105" t="s">
        <v>104</v>
      </c>
      <c r="H105" t="s">
        <v>42</v>
      </c>
      <c r="I105" t="s">
        <v>67</v>
      </c>
      <c r="J105" t="s">
        <v>263</v>
      </c>
      <c r="M105" t="s">
        <v>106</v>
      </c>
      <c r="P105" t="s">
        <v>91</v>
      </c>
      <c r="Q105" t="s">
        <v>47</v>
      </c>
      <c r="R105" t="s">
        <v>48</v>
      </c>
      <c r="V105" t="s">
        <v>49</v>
      </c>
      <c r="X105" t="s">
        <v>49</v>
      </c>
      <c r="Y105" t="s">
        <v>74</v>
      </c>
      <c r="Z105" t="s">
        <v>229</v>
      </c>
      <c r="AA105" t="s">
        <v>229</v>
      </c>
    </row>
    <row r="106" spans="1:27" x14ac:dyDescent="0.35">
      <c r="A106" t="str">
        <f t="shared" si="3"/>
        <v>3405D4</v>
      </c>
      <c r="B106" t="str">
        <f t="shared" si="2"/>
        <v>3405</v>
      </c>
      <c r="C106" t="s">
        <v>264</v>
      </c>
      <c r="D106" t="s">
        <v>3</v>
      </c>
      <c r="E106" t="s">
        <v>52</v>
      </c>
      <c r="F106" t="s">
        <v>53</v>
      </c>
      <c r="G106" t="s">
        <v>104</v>
      </c>
      <c r="H106" t="s">
        <v>42</v>
      </c>
      <c r="I106" t="s">
        <v>43</v>
      </c>
      <c r="J106" t="s">
        <v>263</v>
      </c>
      <c r="K106" t="s">
        <v>56</v>
      </c>
      <c r="M106" t="s">
        <v>106</v>
      </c>
      <c r="P106" t="s">
        <v>58</v>
      </c>
      <c r="Q106" t="s">
        <v>47</v>
      </c>
      <c r="R106" t="s">
        <v>48</v>
      </c>
      <c r="V106" t="s">
        <v>49</v>
      </c>
      <c r="X106" t="s">
        <v>49</v>
      </c>
      <c r="Y106" t="s">
        <v>59</v>
      </c>
      <c r="Z106" t="s">
        <v>260</v>
      </c>
      <c r="AA106" t="s">
        <v>260</v>
      </c>
    </row>
    <row r="107" spans="1:27" x14ac:dyDescent="0.35">
      <c r="A107" t="str">
        <f t="shared" si="3"/>
        <v>3405D2</v>
      </c>
      <c r="B107" t="str">
        <f t="shared" si="2"/>
        <v>3405</v>
      </c>
      <c r="C107" t="s">
        <v>265</v>
      </c>
      <c r="D107" t="s">
        <v>2</v>
      </c>
      <c r="E107" t="s">
        <v>62</v>
      </c>
      <c r="F107" t="s">
        <v>63</v>
      </c>
      <c r="G107" t="s">
        <v>104</v>
      </c>
      <c r="H107" t="s">
        <v>42</v>
      </c>
      <c r="I107" t="s">
        <v>43</v>
      </c>
      <c r="J107" t="s">
        <v>263</v>
      </c>
      <c r="K107" t="s">
        <v>56</v>
      </c>
      <c r="M107" t="s">
        <v>106</v>
      </c>
      <c r="P107" t="s">
        <v>58</v>
      </c>
      <c r="Q107" t="s">
        <v>47</v>
      </c>
      <c r="R107" t="s">
        <v>48</v>
      </c>
      <c r="V107" t="s">
        <v>49</v>
      </c>
      <c r="X107" t="s">
        <v>49</v>
      </c>
      <c r="Y107" t="s">
        <v>59</v>
      </c>
      <c r="Z107" t="s">
        <v>260</v>
      </c>
      <c r="AA107" t="s">
        <v>260</v>
      </c>
    </row>
    <row r="108" spans="1:27" x14ac:dyDescent="0.35">
      <c r="A108" t="str">
        <f t="shared" si="3"/>
        <v>3405F3</v>
      </c>
      <c r="B108" t="str">
        <f t="shared" si="2"/>
        <v>3405</v>
      </c>
      <c r="C108" t="s">
        <v>266</v>
      </c>
      <c r="D108" t="s">
        <v>5</v>
      </c>
      <c r="E108" t="s">
        <v>40</v>
      </c>
      <c r="F108" t="s">
        <v>73</v>
      </c>
      <c r="G108" t="s">
        <v>104</v>
      </c>
      <c r="H108" t="s">
        <v>42</v>
      </c>
      <c r="I108" t="s">
        <v>67</v>
      </c>
      <c r="J108" t="s">
        <v>263</v>
      </c>
      <c r="M108" t="s">
        <v>106</v>
      </c>
      <c r="P108" t="s">
        <v>46</v>
      </c>
      <c r="Q108" t="s">
        <v>47</v>
      </c>
      <c r="R108" t="s">
        <v>48</v>
      </c>
      <c r="V108" t="s">
        <v>49</v>
      </c>
      <c r="X108" t="s">
        <v>49</v>
      </c>
      <c r="Y108" t="s">
        <v>74</v>
      </c>
      <c r="Z108" t="s">
        <v>267</v>
      </c>
      <c r="AA108" t="s">
        <v>267</v>
      </c>
    </row>
    <row r="109" spans="1:27" x14ac:dyDescent="0.35">
      <c r="A109" t="str">
        <f t="shared" si="3"/>
        <v>3405C2</v>
      </c>
      <c r="B109" t="str">
        <f t="shared" si="2"/>
        <v>3405</v>
      </c>
      <c r="C109" t="s">
        <v>268</v>
      </c>
      <c r="D109" t="s">
        <v>1</v>
      </c>
      <c r="E109" t="s">
        <v>65</v>
      </c>
      <c r="F109" t="s">
        <v>66</v>
      </c>
      <c r="G109" t="s">
        <v>104</v>
      </c>
      <c r="H109" t="s">
        <v>42</v>
      </c>
      <c r="I109" t="s">
        <v>67</v>
      </c>
      <c r="J109" t="s">
        <v>263</v>
      </c>
      <c r="M109" t="s">
        <v>106</v>
      </c>
      <c r="P109" t="s">
        <v>69</v>
      </c>
      <c r="Q109" t="s">
        <v>47</v>
      </c>
      <c r="R109" t="s">
        <v>48</v>
      </c>
      <c r="V109" t="s">
        <v>49</v>
      </c>
      <c r="X109" t="s">
        <v>49</v>
      </c>
      <c r="Y109" t="s">
        <v>70</v>
      </c>
      <c r="Z109" t="s">
        <v>260</v>
      </c>
      <c r="AA109" t="s">
        <v>260</v>
      </c>
    </row>
    <row r="110" spans="1:27" x14ac:dyDescent="0.35">
      <c r="A110" t="str">
        <f t="shared" si="3"/>
        <v>3405D7</v>
      </c>
      <c r="B110" t="str">
        <f t="shared" si="2"/>
        <v>3405</v>
      </c>
      <c r="C110" t="s">
        <v>269</v>
      </c>
      <c r="D110" t="s">
        <v>6</v>
      </c>
      <c r="E110" t="s">
        <v>94</v>
      </c>
      <c r="F110" t="s">
        <v>111</v>
      </c>
      <c r="G110" t="s">
        <v>104</v>
      </c>
      <c r="H110" t="s">
        <v>42</v>
      </c>
      <c r="I110" t="s">
        <v>43</v>
      </c>
      <c r="J110" t="s">
        <v>263</v>
      </c>
      <c r="M110" t="s">
        <v>106</v>
      </c>
      <c r="P110" t="s">
        <v>46</v>
      </c>
      <c r="Q110" t="s">
        <v>47</v>
      </c>
      <c r="R110" t="s">
        <v>48</v>
      </c>
      <c r="V110" t="s">
        <v>49</v>
      </c>
      <c r="X110" t="s">
        <v>49</v>
      </c>
      <c r="Y110" t="s">
        <v>59</v>
      </c>
      <c r="Z110" t="s">
        <v>270</v>
      </c>
      <c r="AA110" t="s">
        <v>270</v>
      </c>
    </row>
    <row r="111" spans="1:27" x14ac:dyDescent="0.35">
      <c r="A111" t="str">
        <f t="shared" si="3"/>
        <v>3406F2</v>
      </c>
      <c r="B111" t="str">
        <f t="shared" si="2"/>
        <v>3406</v>
      </c>
      <c r="C111" t="s">
        <v>271</v>
      </c>
      <c r="D111" t="s">
        <v>4</v>
      </c>
      <c r="E111" t="s">
        <v>77</v>
      </c>
      <c r="F111" t="s">
        <v>78</v>
      </c>
      <c r="G111" t="s">
        <v>104</v>
      </c>
      <c r="H111" t="s">
        <v>42</v>
      </c>
      <c r="I111" t="s">
        <v>67</v>
      </c>
      <c r="J111" t="s">
        <v>272</v>
      </c>
      <c r="M111" t="s">
        <v>106</v>
      </c>
      <c r="P111" t="s">
        <v>273</v>
      </c>
      <c r="Q111" t="s">
        <v>47</v>
      </c>
      <c r="R111" t="s">
        <v>48</v>
      </c>
      <c r="V111" t="s">
        <v>49</v>
      </c>
      <c r="X111" t="s">
        <v>49</v>
      </c>
      <c r="Y111" t="s">
        <v>74</v>
      </c>
      <c r="Z111" t="s">
        <v>229</v>
      </c>
      <c r="AA111" t="s">
        <v>229</v>
      </c>
    </row>
    <row r="112" spans="1:27" x14ac:dyDescent="0.35">
      <c r="A112" t="str">
        <f t="shared" si="3"/>
        <v>3406D4</v>
      </c>
      <c r="B112" t="str">
        <f t="shared" si="2"/>
        <v>3406</v>
      </c>
      <c r="C112" t="s">
        <v>274</v>
      </c>
      <c r="D112" t="s">
        <v>3</v>
      </c>
      <c r="E112" t="s">
        <v>52</v>
      </c>
      <c r="F112" t="s">
        <v>53</v>
      </c>
      <c r="G112" t="s">
        <v>104</v>
      </c>
      <c r="H112" t="s">
        <v>42</v>
      </c>
      <c r="I112" t="s">
        <v>43</v>
      </c>
      <c r="J112" t="s">
        <v>272</v>
      </c>
      <c r="K112" t="s">
        <v>56</v>
      </c>
      <c r="M112" t="s">
        <v>106</v>
      </c>
      <c r="P112" t="s">
        <v>58</v>
      </c>
      <c r="Q112" t="s">
        <v>47</v>
      </c>
      <c r="R112" t="s">
        <v>48</v>
      </c>
      <c r="V112" t="s">
        <v>49</v>
      </c>
      <c r="X112" t="s">
        <v>49</v>
      </c>
      <c r="Y112" t="s">
        <v>59</v>
      </c>
      <c r="Z112" t="s">
        <v>260</v>
      </c>
      <c r="AA112" t="s">
        <v>260</v>
      </c>
    </row>
    <row r="113" spans="1:27" x14ac:dyDescent="0.35">
      <c r="A113" t="str">
        <f t="shared" si="3"/>
        <v>3406D2</v>
      </c>
      <c r="B113" t="str">
        <f t="shared" si="2"/>
        <v>3406</v>
      </c>
      <c r="C113" t="s">
        <v>275</v>
      </c>
      <c r="D113" t="s">
        <v>2</v>
      </c>
      <c r="E113" t="s">
        <v>62</v>
      </c>
      <c r="F113" t="s">
        <v>63</v>
      </c>
      <c r="G113" t="s">
        <v>104</v>
      </c>
      <c r="H113" t="s">
        <v>42</v>
      </c>
      <c r="I113" t="s">
        <v>43</v>
      </c>
      <c r="J113" t="s">
        <v>272</v>
      </c>
      <c r="K113" t="s">
        <v>56</v>
      </c>
      <c r="M113" t="s">
        <v>106</v>
      </c>
      <c r="P113" t="s">
        <v>58</v>
      </c>
      <c r="Q113" t="s">
        <v>47</v>
      </c>
      <c r="R113" t="s">
        <v>48</v>
      </c>
      <c r="V113" t="s">
        <v>49</v>
      </c>
      <c r="X113" t="s">
        <v>49</v>
      </c>
      <c r="Y113" t="s">
        <v>59</v>
      </c>
      <c r="Z113" t="s">
        <v>276</v>
      </c>
      <c r="AA113" t="s">
        <v>276</v>
      </c>
    </row>
    <row r="114" spans="1:27" x14ac:dyDescent="0.35">
      <c r="A114" t="str">
        <f t="shared" si="3"/>
        <v>3406F3</v>
      </c>
      <c r="B114" t="str">
        <f t="shared" si="2"/>
        <v>3406</v>
      </c>
      <c r="C114" t="s">
        <v>277</v>
      </c>
      <c r="D114" t="s">
        <v>5</v>
      </c>
      <c r="E114" t="s">
        <v>40</v>
      </c>
      <c r="F114" t="s">
        <v>73</v>
      </c>
      <c r="G114" t="s">
        <v>104</v>
      </c>
      <c r="H114" t="s">
        <v>42</v>
      </c>
      <c r="I114" t="s">
        <v>67</v>
      </c>
      <c r="J114" t="s">
        <v>272</v>
      </c>
      <c r="M114" t="s">
        <v>106</v>
      </c>
      <c r="P114" t="s">
        <v>46</v>
      </c>
      <c r="Q114" t="s">
        <v>47</v>
      </c>
      <c r="R114" t="s">
        <v>48</v>
      </c>
      <c r="V114" t="s">
        <v>49</v>
      </c>
      <c r="X114" t="s">
        <v>49</v>
      </c>
      <c r="Y114" t="s">
        <v>74</v>
      </c>
      <c r="Z114" t="s">
        <v>267</v>
      </c>
      <c r="AA114" t="s">
        <v>267</v>
      </c>
    </row>
    <row r="115" spans="1:27" x14ac:dyDescent="0.35">
      <c r="A115" t="str">
        <f t="shared" si="3"/>
        <v>3406C2</v>
      </c>
      <c r="B115" t="str">
        <f t="shared" si="2"/>
        <v>3406</v>
      </c>
      <c r="C115" t="s">
        <v>278</v>
      </c>
      <c r="D115" t="s">
        <v>1</v>
      </c>
      <c r="E115" t="s">
        <v>65</v>
      </c>
      <c r="F115" t="s">
        <v>66</v>
      </c>
      <c r="G115" t="s">
        <v>104</v>
      </c>
      <c r="H115" t="s">
        <v>42</v>
      </c>
      <c r="I115" t="s">
        <v>67</v>
      </c>
      <c r="J115" t="s">
        <v>272</v>
      </c>
      <c r="M115" t="s">
        <v>106</v>
      </c>
      <c r="P115" t="s">
        <v>69</v>
      </c>
      <c r="Q115" t="s">
        <v>47</v>
      </c>
      <c r="R115" t="s">
        <v>48</v>
      </c>
      <c r="V115" t="s">
        <v>49</v>
      </c>
      <c r="X115" t="s">
        <v>49</v>
      </c>
      <c r="Y115" t="s">
        <v>70</v>
      </c>
      <c r="Z115" t="s">
        <v>279</v>
      </c>
      <c r="AA115" t="s">
        <v>279</v>
      </c>
    </row>
    <row r="116" spans="1:27" x14ac:dyDescent="0.35">
      <c r="A116" t="str">
        <f t="shared" si="3"/>
        <v>3406D7</v>
      </c>
      <c r="B116" t="str">
        <f t="shared" si="2"/>
        <v>3406</v>
      </c>
      <c r="C116" t="s">
        <v>280</v>
      </c>
      <c r="D116" t="s">
        <v>6</v>
      </c>
      <c r="E116" t="s">
        <v>94</v>
      </c>
      <c r="F116" t="s">
        <v>111</v>
      </c>
      <c r="G116" t="s">
        <v>104</v>
      </c>
      <c r="H116" t="s">
        <v>42</v>
      </c>
      <c r="I116" t="s">
        <v>43</v>
      </c>
      <c r="J116" t="s">
        <v>272</v>
      </c>
      <c r="M116" t="s">
        <v>106</v>
      </c>
      <c r="P116" t="s">
        <v>46</v>
      </c>
      <c r="Q116" t="s">
        <v>47</v>
      </c>
      <c r="R116" t="s">
        <v>48</v>
      </c>
      <c r="V116" t="s">
        <v>49</v>
      </c>
      <c r="X116" t="s">
        <v>49</v>
      </c>
      <c r="Y116" t="s">
        <v>59</v>
      </c>
      <c r="Z116" t="s">
        <v>270</v>
      </c>
      <c r="AA116" t="s">
        <v>270</v>
      </c>
    </row>
    <row r="117" spans="1:27" x14ac:dyDescent="0.35">
      <c r="A117" t="str">
        <f t="shared" si="3"/>
        <v>3407F2</v>
      </c>
      <c r="B117" t="str">
        <f t="shared" si="2"/>
        <v>3407</v>
      </c>
      <c r="C117" t="s">
        <v>281</v>
      </c>
      <c r="D117" t="s">
        <v>4</v>
      </c>
      <c r="E117" t="s">
        <v>77</v>
      </c>
      <c r="F117" t="s">
        <v>78</v>
      </c>
      <c r="G117" t="s">
        <v>104</v>
      </c>
      <c r="H117" t="s">
        <v>42</v>
      </c>
      <c r="I117" t="s">
        <v>67</v>
      </c>
      <c r="J117" t="s">
        <v>282</v>
      </c>
      <c r="M117" t="s">
        <v>106</v>
      </c>
      <c r="P117" t="s">
        <v>189</v>
      </c>
      <c r="Q117" t="s">
        <v>47</v>
      </c>
      <c r="R117" t="s">
        <v>48</v>
      </c>
      <c r="V117" t="s">
        <v>49</v>
      </c>
      <c r="X117" t="s">
        <v>49</v>
      </c>
      <c r="Y117" t="s">
        <v>74</v>
      </c>
      <c r="Z117" t="s">
        <v>283</v>
      </c>
      <c r="AA117" t="s">
        <v>283</v>
      </c>
    </row>
    <row r="118" spans="1:27" x14ac:dyDescent="0.35">
      <c r="A118" t="str">
        <f t="shared" si="3"/>
        <v>3407D4</v>
      </c>
      <c r="B118" t="str">
        <f t="shared" si="2"/>
        <v>3407</v>
      </c>
      <c r="C118" t="s">
        <v>284</v>
      </c>
      <c r="D118" t="s">
        <v>3</v>
      </c>
      <c r="E118" t="s">
        <v>52</v>
      </c>
      <c r="F118" t="s">
        <v>53</v>
      </c>
      <c r="G118" t="s">
        <v>104</v>
      </c>
      <c r="H118" t="s">
        <v>42</v>
      </c>
      <c r="I118" t="s">
        <v>43</v>
      </c>
      <c r="J118" t="s">
        <v>282</v>
      </c>
      <c r="K118" t="s">
        <v>56</v>
      </c>
      <c r="M118" t="s">
        <v>106</v>
      </c>
      <c r="P118" t="s">
        <v>58</v>
      </c>
      <c r="Q118" t="s">
        <v>47</v>
      </c>
      <c r="R118" t="s">
        <v>48</v>
      </c>
      <c r="V118" t="s">
        <v>49</v>
      </c>
      <c r="X118" t="s">
        <v>49</v>
      </c>
      <c r="Y118" t="s">
        <v>59</v>
      </c>
      <c r="Z118" t="s">
        <v>285</v>
      </c>
      <c r="AA118" t="s">
        <v>285</v>
      </c>
    </row>
    <row r="119" spans="1:27" x14ac:dyDescent="0.35">
      <c r="A119" t="str">
        <f t="shared" si="3"/>
        <v>3407D2</v>
      </c>
      <c r="B119" t="str">
        <f t="shared" si="2"/>
        <v>3407</v>
      </c>
      <c r="C119" t="s">
        <v>286</v>
      </c>
      <c r="D119" t="s">
        <v>2</v>
      </c>
      <c r="E119" t="s">
        <v>62</v>
      </c>
      <c r="F119" t="s">
        <v>63</v>
      </c>
      <c r="G119" t="s">
        <v>104</v>
      </c>
      <c r="H119" t="s">
        <v>42</v>
      </c>
      <c r="I119" t="s">
        <v>43</v>
      </c>
      <c r="J119" t="s">
        <v>282</v>
      </c>
      <c r="K119" t="s">
        <v>56</v>
      </c>
      <c r="M119" t="s">
        <v>106</v>
      </c>
      <c r="P119" t="s">
        <v>58</v>
      </c>
      <c r="Q119" t="s">
        <v>47</v>
      </c>
      <c r="R119" t="s">
        <v>48</v>
      </c>
      <c r="V119" t="s">
        <v>49</v>
      </c>
      <c r="X119" t="s">
        <v>49</v>
      </c>
      <c r="Y119" t="s">
        <v>59</v>
      </c>
      <c r="Z119" t="s">
        <v>287</v>
      </c>
      <c r="AA119" t="s">
        <v>287</v>
      </c>
    </row>
    <row r="120" spans="1:27" x14ac:dyDescent="0.35">
      <c r="A120" t="str">
        <f t="shared" si="3"/>
        <v>3407F3</v>
      </c>
      <c r="B120" t="str">
        <f t="shared" si="2"/>
        <v>3407</v>
      </c>
      <c r="C120" t="s">
        <v>288</v>
      </c>
      <c r="D120" t="s">
        <v>5</v>
      </c>
      <c r="E120" t="s">
        <v>40</v>
      </c>
      <c r="F120" t="s">
        <v>73</v>
      </c>
      <c r="G120" t="s">
        <v>104</v>
      </c>
      <c r="H120" t="s">
        <v>42</v>
      </c>
      <c r="I120" t="s">
        <v>67</v>
      </c>
      <c r="J120" t="s">
        <v>282</v>
      </c>
      <c r="M120" t="s">
        <v>106</v>
      </c>
      <c r="P120" t="s">
        <v>46</v>
      </c>
      <c r="Q120" t="s">
        <v>47</v>
      </c>
      <c r="R120" t="s">
        <v>48</v>
      </c>
      <c r="V120" t="s">
        <v>49</v>
      </c>
      <c r="X120" t="s">
        <v>49</v>
      </c>
      <c r="Y120" t="s">
        <v>74</v>
      </c>
      <c r="Z120" t="s">
        <v>267</v>
      </c>
      <c r="AA120" t="s">
        <v>267</v>
      </c>
    </row>
    <row r="121" spans="1:27" x14ac:dyDescent="0.35">
      <c r="A121" t="str">
        <f t="shared" si="3"/>
        <v>3407C2</v>
      </c>
      <c r="B121" t="str">
        <f t="shared" si="2"/>
        <v>3407</v>
      </c>
      <c r="C121" t="s">
        <v>289</v>
      </c>
      <c r="D121" t="s">
        <v>1</v>
      </c>
      <c r="E121" t="s">
        <v>65</v>
      </c>
      <c r="F121" t="s">
        <v>66</v>
      </c>
      <c r="G121" t="s">
        <v>104</v>
      </c>
      <c r="H121" t="s">
        <v>42</v>
      </c>
      <c r="I121" t="s">
        <v>67</v>
      </c>
      <c r="J121" t="s">
        <v>282</v>
      </c>
      <c r="M121" t="s">
        <v>106</v>
      </c>
      <c r="P121" t="s">
        <v>69</v>
      </c>
      <c r="Q121" t="s">
        <v>47</v>
      </c>
      <c r="R121" t="s">
        <v>48</v>
      </c>
      <c r="V121" t="s">
        <v>49</v>
      </c>
      <c r="X121" t="s">
        <v>49</v>
      </c>
      <c r="Y121" t="s">
        <v>70</v>
      </c>
      <c r="Z121" t="s">
        <v>287</v>
      </c>
      <c r="AA121" t="s">
        <v>287</v>
      </c>
    </row>
    <row r="122" spans="1:27" x14ac:dyDescent="0.35">
      <c r="A122" t="str">
        <f t="shared" si="3"/>
        <v>3407D7</v>
      </c>
      <c r="B122" t="str">
        <f t="shared" si="2"/>
        <v>3407</v>
      </c>
      <c r="C122" t="s">
        <v>290</v>
      </c>
      <c r="D122" t="s">
        <v>6</v>
      </c>
      <c r="E122" t="s">
        <v>94</v>
      </c>
      <c r="F122" t="s">
        <v>111</v>
      </c>
      <c r="G122" t="s">
        <v>104</v>
      </c>
      <c r="H122" t="s">
        <v>42</v>
      </c>
      <c r="I122" t="s">
        <v>43</v>
      </c>
      <c r="J122" t="s">
        <v>282</v>
      </c>
      <c r="M122" t="s">
        <v>106</v>
      </c>
      <c r="P122" t="s">
        <v>46</v>
      </c>
      <c r="Q122" t="s">
        <v>47</v>
      </c>
      <c r="R122" t="s">
        <v>48</v>
      </c>
      <c r="V122" t="s">
        <v>49</v>
      </c>
      <c r="X122" t="s">
        <v>49</v>
      </c>
      <c r="Y122" t="s">
        <v>59</v>
      </c>
      <c r="Z122" t="s">
        <v>291</v>
      </c>
      <c r="AA122" t="s">
        <v>291</v>
      </c>
    </row>
    <row r="123" spans="1:27" x14ac:dyDescent="0.35">
      <c r="A123" t="str">
        <f t="shared" si="3"/>
        <v>3408F2</v>
      </c>
      <c r="B123" t="str">
        <f t="shared" si="2"/>
        <v>3408</v>
      </c>
      <c r="C123" t="s">
        <v>292</v>
      </c>
      <c r="D123" t="s">
        <v>4</v>
      </c>
      <c r="E123" t="s">
        <v>77</v>
      </c>
      <c r="F123" t="s">
        <v>78</v>
      </c>
      <c r="G123" t="s">
        <v>104</v>
      </c>
      <c r="H123" t="s">
        <v>42</v>
      </c>
      <c r="I123" t="s">
        <v>67</v>
      </c>
      <c r="J123" t="s">
        <v>293</v>
      </c>
      <c r="M123" t="s">
        <v>106</v>
      </c>
      <c r="P123" t="s">
        <v>189</v>
      </c>
      <c r="Q123" t="s">
        <v>47</v>
      </c>
      <c r="R123" t="s">
        <v>48</v>
      </c>
      <c r="V123" t="s">
        <v>49</v>
      </c>
      <c r="X123" t="s">
        <v>49</v>
      </c>
      <c r="Y123" t="s">
        <v>74</v>
      </c>
      <c r="Z123" t="s">
        <v>283</v>
      </c>
      <c r="AA123" t="s">
        <v>283</v>
      </c>
    </row>
    <row r="124" spans="1:27" x14ac:dyDescent="0.35">
      <c r="A124" t="str">
        <f t="shared" si="3"/>
        <v>3408D4</v>
      </c>
      <c r="B124" t="str">
        <f t="shared" si="2"/>
        <v>3408</v>
      </c>
      <c r="C124" t="s">
        <v>294</v>
      </c>
      <c r="D124" t="s">
        <v>3</v>
      </c>
      <c r="E124" t="s">
        <v>52</v>
      </c>
      <c r="F124" t="s">
        <v>53</v>
      </c>
      <c r="G124" t="s">
        <v>104</v>
      </c>
      <c r="H124" t="s">
        <v>42</v>
      </c>
      <c r="I124" t="s">
        <v>43</v>
      </c>
      <c r="J124" t="s">
        <v>293</v>
      </c>
      <c r="K124" t="s">
        <v>56</v>
      </c>
      <c r="M124" t="s">
        <v>106</v>
      </c>
      <c r="P124" t="s">
        <v>58</v>
      </c>
      <c r="Q124" t="s">
        <v>47</v>
      </c>
      <c r="R124" t="s">
        <v>48</v>
      </c>
      <c r="V124" t="s">
        <v>49</v>
      </c>
      <c r="X124" t="s">
        <v>49</v>
      </c>
      <c r="Y124" t="s">
        <v>59</v>
      </c>
      <c r="Z124" t="s">
        <v>295</v>
      </c>
      <c r="AA124" t="s">
        <v>295</v>
      </c>
    </row>
    <row r="125" spans="1:27" x14ac:dyDescent="0.35">
      <c r="A125" t="str">
        <f t="shared" si="3"/>
        <v>3408D2</v>
      </c>
      <c r="B125" t="str">
        <f t="shared" si="2"/>
        <v>3408</v>
      </c>
      <c r="C125" t="s">
        <v>296</v>
      </c>
      <c r="D125" t="s">
        <v>2</v>
      </c>
      <c r="E125" t="s">
        <v>62</v>
      </c>
      <c r="F125" t="s">
        <v>63</v>
      </c>
      <c r="G125" t="s">
        <v>104</v>
      </c>
      <c r="H125" t="s">
        <v>42</v>
      </c>
      <c r="I125" t="s">
        <v>43</v>
      </c>
      <c r="J125" t="s">
        <v>293</v>
      </c>
      <c r="K125" t="s">
        <v>56</v>
      </c>
      <c r="M125" t="s">
        <v>106</v>
      </c>
      <c r="P125" t="s">
        <v>58</v>
      </c>
      <c r="Q125" t="s">
        <v>47</v>
      </c>
      <c r="R125" t="s">
        <v>48</v>
      </c>
      <c r="V125" t="s">
        <v>49</v>
      </c>
      <c r="X125" t="s">
        <v>49</v>
      </c>
      <c r="Y125" t="s">
        <v>59</v>
      </c>
      <c r="Z125" t="s">
        <v>295</v>
      </c>
      <c r="AA125" t="s">
        <v>295</v>
      </c>
    </row>
    <row r="126" spans="1:27" x14ac:dyDescent="0.35">
      <c r="A126" t="str">
        <f t="shared" si="3"/>
        <v>3408F3</v>
      </c>
      <c r="B126" t="str">
        <f t="shared" si="2"/>
        <v>3408</v>
      </c>
      <c r="C126" t="s">
        <v>297</v>
      </c>
      <c r="D126" t="s">
        <v>5</v>
      </c>
      <c r="E126" t="s">
        <v>40</v>
      </c>
      <c r="F126" t="s">
        <v>73</v>
      </c>
      <c r="G126" t="s">
        <v>104</v>
      </c>
      <c r="H126" t="s">
        <v>42</v>
      </c>
      <c r="I126" t="s">
        <v>67</v>
      </c>
      <c r="J126" t="s">
        <v>293</v>
      </c>
      <c r="M126" t="s">
        <v>106</v>
      </c>
      <c r="P126" t="s">
        <v>46</v>
      </c>
      <c r="Q126" t="s">
        <v>47</v>
      </c>
      <c r="R126" t="s">
        <v>48</v>
      </c>
      <c r="V126" t="s">
        <v>49</v>
      </c>
      <c r="X126" t="s">
        <v>49</v>
      </c>
      <c r="Y126" t="s">
        <v>74</v>
      </c>
      <c r="Z126" t="s">
        <v>267</v>
      </c>
      <c r="AA126" t="s">
        <v>267</v>
      </c>
    </row>
    <row r="127" spans="1:27" x14ac:dyDescent="0.35">
      <c r="A127" t="str">
        <f t="shared" si="3"/>
        <v>3408C2</v>
      </c>
      <c r="B127" t="str">
        <f t="shared" si="2"/>
        <v>3408</v>
      </c>
      <c r="C127" t="s">
        <v>298</v>
      </c>
      <c r="D127" t="s">
        <v>1</v>
      </c>
      <c r="E127" t="s">
        <v>65</v>
      </c>
      <c r="F127" t="s">
        <v>66</v>
      </c>
      <c r="G127" t="s">
        <v>104</v>
      </c>
      <c r="H127" t="s">
        <v>42</v>
      </c>
      <c r="I127" t="s">
        <v>67</v>
      </c>
      <c r="J127" t="s">
        <v>293</v>
      </c>
      <c r="M127" t="s">
        <v>106</v>
      </c>
      <c r="P127" t="s">
        <v>69</v>
      </c>
      <c r="Q127" t="s">
        <v>47</v>
      </c>
      <c r="R127" t="s">
        <v>48</v>
      </c>
      <c r="V127" t="s">
        <v>49</v>
      </c>
      <c r="X127" t="s">
        <v>49</v>
      </c>
      <c r="Y127" t="s">
        <v>70</v>
      </c>
      <c r="Z127" t="s">
        <v>299</v>
      </c>
      <c r="AA127" t="s">
        <v>299</v>
      </c>
    </row>
    <row r="128" spans="1:27" x14ac:dyDescent="0.35">
      <c r="A128" t="str">
        <f t="shared" si="3"/>
        <v>3408D7</v>
      </c>
      <c r="B128" t="str">
        <f t="shared" si="2"/>
        <v>3408</v>
      </c>
      <c r="C128" t="s">
        <v>300</v>
      </c>
      <c r="D128" t="s">
        <v>6</v>
      </c>
      <c r="E128" t="s">
        <v>94</v>
      </c>
      <c r="F128" t="s">
        <v>111</v>
      </c>
      <c r="G128" t="s">
        <v>104</v>
      </c>
      <c r="H128" t="s">
        <v>42</v>
      </c>
      <c r="I128" t="s">
        <v>43</v>
      </c>
      <c r="J128" t="s">
        <v>293</v>
      </c>
      <c r="M128" t="s">
        <v>106</v>
      </c>
      <c r="P128" t="s">
        <v>46</v>
      </c>
      <c r="Q128" t="s">
        <v>47</v>
      </c>
      <c r="R128" t="s">
        <v>48</v>
      </c>
      <c r="V128" t="s">
        <v>49</v>
      </c>
      <c r="X128" t="s">
        <v>49</v>
      </c>
      <c r="Y128" t="s">
        <v>59</v>
      </c>
      <c r="Z128" t="s">
        <v>301</v>
      </c>
      <c r="AA128" t="s">
        <v>301</v>
      </c>
    </row>
    <row r="129" spans="1:27" x14ac:dyDescent="0.35">
      <c r="A129" t="str">
        <f t="shared" si="3"/>
        <v>3409F2</v>
      </c>
      <c r="B129" t="str">
        <f t="shared" si="2"/>
        <v>3409</v>
      </c>
      <c r="C129" t="s">
        <v>302</v>
      </c>
      <c r="D129" t="s">
        <v>4</v>
      </c>
      <c r="E129" t="s">
        <v>77</v>
      </c>
      <c r="F129" t="s">
        <v>78</v>
      </c>
      <c r="G129" t="s">
        <v>104</v>
      </c>
      <c r="H129" t="s">
        <v>42</v>
      </c>
      <c r="I129" t="s">
        <v>67</v>
      </c>
      <c r="J129" t="s">
        <v>303</v>
      </c>
      <c r="M129" t="s">
        <v>106</v>
      </c>
      <c r="P129" t="s">
        <v>304</v>
      </c>
      <c r="Q129" t="s">
        <v>47</v>
      </c>
      <c r="R129" t="s">
        <v>48</v>
      </c>
      <c r="V129" t="s">
        <v>49</v>
      </c>
      <c r="X129" t="s">
        <v>49</v>
      </c>
      <c r="Y129" t="s">
        <v>74</v>
      </c>
      <c r="Z129" t="s">
        <v>283</v>
      </c>
      <c r="AA129" t="s">
        <v>283</v>
      </c>
    </row>
    <row r="130" spans="1:27" x14ac:dyDescent="0.35">
      <c r="A130" t="str">
        <f t="shared" si="3"/>
        <v>3409D4</v>
      </c>
      <c r="B130" t="str">
        <f t="shared" ref="B130:B193" si="4">LEFT($J:$J,4)</f>
        <v>3409</v>
      </c>
      <c r="C130" t="s">
        <v>305</v>
      </c>
      <c r="D130" t="s">
        <v>3</v>
      </c>
      <c r="E130" t="s">
        <v>52</v>
      </c>
      <c r="F130" t="s">
        <v>53</v>
      </c>
      <c r="G130" t="s">
        <v>104</v>
      </c>
      <c r="H130" t="s">
        <v>42</v>
      </c>
      <c r="I130" t="s">
        <v>43</v>
      </c>
      <c r="J130" t="s">
        <v>303</v>
      </c>
      <c r="K130" t="s">
        <v>56</v>
      </c>
      <c r="M130" t="s">
        <v>106</v>
      </c>
      <c r="P130" t="s">
        <v>58</v>
      </c>
      <c r="Q130" t="s">
        <v>47</v>
      </c>
      <c r="R130" t="s">
        <v>48</v>
      </c>
      <c r="V130" t="s">
        <v>49</v>
      </c>
      <c r="X130" t="s">
        <v>49</v>
      </c>
      <c r="Y130" t="s">
        <v>59</v>
      </c>
      <c r="Z130" t="s">
        <v>276</v>
      </c>
      <c r="AA130" t="s">
        <v>276</v>
      </c>
    </row>
    <row r="131" spans="1:27" x14ac:dyDescent="0.35">
      <c r="A131" t="str">
        <f t="shared" ref="A131:A194" si="5">B131&amp;D131</f>
        <v>3409D2</v>
      </c>
      <c r="B131" t="str">
        <f t="shared" si="4"/>
        <v>3409</v>
      </c>
      <c r="C131" t="s">
        <v>306</v>
      </c>
      <c r="D131" t="s">
        <v>2</v>
      </c>
      <c r="E131" t="s">
        <v>62</v>
      </c>
      <c r="F131" t="s">
        <v>63</v>
      </c>
      <c r="G131" t="s">
        <v>104</v>
      </c>
      <c r="H131" t="s">
        <v>42</v>
      </c>
      <c r="I131" t="s">
        <v>43</v>
      </c>
      <c r="J131" t="s">
        <v>303</v>
      </c>
      <c r="K131" t="s">
        <v>56</v>
      </c>
      <c r="M131" t="s">
        <v>106</v>
      </c>
      <c r="P131" t="s">
        <v>58</v>
      </c>
      <c r="Q131" t="s">
        <v>47</v>
      </c>
      <c r="R131" t="s">
        <v>48</v>
      </c>
      <c r="V131" t="s">
        <v>49</v>
      </c>
      <c r="X131" t="s">
        <v>49</v>
      </c>
      <c r="Y131" t="s">
        <v>59</v>
      </c>
      <c r="Z131" t="s">
        <v>276</v>
      </c>
      <c r="AA131" t="s">
        <v>276</v>
      </c>
    </row>
    <row r="132" spans="1:27" x14ac:dyDescent="0.35">
      <c r="A132" t="str">
        <f t="shared" si="5"/>
        <v>3409F3</v>
      </c>
      <c r="B132" t="str">
        <f t="shared" si="4"/>
        <v>3409</v>
      </c>
      <c r="C132" t="s">
        <v>307</v>
      </c>
      <c r="D132" t="s">
        <v>5</v>
      </c>
      <c r="E132" t="s">
        <v>40</v>
      </c>
      <c r="F132" t="s">
        <v>73</v>
      </c>
      <c r="G132" t="s">
        <v>104</v>
      </c>
      <c r="H132" t="s">
        <v>42</v>
      </c>
      <c r="I132" t="s">
        <v>67</v>
      </c>
      <c r="J132" t="s">
        <v>303</v>
      </c>
      <c r="M132" t="s">
        <v>106</v>
      </c>
      <c r="P132" t="s">
        <v>46</v>
      </c>
      <c r="Q132" t="s">
        <v>47</v>
      </c>
      <c r="R132" t="s">
        <v>48</v>
      </c>
      <c r="V132" t="s">
        <v>49</v>
      </c>
      <c r="X132" t="s">
        <v>49</v>
      </c>
      <c r="Y132" t="s">
        <v>74</v>
      </c>
      <c r="Z132" t="s">
        <v>308</v>
      </c>
      <c r="AA132" t="s">
        <v>308</v>
      </c>
    </row>
    <row r="133" spans="1:27" x14ac:dyDescent="0.35">
      <c r="A133" t="str">
        <f t="shared" si="5"/>
        <v>3409C2</v>
      </c>
      <c r="B133" t="str">
        <f t="shared" si="4"/>
        <v>3409</v>
      </c>
      <c r="C133" t="s">
        <v>309</v>
      </c>
      <c r="D133" t="s">
        <v>1</v>
      </c>
      <c r="E133" t="s">
        <v>65</v>
      </c>
      <c r="F133" t="s">
        <v>66</v>
      </c>
      <c r="G133" t="s">
        <v>104</v>
      </c>
      <c r="H133" t="s">
        <v>42</v>
      </c>
      <c r="I133" t="s">
        <v>67</v>
      </c>
      <c r="J133" t="s">
        <v>303</v>
      </c>
      <c r="M133" t="s">
        <v>106</v>
      </c>
      <c r="P133" t="s">
        <v>69</v>
      </c>
      <c r="Q133" t="s">
        <v>47</v>
      </c>
      <c r="R133" t="s">
        <v>48</v>
      </c>
      <c r="V133" t="s">
        <v>49</v>
      </c>
      <c r="X133" t="s">
        <v>49</v>
      </c>
      <c r="Y133" t="s">
        <v>70</v>
      </c>
      <c r="Z133" t="s">
        <v>276</v>
      </c>
      <c r="AA133" t="s">
        <v>276</v>
      </c>
    </row>
    <row r="134" spans="1:27" x14ac:dyDescent="0.35">
      <c r="A134" t="str">
        <f t="shared" si="5"/>
        <v>3409D7</v>
      </c>
      <c r="B134" t="str">
        <f t="shared" si="4"/>
        <v>3409</v>
      </c>
      <c r="C134" t="s">
        <v>310</v>
      </c>
      <c r="D134" t="s">
        <v>6</v>
      </c>
      <c r="E134" t="s">
        <v>94</v>
      </c>
      <c r="F134" t="s">
        <v>111</v>
      </c>
      <c r="G134" t="s">
        <v>104</v>
      </c>
      <c r="H134" t="s">
        <v>42</v>
      </c>
      <c r="I134" t="s">
        <v>43</v>
      </c>
      <c r="J134" t="s">
        <v>303</v>
      </c>
      <c r="M134" t="s">
        <v>106</v>
      </c>
      <c r="P134" t="s">
        <v>273</v>
      </c>
      <c r="Q134" t="s">
        <v>47</v>
      </c>
      <c r="R134" t="s">
        <v>48</v>
      </c>
      <c r="V134" t="s">
        <v>49</v>
      </c>
      <c r="X134" t="s">
        <v>49</v>
      </c>
      <c r="Y134" t="s">
        <v>59</v>
      </c>
      <c r="Z134" t="s">
        <v>301</v>
      </c>
      <c r="AA134" t="s">
        <v>301</v>
      </c>
    </row>
    <row r="135" spans="1:27" x14ac:dyDescent="0.35">
      <c r="A135" t="str">
        <f t="shared" si="5"/>
        <v>3410F2</v>
      </c>
      <c r="B135" t="str">
        <f t="shared" si="4"/>
        <v>3410</v>
      </c>
      <c r="C135" t="s">
        <v>311</v>
      </c>
      <c r="D135" t="s">
        <v>4</v>
      </c>
      <c r="E135" t="s">
        <v>77</v>
      </c>
      <c r="F135" t="s">
        <v>78</v>
      </c>
      <c r="G135" t="s">
        <v>104</v>
      </c>
      <c r="H135" t="s">
        <v>42</v>
      </c>
      <c r="I135" t="s">
        <v>67</v>
      </c>
      <c r="J135" t="s">
        <v>312</v>
      </c>
      <c r="M135" t="s">
        <v>106</v>
      </c>
      <c r="P135" t="s">
        <v>46</v>
      </c>
      <c r="Q135" t="s">
        <v>47</v>
      </c>
      <c r="R135" t="s">
        <v>48</v>
      </c>
      <c r="V135" t="s">
        <v>49</v>
      </c>
      <c r="X135" t="s">
        <v>49</v>
      </c>
      <c r="Y135" t="s">
        <v>74</v>
      </c>
      <c r="Z135" t="s">
        <v>308</v>
      </c>
      <c r="AA135" t="s">
        <v>308</v>
      </c>
    </row>
    <row r="136" spans="1:27" x14ac:dyDescent="0.35">
      <c r="A136" t="str">
        <f t="shared" si="5"/>
        <v>3410D4</v>
      </c>
      <c r="B136" t="str">
        <f t="shared" si="4"/>
        <v>3410</v>
      </c>
      <c r="C136" t="s">
        <v>313</v>
      </c>
      <c r="D136" t="s">
        <v>3</v>
      </c>
      <c r="E136" t="s">
        <v>52</v>
      </c>
      <c r="F136" t="s">
        <v>53</v>
      </c>
      <c r="G136" t="s">
        <v>104</v>
      </c>
      <c r="H136" t="s">
        <v>42</v>
      </c>
      <c r="I136" t="s">
        <v>43</v>
      </c>
      <c r="J136" t="s">
        <v>312</v>
      </c>
      <c r="K136" t="s">
        <v>56</v>
      </c>
      <c r="M136" t="s">
        <v>106</v>
      </c>
      <c r="P136" t="s">
        <v>58</v>
      </c>
      <c r="Q136" t="s">
        <v>47</v>
      </c>
      <c r="R136" t="s">
        <v>48</v>
      </c>
      <c r="V136" t="s">
        <v>49</v>
      </c>
      <c r="X136" t="s">
        <v>49</v>
      </c>
      <c r="Y136" t="s">
        <v>59</v>
      </c>
      <c r="Z136" t="s">
        <v>314</v>
      </c>
      <c r="AA136" t="s">
        <v>314</v>
      </c>
    </row>
    <row r="137" spans="1:27" x14ac:dyDescent="0.35">
      <c r="A137" t="str">
        <f t="shared" si="5"/>
        <v>3410D2</v>
      </c>
      <c r="B137" t="str">
        <f t="shared" si="4"/>
        <v>3410</v>
      </c>
      <c r="C137" t="s">
        <v>315</v>
      </c>
      <c r="D137" t="s">
        <v>2</v>
      </c>
      <c r="E137" t="s">
        <v>62</v>
      </c>
      <c r="F137" t="s">
        <v>63</v>
      </c>
      <c r="G137" t="s">
        <v>104</v>
      </c>
      <c r="H137" t="s">
        <v>42</v>
      </c>
      <c r="I137" t="s">
        <v>43</v>
      </c>
      <c r="J137" t="s">
        <v>312</v>
      </c>
      <c r="K137" t="s">
        <v>56</v>
      </c>
      <c r="M137" t="s">
        <v>106</v>
      </c>
      <c r="P137" t="s">
        <v>58</v>
      </c>
      <c r="Q137" t="s">
        <v>47</v>
      </c>
      <c r="R137" t="s">
        <v>48</v>
      </c>
      <c r="V137" t="s">
        <v>49</v>
      </c>
      <c r="X137" t="s">
        <v>49</v>
      </c>
      <c r="Y137" t="s">
        <v>59</v>
      </c>
      <c r="Z137" t="s">
        <v>295</v>
      </c>
      <c r="AA137" t="s">
        <v>295</v>
      </c>
    </row>
    <row r="138" spans="1:27" x14ac:dyDescent="0.35">
      <c r="A138" t="str">
        <f t="shared" si="5"/>
        <v>3410F3</v>
      </c>
      <c r="B138" t="str">
        <f t="shared" si="4"/>
        <v>3410</v>
      </c>
      <c r="C138" t="s">
        <v>316</v>
      </c>
      <c r="D138" t="s">
        <v>5</v>
      </c>
      <c r="E138" t="s">
        <v>40</v>
      </c>
      <c r="F138" t="s">
        <v>73</v>
      </c>
      <c r="G138" t="s">
        <v>104</v>
      </c>
      <c r="H138" t="s">
        <v>42</v>
      </c>
      <c r="I138" t="s">
        <v>67</v>
      </c>
      <c r="J138" t="s">
        <v>312</v>
      </c>
      <c r="M138" t="s">
        <v>106</v>
      </c>
      <c r="P138" t="s">
        <v>46</v>
      </c>
      <c r="Q138" t="s">
        <v>47</v>
      </c>
      <c r="R138" t="s">
        <v>48</v>
      </c>
      <c r="V138" t="s">
        <v>49</v>
      </c>
      <c r="X138" t="s">
        <v>49</v>
      </c>
      <c r="Y138" t="s">
        <v>74</v>
      </c>
      <c r="Z138" t="s">
        <v>308</v>
      </c>
      <c r="AA138" t="s">
        <v>308</v>
      </c>
    </row>
    <row r="139" spans="1:27" x14ac:dyDescent="0.35">
      <c r="A139" t="str">
        <f t="shared" si="5"/>
        <v>3410C2</v>
      </c>
      <c r="B139" t="str">
        <f t="shared" si="4"/>
        <v>3410</v>
      </c>
      <c r="C139" t="s">
        <v>317</v>
      </c>
      <c r="D139" t="s">
        <v>1</v>
      </c>
      <c r="E139" t="s">
        <v>65</v>
      </c>
      <c r="F139" t="s">
        <v>66</v>
      </c>
      <c r="G139" t="s">
        <v>104</v>
      </c>
      <c r="H139" t="s">
        <v>42</v>
      </c>
      <c r="I139" t="s">
        <v>67</v>
      </c>
      <c r="J139" t="s">
        <v>312</v>
      </c>
      <c r="M139" t="s">
        <v>106</v>
      </c>
      <c r="P139" t="s">
        <v>69</v>
      </c>
      <c r="Q139" t="s">
        <v>47</v>
      </c>
      <c r="R139" t="s">
        <v>48</v>
      </c>
      <c r="V139" t="s">
        <v>49</v>
      </c>
      <c r="X139" t="s">
        <v>49</v>
      </c>
      <c r="Y139" t="s">
        <v>70</v>
      </c>
      <c r="Z139" t="s">
        <v>295</v>
      </c>
      <c r="AA139" t="s">
        <v>295</v>
      </c>
    </row>
    <row r="140" spans="1:27" x14ac:dyDescent="0.35">
      <c r="A140" t="str">
        <f t="shared" si="5"/>
        <v>3410D7</v>
      </c>
      <c r="B140" t="str">
        <f t="shared" si="4"/>
        <v>3410</v>
      </c>
      <c r="C140" t="s">
        <v>318</v>
      </c>
      <c r="D140" t="s">
        <v>6</v>
      </c>
      <c r="E140" t="s">
        <v>94</v>
      </c>
      <c r="F140" t="s">
        <v>111</v>
      </c>
      <c r="G140" t="s">
        <v>104</v>
      </c>
      <c r="H140" t="s">
        <v>42</v>
      </c>
      <c r="I140" t="s">
        <v>43</v>
      </c>
      <c r="J140" t="s">
        <v>312</v>
      </c>
      <c r="M140" t="s">
        <v>106</v>
      </c>
      <c r="P140" t="s">
        <v>46</v>
      </c>
      <c r="Q140" t="s">
        <v>47</v>
      </c>
      <c r="R140" t="s">
        <v>48</v>
      </c>
      <c r="V140" t="s">
        <v>49</v>
      </c>
      <c r="X140" t="s">
        <v>49</v>
      </c>
      <c r="Y140" t="s">
        <v>59</v>
      </c>
      <c r="Z140" t="s">
        <v>319</v>
      </c>
      <c r="AA140" t="s">
        <v>319</v>
      </c>
    </row>
    <row r="141" spans="1:27" x14ac:dyDescent="0.35">
      <c r="A141" t="str">
        <f t="shared" si="5"/>
        <v>3501F2</v>
      </c>
      <c r="B141" t="str">
        <f t="shared" si="4"/>
        <v>3501</v>
      </c>
      <c r="C141" t="s">
        <v>320</v>
      </c>
      <c r="D141" t="s">
        <v>4</v>
      </c>
      <c r="E141" t="s">
        <v>77</v>
      </c>
      <c r="F141" t="s">
        <v>78</v>
      </c>
      <c r="G141" t="s">
        <v>104</v>
      </c>
      <c r="H141" t="s">
        <v>42</v>
      </c>
      <c r="I141" t="s">
        <v>67</v>
      </c>
      <c r="J141" t="s">
        <v>321</v>
      </c>
      <c r="M141" t="s">
        <v>106</v>
      </c>
      <c r="P141" t="s">
        <v>138</v>
      </c>
      <c r="Q141" t="s">
        <v>47</v>
      </c>
      <c r="R141" t="s">
        <v>48</v>
      </c>
      <c r="V141" t="s">
        <v>49</v>
      </c>
      <c r="X141" t="s">
        <v>49</v>
      </c>
      <c r="Y141" t="s">
        <v>74</v>
      </c>
      <c r="Z141" t="s">
        <v>322</v>
      </c>
      <c r="AA141" t="s">
        <v>322</v>
      </c>
    </row>
    <row r="142" spans="1:27" x14ac:dyDescent="0.35">
      <c r="A142" t="str">
        <f t="shared" si="5"/>
        <v>3501D4</v>
      </c>
      <c r="B142" t="str">
        <f t="shared" si="4"/>
        <v>3501</v>
      </c>
      <c r="C142" t="s">
        <v>323</v>
      </c>
      <c r="D142" t="s">
        <v>3</v>
      </c>
      <c r="E142" t="s">
        <v>52</v>
      </c>
      <c r="F142" t="s">
        <v>53</v>
      </c>
      <c r="G142" t="s">
        <v>104</v>
      </c>
      <c r="H142" t="s">
        <v>42</v>
      </c>
      <c r="I142" t="s">
        <v>43</v>
      </c>
      <c r="J142" t="s">
        <v>321</v>
      </c>
      <c r="K142" t="s">
        <v>56</v>
      </c>
      <c r="M142" t="s">
        <v>106</v>
      </c>
      <c r="P142" t="s">
        <v>58</v>
      </c>
      <c r="Q142" t="s">
        <v>47</v>
      </c>
      <c r="R142" t="s">
        <v>48</v>
      </c>
      <c r="V142" t="s">
        <v>49</v>
      </c>
      <c r="X142" t="s">
        <v>49</v>
      </c>
      <c r="Y142" t="s">
        <v>59</v>
      </c>
      <c r="Z142" t="s">
        <v>324</v>
      </c>
      <c r="AA142" t="s">
        <v>324</v>
      </c>
    </row>
    <row r="143" spans="1:27" x14ac:dyDescent="0.35">
      <c r="A143" t="str">
        <f t="shared" si="5"/>
        <v>3501D2</v>
      </c>
      <c r="B143" t="str">
        <f t="shared" si="4"/>
        <v>3501</v>
      </c>
      <c r="C143" t="s">
        <v>325</v>
      </c>
      <c r="D143" t="s">
        <v>2</v>
      </c>
      <c r="E143" t="s">
        <v>62</v>
      </c>
      <c r="F143" t="s">
        <v>63</v>
      </c>
      <c r="G143" t="s">
        <v>104</v>
      </c>
      <c r="H143" t="s">
        <v>42</v>
      </c>
      <c r="I143" t="s">
        <v>43</v>
      </c>
      <c r="J143" t="s">
        <v>321</v>
      </c>
      <c r="K143" t="s">
        <v>56</v>
      </c>
      <c r="M143" t="s">
        <v>106</v>
      </c>
      <c r="P143" t="s">
        <v>58</v>
      </c>
      <c r="Q143" t="s">
        <v>47</v>
      </c>
      <c r="R143" t="s">
        <v>48</v>
      </c>
      <c r="V143" t="s">
        <v>49</v>
      </c>
      <c r="X143" t="s">
        <v>49</v>
      </c>
      <c r="Y143" t="s">
        <v>59</v>
      </c>
      <c r="Z143" t="s">
        <v>324</v>
      </c>
      <c r="AA143" t="s">
        <v>324</v>
      </c>
    </row>
    <row r="144" spans="1:27" x14ac:dyDescent="0.35">
      <c r="A144" t="str">
        <f t="shared" si="5"/>
        <v>3501F3</v>
      </c>
      <c r="B144" t="str">
        <f t="shared" si="4"/>
        <v>3501</v>
      </c>
      <c r="C144" t="s">
        <v>326</v>
      </c>
      <c r="D144" t="s">
        <v>5</v>
      </c>
      <c r="E144" t="s">
        <v>40</v>
      </c>
      <c r="F144" t="s">
        <v>73</v>
      </c>
      <c r="G144" t="s">
        <v>104</v>
      </c>
      <c r="H144" t="s">
        <v>42</v>
      </c>
      <c r="I144" t="s">
        <v>67</v>
      </c>
      <c r="J144" t="s">
        <v>321</v>
      </c>
      <c r="M144" t="s">
        <v>106</v>
      </c>
      <c r="P144" t="s">
        <v>46</v>
      </c>
      <c r="Q144" t="s">
        <v>47</v>
      </c>
      <c r="R144" t="s">
        <v>48</v>
      </c>
      <c r="V144" t="s">
        <v>49</v>
      </c>
      <c r="X144" t="s">
        <v>49</v>
      </c>
      <c r="Y144" t="s">
        <v>74</v>
      </c>
      <c r="Z144" t="s">
        <v>327</v>
      </c>
      <c r="AA144" t="s">
        <v>327</v>
      </c>
    </row>
    <row r="145" spans="1:27" x14ac:dyDescent="0.35">
      <c r="A145" t="str">
        <f t="shared" si="5"/>
        <v>3501C2</v>
      </c>
      <c r="B145" t="str">
        <f t="shared" si="4"/>
        <v>3501</v>
      </c>
      <c r="C145" t="s">
        <v>328</v>
      </c>
      <c r="D145" t="s">
        <v>1</v>
      </c>
      <c r="E145" t="s">
        <v>65</v>
      </c>
      <c r="F145" t="s">
        <v>66</v>
      </c>
      <c r="G145" t="s">
        <v>104</v>
      </c>
      <c r="H145" t="s">
        <v>42</v>
      </c>
      <c r="I145" t="s">
        <v>67</v>
      </c>
      <c r="J145" t="s">
        <v>321</v>
      </c>
      <c r="M145" t="s">
        <v>106</v>
      </c>
      <c r="P145" t="s">
        <v>69</v>
      </c>
      <c r="Q145" t="s">
        <v>47</v>
      </c>
      <c r="R145" t="s">
        <v>48</v>
      </c>
      <c r="V145" t="s">
        <v>49</v>
      </c>
      <c r="X145" t="s">
        <v>49</v>
      </c>
      <c r="Y145" t="s">
        <v>70</v>
      </c>
      <c r="Z145" t="s">
        <v>276</v>
      </c>
      <c r="AA145" t="s">
        <v>276</v>
      </c>
    </row>
    <row r="146" spans="1:27" x14ac:dyDescent="0.35">
      <c r="A146" t="str">
        <f t="shared" si="5"/>
        <v>3501D7</v>
      </c>
      <c r="B146" t="str">
        <f t="shared" si="4"/>
        <v>3501</v>
      </c>
      <c r="C146" t="s">
        <v>329</v>
      </c>
      <c r="D146" t="s">
        <v>6</v>
      </c>
      <c r="E146" t="s">
        <v>94</v>
      </c>
      <c r="F146" t="s">
        <v>111</v>
      </c>
      <c r="G146" t="s">
        <v>104</v>
      </c>
      <c r="H146" t="s">
        <v>42</v>
      </c>
      <c r="I146" t="s">
        <v>43</v>
      </c>
      <c r="J146" t="s">
        <v>321</v>
      </c>
      <c r="M146" t="s">
        <v>106</v>
      </c>
      <c r="P146" t="s">
        <v>46</v>
      </c>
      <c r="Q146" t="s">
        <v>47</v>
      </c>
      <c r="R146" t="s">
        <v>48</v>
      </c>
      <c r="V146" t="s">
        <v>49</v>
      </c>
      <c r="X146" t="s">
        <v>49</v>
      </c>
      <c r="Y146" t="s">
        <v>59</v>
      </c>
      <c r="Z146" t="s">
        <v>330</v>
      </c>
      <c r="AA146" t="s">
        <v>330</v>
      </c>
    </row>
    <row r="147" spans="1:27" x14ac:dyDescent="0.35">
      <c r="A147" t="str">
        <f t="shared" si="5"/>
        <v>3502F2</v>
      </c>
      <c r="B147" t="str">
        <f t="shared" si="4"/>
        <v>3502</v>
      </c>
      <c r="C147" t="s">
        <v>331</v>
      </c>
      <c r="D147" t="s">
        <v>4</v>
      </c>
      <c r="E147" t="s">
        <v>77</v>
      </c>
      <c r="F147" t="s">
        <v>78</v>
      </c>
      <c r="G147" t="s">
        <v>104</v>
      </c>
      <c r="H147" t="s">
        <v>42</v>
      </c>
      <c r="I147" t="s">
        <v>67</v>
      </c>
      <c r="J147" t="s">
        <v>332</v>
      </c>
      <c r="M147" t="s">
        <v>106</v>
      </c>
      <c r="P147" t="s">
        <v>91</v>
      </c>
      <c r="Q147" t="s">
        <v>47</v>
      </c>
      <c r="R147" t="s">
        <v>48</v>
      </c>
      <c r="V147" t="s">
        <v>49</v>
      </c>
      <c r="X147" t="s">
        <v>49</v>
      </c>
      <c r="Y147" t="s">
        <v>74</v>
      </c>
      <c r="Z147" t="s">
        <v>322</v>
      </c>
      <c r="AA147" t="s">
        <v>322</v>
      </c>
    </row>
    <row r="148" spans="1:27" x14ac:dyDescent="0.35">
      <c r="A148" t="str">
        <f t="shared" si="5"/>
        <v>3502D4</v>
      </c>
      <c r="B148" t="str">
        <f t="shared" si="4"/>
        <v>3502</v>
      </c>
      <c r="C148" t="s">
        <v>333</v>
      </c>
      <c r="D148" t="s">
        <v>3</v>
      </c>
      <c r="E148" t="s">
        <v>52</v>
      </c>
      <c r="F148" t="s">
        <v>53</v>
      </c>
      <c r="G148" t="s">
        <v>104</v>
      </c>
      <c r="H148" t="s">
        <v>42</v>
      </c>
      <c r="I148" t="s">
        <v>43</v>
      </c>
      <c r="J148" t="s">
        <v>332</v>
      </c>
      <c r="K148" t="s">
        <v>56</v>
      </c>
      <c r="M148" t="s">
        <v>106</v>
      </c>
      <c r="P148" t="s">
        <v>58</v>
      </c>
      <c r="Q148" t="s">
        <v>47</v>
      </c>
      <c r="R148" t="s">
        <v>48</v>
      </c>
      <c r="V148" t="s">
        <v>49</v>
      </c>
      <c r="X148" t="s">
        <v>49</v>
      </c>
      <c r="Y148" t="s">
        <v>59</v>
      </c>
      <c r="Z148" t="s">
        <v>334</v>
      </c>
      <c r="AA148" t="s">
        <v>334</v>
      </c>
    </row>
    <row r="149" spans="1:27" x14ac:dyDescent="0.35">
      <c r="A149" t="str">
        <f t="shared" si="5"/>
        <v>3502D2</v>
      </c>
      <c r="B149" t="str">
        <f t="shared" si="4"/>
        <v>3502</v>
      </c>
      <c r="C149" t="s">
        <v>335</v>
      </c>
      <c r="D149" t="s">
        <v>2</v>
      </c>
      <c r="E149" t="s">
        <v>62</v>
      </c>
      <c r="F149" t="s">
        <v>63</v>
      </c>
      <c r="G149" t="s">
        <v>104</v>
      </c>
      <c r="H149" t="s">
        <v>42</v>
      </c>
      <c r="I149" t="s">
        <v>43</v>
      </c>
      <c r="J149" t="s">
        <v>332</v>
      </c>
      <c r="K149" t="s">
        <v>56</v>
      </c>
      <c r="M149" t="s">
        <v>106</v>
      </c>
      <c r="P149" t="s">
        <v>58</v>
      </c>
      <c r="Q149" t="s">
        <v>47</v>
      </c>
      <c r="R149" t="s">
        <v>48</v>
      </c>
      <c r="V149" t="s">
        <v>49</v>
      </c>
      <c r="X149" t="s">
        <v>49</v>
      </c>
      <c r="Y149" t="s">
        <v>59</v>
      </c>
      <c r="Z149" t="s">
        <v>334</v>
      </c>
      <c r="AA149" t="s">
        <v>334</v>
      </c>
    </row>
    <row r="150" spans="1:27" x14ac:dyDescent="0.35">
      <c r="A150" t="str">
        <f t="shared" si="5"/>
        <v>3502F3</v>
      </c>
      <c r="B150" t="str">
        <f t="shared" si="4"/>
        <v>3502</v>
      </c>
      <c r="C150" t="s">
        <v>336</v>
      </c>
      <c r="D150" t="s">
        <v>5</v>
      </c>
      <c r="E150" t="s">
        <v>40</v>
      </c>
      <c r="F150" t="s">
        <v>73</v>
      </c>
      <c r="G150" t="s">
        <v>104</v>
      </c>
      <c r="H150" t="s">
        <v>42</v>
      </c>
      <c r="I150" t="s">
        <v>67</v>
      </c>
      <c r="J150" t="s">
        <v>332</v>
      </c>
      <c r="M150" t="s">
        <v>106</v>
      </c>
      <c r="P150" t="s">
        <v>46</v>
      </c>
      <c r="Q150" t="s">
        <v>47</v>
      </c>
      <c r="R150" t="s">
        <v>48</v>
      </c>
      <c r="V150" t="s">
        <v>49</v>
      </c>
      <c r="X150" t="s">
        <v>49</v>
      </c>
      <c r="Y150" t="s">
        <v>74</v>
      </c>
      <c r="Z150" t="s">
        <v>322</v>
      </c>
      <c r="AA150" t="s">
        <v>322</v>
      </c>
    </row>
    <row r="151" spans="1:27" x14ac:dyDescent="0.35">
      <c r="A151" t="str">
        <f t="shared" si="5"/>
        <v>3502C2</v>
      </c>
      <c r="B151" t="str">
        <f t="shared" si="4"/>
        <v>3502</v>
      </c>
      <c r="C151" t="s">
        <v>337</v>
      </c>
      <c r="D151" t="s">
        <v>1</v>
      </c>
      <c r="E151" t="s">
        <v>65</v>
      </c>
      <c r="F151" t="s">
        <v>66</v>
      </c>
      <c r="G151" t="s">
        <v>104</v>
      </c>
      <c r="H151" t="s">
        <v>42</v>
      </c>
      <c r="I151" t="s">
        <v>67</v>
      </c>
      <c r="J151" t="s">
        <v>332</v>
      </c>
      <c r="M151" t="s">
        <v>106</v>
      </c>
      <c r="P151" t="s">
        <v>69</v>
      </c>
      <c r="Q151" t="s">
        <v>47</v>
      </c>
      <c r="R151" t="s">
        <v>48</v>
      </c>
      <c r="V151" t="s">
        <v>49</v>
      </c>
      <c r="X151" t="s">
        <v>49</v>
      </c>
      <c r="Y151" t="s">
        <v>70</v>
      </c>
      <c r="Z151" t="s">
        <v>338</v>
      </c>
      <c r="AA151" t="s">
        <v>338</v>
      </c>
    </row>
    <row r="152" spans="1:27" x14ac:dyDescent="0.35">
      <c r="A152" t="str">
        <f t="shared" si="5"/>
        <v>3502D7</v>
      </c>
      <c r="B152" t="str">
        <f t="shared" si="4"/>
        <v>3502</v>
      </c>
      <c r="C152" t="s">
        <v>339</v>
      </c>
      <c r="D152" t="s">
        <v>6</v>
      </c>
      <c r="E152" t="s">
        <v>94</v>
      </c>
      <c r="F152" t="s">
        <v>111</v>
      </c>
      <c r="G152" t="s">
        <v>104</v>
      </c>
      <c r="H152" t="s">
        <v>42</v>
      </c>
      <c r="I152" t="s">
        <v>43</v>
      </c>
      <c r="J152" t="s">
        <v>332</v>
      </c>
      <c r="M152" t="s">
        <v>106</v>
      </c>
      <c r="P152" t="s">
        <v>46</v>
      </c>
      <c r="Q152" t="s">
        <v>47</v>
      </c>
      <c r="R152" t="s">
        <v>48</v>
      </c>
      <c r="V152" t="s">
        <v>49</v>
      </c>
      <c r="X152" t="s">
        <v>49</v>
      </c>
      <c r="Y152" t="s">
        <v>59</v>
      </c>
      <c r="Z152" t="s">
        <v>340</v>
      </c>
      <c r="AA152" t="s">
        <v>340</v>
      </c>
    </row>
    <row r="153" spans="1:27" x14ac:dyDescent="0.35">
      <c r="A153" t="str">
        <f t="shared" si="5"/>
        <v>3503F2</v>
      </c>
      <c r="B153" t="str">
        <f t="shared" si="4"/>
        <v>3503</v>
      </c>
      <c r="C153" t="s">
        <v>341</v>
      </c>
      <c r="D153" t="s">
        <v>4</v>
      </c>
      <c r="E153" t="s">
        <v>77</v>
      </c>
      <c r="F153" t="s">
        <v>78</v>
      </c>
      <c r="G153" t="s">
        <v>104</v>
      </c>
      <c r="H153" t="s">
        <v>42</v>
      </c>
      <c r="I153" t="s">
        <v>67</v>
      </c>
      <c r="J153" t="s">
        <v>342</v>
      </c>
      <c r="M153" t="s">
        <v>106</v>
      </c>
      <c r="P153" t="s">
        <v>91</v>
      </c>
      <c r="Q153" t="s">
        <v>47</v>
      </c>
      <c r="R153" t="s">
        <v>48</v>
      </c>
      <c r="V153" t="s">
        <v>49</v>
      </c>
      <c r="X153" t="s">
        <v>49</v>
      </c>
      <c r="Y153" t="s">
        <v>74</v>
      </c>
      <c r="Z153" t="s">
        <v>322</v>
      </c>
      <c r="AA153" t="s">
        <v>322</v>
      </c>
    </row>
    <row r="154" spans="1:27" x14ac:dyDescent="0.35">
      <c r="A154" t="str">
        <f t="shared" si="5"/>
        <v>3503D4</v>
      </c>
      <c r="B154" t="str">
        <f t="shared" si="4"/>
        <v>3503</v>
      </c>
      <c r="C154" t="s">
        <v>343</v>
      </c>
      <c r="D154" t="s">
        <v>3</v>
      </c>
      <c r="E154" t="s">
        <v>52</v>
      </c>
      <c r="F154" t="s">
        <v>53</v>
      </c>
      <c r="G154" t="s">
        <v>104</v>
      </c>
      <c r="H154" t="s">
        <v>42</v>
      </c>
      <c r="I154" t="s">
        <v>43</v>
      </c>
      <c r="J154" t="s">
        <v>342</v>
      </c>
      <c r="K154" t="s">
        <v>56</v>
      </c>
      <c r="M154" t="s">
        <v>106</v>
      </c>
      <c r="P154" t="s">
        <v>58</v>
      </c>
      <c r="Q154" t="s">
        <v>47</v>
      </c>
      <c r="R154" t="s">
        <v>48</v>
      </c>
      <c r="V154" t="s">
        <v>49</v>
      </c>
      <c r="X154" t="s">
        <v>49</v>
      </c>
      <c r="Y154" t="s">
        <v>59</v>
      </c>
      <c r="Z154" t="s">
        <v>334</v>
      </c>
      <c r="AA154" t="s">
        <v>334</v>
      </c>
    </row>
    <row r="155" spans="1:27" x14ac:dyDescent="0.35">
      <c r="A155" t="str">
        <f t="shared" si="5"/>
        <v>3503D2</v>
      </c>
      <c r="B155" t="str">
        <f t="shared" si="4"/>
        <v>3503</v>
      </c>
      <c r="C155" t="s">
        <v>344</v>
      </c>
      <c r="D155" t="s">
        <v>2</v>
      </c>
      <c r="E155" t="s">
        <v>62</v>
      </c>
      <c r="F155" t="s">
        <v>63</v>
      </c>
      <c r="G155" t="s">
        <v>104</v>
      </c>
      <c r="H155" t="s">
        <v>42</v>
      </c>
      <c r="I155" t="s">
        <v>43</v>
      </c>
      <c r="J155" t="s">
        <v>342</v>
      </c>
      <c r="K155" t="s">
        <v>56</v>
      </c>
      <c r="M155" t="s">
        <v>106</v>
      </c>
      <c r="P155" t="s">
        <v>58</v>
      </c>
      <c r="Q155" t="s">
        <v>47</v>
      </c>
      <c r="R155" t="s">
        <v>48</v>
      </c>
      <c r="V155" t="s">
        <v>49</v>
      </c>
      <c r="X155" t="s">
        <v>49</v>
      </c>
      <c r="Y155" t="s">
        <v>59</v>
      </c>
      <c r="Z155" t="s">
        <v>345</v>
      </c>
      <c r="AA155" t="s">
        <v>345</v>
      </c>
    </row>
    <row r="156" spans="1:27" x14ac:dyDescent="0.35">
      <c r="A156" t="str">
        <f t="shared" si="5"/>
        <v>3503F3</v>
      </c>
      <c r="B156" t="str">
        <f t="shared" si="4"/>
        <v>3503</v>
      </c>
      <c r="C156" t="s">
        <v>346</v>
      </c>
      <c r="D156" t="s">
        <v>5</v>
      </c>
      <c r="E156" t="s">
        <v>40</v>
      </c>
      <c r="F156" t="s">
        <v>73</v>
      </c>
      <c r="G156" t="s">
        <v>104</v>
      </c>
      <c r="H156" t="s">
        <v>42</v>
      </c>
      <c r="I156" t="s">
        <v>67</v>
      </c>
      <c r="J156" t="s">
        <v>342</v>
      </c>
      <c r="M156" t="s">
        <v>106</v>
      </c>
      <c r="P156" t="s">
        <v>46</v>
      </c>
      <c r="Q156" t="s">
        <v>47</v>
      </c>
      <c r="R156" t="s">
        <v>48</v>
      </c>
      <c r="V156" t="s">
        <v>49</v>
      </c>
      <c r="X156" t="s">
        <v>49</v>
      </c>
      <c r="Y156" t="s">
        <v>74</v>
      </c>
      <c r="Z156" t="s">
        <v>322</v>
      </c>
      <c r="AA156" t="s">
        <v>322</v>
      </c>
    </row>
    <row r="157" spans="1:27" x14ac:dyDescent="0.35">
      <c r="A157" t="str">
        <f t="shared" si="5"/>
        <v>3503C2</v>
      </c>
      <c r="B157" t="str">
        <f t="shared" si="4"/>
        <v>3503</v>
      </c>
      <c r="C157" t="s">
        <v>347</v>
      </c>
      <c r="D157" t="s">
        <v>1</v>
      </c>
      <c r="E157" t="s">
        <v>65</v>
      </c>
      <c r="F157" t="s">
        <v>66</v>
      </c>
      <c r="G157" t="s">
        <v>104</v>
      </c>
      <c r="H157" t="s">
        <v>42</v>
      </c>
      <c r="I157" t="s">
        <v>67</v>
      </c>
      <c r="J157" t="s">
        <v>342</v>
      </c>
      <c r="M157" t="s">
        <v>106</v>
      </c>
      <c r="P157" t="s">
        <v>69</v>
      </c>
      <c r="Q157" t="s">
        <v>47</v>
      </c>
      <c r="R157" t="s">
        <v>48</v>
      </c>
      <c r="V157" t="s">
        <v>49</v>
      </c>
      <c r="X157" t="s">
        <v>49</v>
      </c>
      <c r="Y157" t="s">
        <v>70</v>
      </c>
      <c r="Z157" t="s">
        <v>348</v>
      </c>
      <c r="AA157" t="s">
        <v>348</v>
      </c>
    </row>
    <row r="158" spans="1:27" x14ac:dyDescent="0.35">
      <c r="A158" t="str">
        <f t="shared" si="5"/>
        <v>3503D7</v>
      </c>
      <c r="B158" t="str">
        <f t="shared" si="4"/>
        <v>3503</v>
      </c>
      <c r="C158" t="s">
        <v>349</v>
      </c>
      <c r="D158" t="s">
        <v>6</v>
      </c>
      <c r="E158" t="s">
        <v>94</v>
      </c>
      <c r="F158" t="s">
        <v>111</v>
      </c>
      <c r="G158" t="s">
        <v>104</v>
      </c>
      <c r="H158" t="s">
        <v>42</v>
      </c>
      <c r="I158" t="s">
        <v>43</v>
      </c>
      <c r="J158" t="s">
        <v>342</v>
      </c>
      <c r="M158" t="s">
        <v>106</v>
      </c>
      <c r="P158" t="s">
        <v>46</v>
      </c>
      <c r="Q158" t="s">
        <v>47</v>
      </c>
      <c r="R158" t="s">
        <v>48</v>
      </c>
      <c r="V158" t="s">
        <v>49</v>
      </c>
      <c r="X158" t="s">
        <v>49</v>
      </c>
      <c r="Y158" t="s">
        <v>59</v>
      </c>
      <c r="Z158" t="s">
        <v>350</v>
      </c>
      <c r="AA158" t="s">
        <v>350</v>
      </c>
    </row>
    <row r="159" spans="1:27" x14ac:dyDescent="0.35">
      <c r="A159" t="str">
        <f t="shared" si="5"/>
        <v>3504F2</v>
      </c>
      <c r="B159" t="str">
        <f t="shared" si="4"/>
        <v>3504</v>
      </c>
      <c r="C159" t="s">
        <v>351</v>
      </c>
      <c r="D159" t="s">
        <v>4</v>
      </c>
      <c r="E159" t="s">
        <v>77</v>
      </c>
      <c r="F159" t="s">
        <v>78</v>
      </c>
      <c r="G159" t="s">
        <v>104</v>
      </c>
      <c r="H159" t="s">
        <v>42</v>
      </c>
      <c r="I159" t="s">
        <v>67</v>
      </c>
      <c r="J159" t="s">
        <v>352</v>
      </c>
      <c r="M159" t="s">
        <v>106</v>
      </c>
      <c r="P159" t="s">
        <v>138</v>
      </c>
      <c r="Q159" t="s">
        <v>47</v>
      </c>
      <c r="R159" t="s">
        <v>48</v>
      </c>
      <c r="V159" t="s">
        <v>49</v>
      </c>
      <c r="X159" t="s">
        <v>49</v>
      </c>
      <c r="Y159" t="s">
        <v>74</v>
      </c>
      <c r="Z159" t="s">
        <v>322</v>
      </c>
      <c r="AA159" t="s">
        <v>322</v>
      </c>
    </row>
    <row r="160" spans="1:27" x14ac:dyDescent="0.35">
      <c r="A160" t="str">
        <f t="shared" si="5"/>
        <v>3504D4</v>
      </c>
      <c r="B160" t="str">
        <f t="shared" si="4"/>
        <v>3504</v>
      </c>
      <c r="C160" t="s">
        <v>353</v>
      </c>
      <c r="D160" t="s">
        <v>3</v>
      </c>
      <c r="E160" t="s">
        <v>52</v>
      </c>
      <c r="F160" t="s">
        <v>53</v>
      </c>
      <c r="G160" t="s">
        <v>104</v>
      </c>
      <c r="H160" t="s">
        <v>42</v>
      </c>
      <c r="I160" t="s">
        <v>43</v>
      </c>
      <c r="J160" t="s">
        <v>352</v>
      </c>
      <c r="K160" t="s">
        <v>56</v>
      </c>
      <c r="M160" t="s">
        <v>106</v>
      </c>
      <c r="P160" t="s">
        <v>58</v>
      </c>
      <c r="Q160" t="s">
        <v>47</v>
      </c>
      <c r="R160" t="s">
        <v>48</v>
      </c>
      <c r="V160" t="s">
        <v>49</v>
      </c>
      <c r="X160" t="s">
        <v>49</v>
      </c>
      <c r="Y160" t="s">
        <v>59</v>
      </c>
      <c r="Z160" t="s">
        <v>3591</v>
      </c>
      <c r="AA160" t="s">
        <v>3591</v>
      </c>
    </row>
    <row r="161" spans="1:27" x14ac:dyDescent="0.35">
      <c r="A161" t="str">
        <f t="shared" si="5"/>
        <v>3504D2</v>
      </c>
      <c r="B161" t="str">
        <f t="shared" si="4"/>
        <v>3504</v>
      </c>
      <c r="C161" t="s">
        <v>354</v>
      </c>
      <c r="D161" t="s">
        <v>2</v>
      </c>
      <c r="E161" t="s">
        <v>62</v>
      </c>
      <c r="F161" t="s">
        <v>63</v>
      </c>
      <c r="G161" t="s">
        <v>104</v>
      </c>
      <c r="H161" t="s">
        <v>42</v>
      </c>
      <c r="I161" t="s">
        <v>43</v>
      </c>
      <c r="J161" t="s">
        <v>352</v>
      </c>
      <c r="K161" t="s">
        <v>56</v>
      </c>
      <c r="M161" t="s">
        <v>106</v>
      </c>
      <c r="P161" t="s">
        <v>58</v>
      </c>
      <c r="Q161" t="s">
        <v>47</v>
      </c>
      <c r="R161" t="s">
        <v>48</v>
      </c>
      <c r="V161" t="s">
        <v>49</v>
      </c>
      <c r="X161" t="s">
        <v>49</v>
      </c>
      <c r="Y161" t="s">
        <v>59</v>
      </c>
      <c r="Z161" t="s">
        <v>345</v>
      </c>
      <c r="AA161" t="s">
        <v>345</v>
      </c>
    </row>
    <row r="162" spans="1:27" x14ac:dyDescent="0.35">
      <c r="A162" t="str">
        <f t="shared" si="5"/>
        <v>3504F3</v>
      </c>
      <c r="B162" t="str">
        <f t="shared" si="4"/>
        <v>3504</v>
      </c>
      <c r="C162" t="s">
        <v>355</v>
      </c>
      <c r="D162" t="s">
        <v>5</v>
      </c>
      <c r="E162" t="s">
        <v>40</v>
      </c>
      <c r="F162" t="s">
        <v>73</v>
      </c>
      <c r="G162" t="s">
        <v>104</v>
      </c>
      <c r="H162" t="s">
        <v>42</v>
      </c>
      <c r="I162" t="s">
        <v>67</v>
      </c>
      <c r="J162" t="s">
        <v>352</v>
      </c>
      <c r="M162" t="s">
        <v>106</v>
      </c>
      <c r="P162" t="s">
        <v>46</v>
      </c>
      <c r="Q162" t="s">
        <v>47</v>
      </c>
      <c r="R162" t="s">
        <v>48</v>
      </c>
      <c r="V162" t="s">
        <v>49</v>
      </c>
      <c r="X162" t="s">
        <v>49</v>
      </c>
      <c r="Y162" t="s">
        <v>74</v>
      </c>
      <c r="Z162" t="s">
        <v>322</v>
      </c>
      <c r="AA162" t="s">
        <v>322</v>
      </c>
    </row>
    <row r="163" spans="1:27" x14ac:dyDescent="0.35">
      <c r="A163" t="str">
        <f t="shared" si="5"/>
        <v>3504C2</v>
      </c>
      <c r="B163" t="str">
        <f t="shared" si="4"/>
        <v>3504</v>
      </c>
      <c r="C163" t="s">
        <v>356</v>
      </c>
      <c r="D163" t="s">
        <v>1</v>
      </c>
      <c r="E163" t="s">
        <v>65</v>
      </c>
      <c r="F163" t="s">
        <v>66</v>
      </c>
      <c r="G163" t="s">
        <v>104</v>
      </c>
      <c r="H163" t="s">
        <v>42</v>
      </c>
      <c r="I163" t="s">
        <v>67</v>
      </c>
      <c r="J163" t="s">
        <v>352</v>
      </c>
      <c r="M163" t="s">
        <v>106</v>
      </c>
      <c r="P163" t="s">
        <v>273</v>
      </c>
      <c r="Q163" t="s">
        <v>47</v>
      </c>
      <c r="R163" t="s">
        <v>48</v>
      </c>
      <c r="V163" t="s">
        <v>49</v>
      </c>
      <c r="X163" t="s">
        <v>49</v>
      </c>
      <c r="Y163" t="s">
        <v>70</v>
      </c>
      <c r="Z163" t="s">
        <v>348</v>
      </c>
      <c r="AA163" t="s">
        <v>348</v>
      </c>
    </row>
    <row r="164" spans="1:27" x14ac:dyDescent="0.35">
      <c r="A164" t="str">
        <f t="shared" si="5"/>
        <v>3504D7</v>
      </c>
      <c r="B164" t="str">
        <f t="shared" si="4"/>
        <v>3504</v>
      </c>
      <c r="C164" t="s">
        <v>357</v>
      </c>
      <c r="D164" t="s">
        <v>6</v>
      </c>
      <c r="E164" t="s">
        <v>94</v>
      </c>
      <c r="F164" t="s">
        <v>111</v>
      </c>
      <c r="G164" t="s">
        <v>104</v>
      </c>
      <c r="H164" t="s">
        <v>42</v>
      </c>
      <c r="I164" t="s">
        <v>43</v>
      </c>
      <c r="J164" t="s">
        <v>352</v>
      </c>
      <c r="M164" t="s">
        <v>106</v>
      </c>
      <c r="P164" t="s">
        <v>46</v>
      </c>
      <c r="Q164" t="s">
        <v>47</v>
      </c>
      <c r="R164" t="s">
        <v>48</v>
      </c>
      <c r="V164" t="s">
        <v>49</v>
      </c>
      <c r="X164" t="s">
        <v>49</v>
      </c>
      <c r="Y164" t="s">
        <v>59</v>
      </c>
      <c r="Z164" t="s">
        <v>358</v>
      </c>
      <c r="AA164" t="s">
        <v>358</v>
      </c>
    </row>
    <row r="165" spans="1:27" x14ac:dyDescent="0.35">
      <c r="A165" t="str">
        <f t="shared" si="5"/>
        <v>3505F2</v>
      </c>
      <c r="B165" t="str">
        <f t="shared" si="4"/>
        <v>3505</v>
      </c>
      <c r="C165" t="s">
        <v>359</v>
      </c>
      <c r="D165" t="s">
        <v>4</v>
      </c>
      <c r="E165" t="s">
        <v>77</v>
      </c>
      <c r="F165" t="s">
        <v>78</v>
      </c>
      <c r="G165" t="s">
        <v>104</v>
      </c>
      <c r="H165" t="s">
        <v>42</v>
      </c>
      <c r="I165" t="s">
        <v>67</v>
      </c>
      <c r="J165" t="s">
        <v>360</v>
      </c>
      <c r="M165" t="s">
        <v>106</v>
      </c>
      <c r="P165" t="s">
        <v>91</v>
      </c>
      <c r="Q165" t="s">
        <v>47</v>
      </c>
      <c r="R165" t="s">
        <v>48</v>
      </c>
      <c r="V165" t="s">
        <v>49</v>
      </c>
      <c r="X165" t="s">
        <v>49</v>
      </c>
      <c r="Y165" t="s">
        <v>74</v>
      </c>
      <c r="Z165" t="s">
        <v>283</v>
      </c>
      <c r="AA165" t="s">
        <v>283</v>
      </c>
    </row>
    <row r="166" spans="1:27" x14ac:dyDescent="0.35">
      <c r="A166" t="str">
        <f t="shared" si="5"/>
        <v>3505D4</v>
      </c>
      <c r="B166" t="str">
        <f t="shared" si="4"/>
        <v>3505</v>
      </c>
      <c r="C166" t="s">
        <v>361</v>
      </c>
      <c r="D166" t="s">
        <v>3</v>
      </c>
      <c r="E166" t="s">
        <v>52</v>
      </c>
      <c r="F166" t="s">
        <v>53</v>
      </c>
      <c r="G166" t="s">
        <v>104</v>
      </c>
      <c r="H166" t="s">
        <v>42</v>
      </c>
      <c r="I166" t="s">
        <v>43</v>
      </c>
      <c r="J166" t="s">
        <v>360</v>
      </c>
      <c r="K166" t="s">
        <v>56</v>
      </c>
      <c r="M166" t="s">
        <v>106</v>
      </c>
      <c r="P166" t="s">
        <v>58</v>
      </c>
      <c r="Q166" t="s">
        <v>47</v>
      </c>
      <c r="R166" t="s">
        <v>48</v>
      </c>
      <c r="V166" t="s">
        <v>49</v>
      </c>
      <c r="X166" t="s">
        <v>49</v>
      </c>
      <c r="Y166" t="s">
        <v>59</v>
      </c>
      <c r="Z166" t="s">
        <v>3591</v>
      </c>
      <c r="AA166" t="s">
        <v>3591</v>
      </c>
    </row>
    <row r="167" spans="1:27" x14ac:dyDescent="0.35">
      <c r="A167" t="str">
        <f t="shared" si="5"/>
        <v>3505D2</v>
      </c>
      <c r="B167" t="str">
        <f t="shared" si="4"/>
        <v>3505</v>
      </c>
      <c r="C167" t="s">
        <v>362</v>
      </c>
      <c r="D167" t="s">
        <v>2</v>
      </c>
      <c r="E167" t="s">
        <v>62</v>
      </c>
      <c r="F167" t="s">
        <v>63</v>
      </c>
      <c r="G167" t="s">
        <v>104</v>
      </c>
      <c r="H167" t="s">
        <v>42</v>
      </c>
      <c r="I167" t="s">
        <v>43</v>
      </c>
      <c r="J167" t="s">
        <v>360</v>
      </c>
      <c r="K167" t="s">
        <v>56</v>
      </c>
      <c r="M167" t="s">
        <v>106</v>
      </c>
      <c r="P167" t="s">
        <v>58</v>
      </c>
      <c r="Q167" t="s">
        <v>47</v>
      </c>
      <c r="R167" t="s">
        <v>48</v>
      </c>
      <c r="V167" t="s">
        <v>49</v>
      </c>
      <c r="X167" t="s">
        <v>49</v>
      </c>
      <c r="Y167" t="s">
        <v>59</v>
      </c>
      <c r="Z167" t="s">
        <v>345</v>
      </c>
      <c r="AA167" t="s">
        <v>345</v>
      </c>
    </row>
    <row r="168" spans="1:27" x14ac:dyDescent="0.35">
      <c r="A168" t="str">
        <f t="shared" si="5"/>
        <v>3505F3</v>
      </c>
      <c r="B168" t="str">
        <f t="shared" si="4"/>
        <v>3505</v>
      </c>
      <c r="C168" t="s">
        <v>363</v>
      </c>
      <c r="D168" t="s">
        <v>5</v>
      </c>
      <c r="E168" t="s">
        <v>40</v>
      </c>
      <c r="F168" t="s">
        <v>73</v>
      </c>
      <c r="G168" t="s">
        <v>104</v>
      </c>
      <c r="H168" t="s">
        <v>42</v>
      </c>
      <c r="I168" t="s">
        <v>67</v>
      </c>
      <c r="J168" t="s">
        <v>360</v>
      </c>
      <c r="M168" t="s">
        <v>106</v>
      </c>
      <c r="P168" t="s">
        <v>46</v>
      </c>
      <c r="Q168" t="s">
        <v>47</v>
      </c>
      <c r="R168" t="s">
        <v>48</v>
      </c>
      <c r="V168" t="s">
        <v>49</v>
      </c>
      <c r="X168" t="s">
        <v>49</v>
      </c>
      <c r="Y168" t="s">
        <v>74</v>
      </c>
      <c r="Z168" t="s">
        <v>364</v>
      </c>
      <c r="AA168" t="s">
        <v>364</v>
      </c>
    </row>
    <row r="169" spans="1:27" x14ac:dyDescent="0.35">
      <c r="A169" t="str">
        <f t="shared" si="5"/>
        <v>3505C2</v>
      </c>
      <c r="B169" t="str">
        <f t="shared" si="4"/>
        <v>3505</v>
      </c>
      <c r="C169" t="s">
        <v>365</v>
      </c>
      <c r="D169" t="s">
        <v>1</v>
      </c>
      <c r="E169" t="s">
        <v>65</v>
      </c>
      <c r="F169" t="s">
        <v>66</v>
      </c>
      <c r="G169" t="s">
        <v>104</v>
      </c>
      <c r="H169" t="s">
        <v>42</v>
      </c>
      <c r="I169" t="s">
        <v>67</v>
      </c>
      <c r="J169" t="s">
        <v>360</v>
      </c>
      <c r="M169" t="s">
        <v>106</v>
      </c>
      <c r="P169" t="s">
        <v>69</v>
      </c>
      <c r="Q169" t="s">
        <v>47</v>
      </c>
      <c r="R169" t="s">
        <v>48</v>
      </c>
      <c r="V169" t="s">
        <v>49</v>
      </c>
      <c r="X169" t="s">
        <v>49</v>
      </c>
      <c r="Y169" t="s">
        <v>70</v>
      </c>
      <c r="Z169" t="s">
        <v>348</v>
      </c>
      <c r="AA169" t="s">
        <v>348</v>
      </c>
    </row>
    <row r="170" spans="1:27" x14ac:dyDescent="0.35">
      <c r="A170" t="str">
        <f t="shared" si="5"/>
        <v>3505D7</v>
      </c>
      <c r="B170" t="str">
        <f t="shared" si="4"/>
        <v>3505</v>
      </c>
      <c r="C170" t="s">
        <v>366</v>
      </c>
      <c r="D170" t="s">
        <v>6</v>
      </c>
      <c r="E170" t="s">
        <v>94</v>
      </c>
      <c r="F170" t="s">
        <v>111</v>
      </c>
      <c r="G170" t="s">
        <v>104</v>
      </c>
      <c r="H170" t="s">
        <v>42</v>
      </c>
      <c r="I170" t="s">
        <v>43</v>
      </c>
      <c r="J170" t="s">
        <v>360</v>
      </c>
      <c r="M170" t="s">
        <v>106</v>
      </c>
      <c r="P170" t="s">
        <v>46</v>
      </c>
      <c r="Q170" t="s">
        <v>47</v>
      </c>
      <c r="R170" t="s">
        <v>48</v>
      </c>
      <c r="V170" t="s">
        <v>49</v>
      </c>
      <c r="X170" t="s">
        <v>49</v>
      </c>
      <c r="Y170" t="s">
        <v>59</v>
      </c>
      <c r="Z170" t="s">
        <v>367</v>
      </c>
      <c r="AA170" t="s">
        <v>358</v>
      </c>
    </row>
    <row r="171" spans="1:27" x14ac:dyDescent="0.35">
      <c r="A171" t="str">
        <f t="shared" si="5"/>
        <v>3506F2</v>
      </c>
      <c r="B171" t="str">
        <f t="shared" si="4"/>
        <v>3506</v>
      </c>
      <c r="C171" t="s">
        <v>368</v>
      </c>
      <c r="D171" t="s">
        <v>4</v>
      </c>
      <c r="E171" t="s">
        <v>77</v>
      </c>
      <c r="F171" t="s">
        <v>78</v>
      </c>
      <c r="G171" t="s">
        <v>104</v>
      </c>
      <c r="H171" t="s">
        <v>42</v>
      </c>
      <c r="I171" t="s">
        <v>67</v>
      </c>
      <c r="J171" t="s">
        <v>369</v>
      </c>
      <c r="M171" t="s">
        <v>106</v>
      </c>
      <c r="P171" t="s">
        <v>189</v>
      </c>
      <c r="Q171" t="s">
        <v>47</v>
      </c>
      <c r="R171" t="s">
        <v>48</v>
      </c>
      <c r="V171" t="s">
        <v>49</v>
      </c>
      <c r="X171" t="s">
        <v>49</v>
      </c>
      <c r="Y171" t="s">
        <v>74</v>
      </c>
      <c r="Z171" t="s">
        <v>370</v>
      </c>
      <c r="AA171" t="s">
        <v>370</v>
      </c>
    </row>
    <row r="172" spans="1:27" x14ac:dyDescent="0.35">
      <c r="A172" t="str">
        <f t="shared" si="5"/>
        <v>3506D4</v>
      </c>
      <c r="B172" t="str">
        <f t="shared" si="4"/>
        <v>3506</v>
      </c>
      <c r="C172" t="s">
        <v>371</v>
      </c>
      <c r="D172" t="s">
        <v>3</v>
      </c>
      <c r="E172" t="s">
        <v>52</v>
      </c>
      <c r="F172" t="s">
        <v>53</v>
      </c>
      <c r="G172" t="s">
        <v>104</v>
      </c>
      <c r="H172" t="s">
        <v>42</v>
      </c>
      <c r="I172" t="s">
        <v>43</v>
      </c>
      <c r="J172" t="s">
        <v>369</v>
      </c>
      <c r="K172" t="s">
        <v>56</v>
      </c>
      <c r="M172" t="s">
        <v>106</v>
      </c>
      <c r="P172" t="s">
        <v>58</v>
      </c>
      <c r="Q172" t="s">
        <v>47</v>
      </c>
      <c r="R172" t="s">
        <v>48</v>
      </c>
      <c r="V172" t="s">
        <v>49</v>
      </c>
      <c r="X172" t="s">
        <v>49</v>
      </c>
      <c r="Y172" t="s">
        <v>59</v>
      </c>
      <c r="Z172" t="s">
        <v>3591</v>
      </c>
      <c r="AA172" t="s">
        <v>3591</v>
      </c>
    </row>
    <row r="173" spans="1:27" x14ac:dyDescent="0.35">
      <c r="A173" t="str">
        <f t="shared" si="5"/>
        <v>3506D2</v>
      </c>
      <c r="B173" t="str">
        <f t="shared" si="4"/>
        <v>3506</v>
      </c>
      <c r="C173" t="s">
        <v>372</v>
      </c>
      <c r="D173" t="s">
        <v>2</v>
      </c>
      <c r="E173" t="s">
        <v>62</v>
      </c>
      <c r="F173" t="s">
        <v>63</v>
      </c>
      <c r="G173" t="s">
        <v>104</v>
      </c>
      <c r="H173" t="s">
        <v>42</v>
      </c>
      <c r="I173" t="s">
        <v>43</v>
      </c>
      <c r="J173" t="s">
        <v>369</v>
      </c>
      <c r="K173" t="s">
        <v>56</v>
      </c>
      <c r="M173" t="s">
        <v>106</v>
      </c>
      <c r="P173" t="s">
        <v>58</v>
      </c>
      <c r="Q173" t="s">
        <v>47</v>
      </c>
      <c r="R173" t="s">
        <v>48</v>
      </c>
      <c r="V173" t="s">
        <v>49</v>
      </c>
      <c r="X173" t="s">
        <v>49</v>
      </c>
      <c r="Y173" t="s">
        <v>59</v>
      </c>
      <c r="Z173" t="s">
        <v>345</v>
      </c>
      <c r="AA173" t="s">
        <v>345</v>
      </c>
    </row>
    <row r="174" spans="1:27" x14ac:dyDescent="0.35">
      <c r="A174" t="str">
        <f t="shared" si="5"/>
        <v>3506F3</v>
      </c>
      <c r="B174" t="str">
        <f t="shared" si="4"/>
        <v>3506</v>
      </c>
      <c r="C174" t="s">
        <v>373</v>
      </c>
      <c r="D174" t="s">
        <v>5</v>
      </c>
      <c r="E174" t="s">
        <v>40</v>
      </c>
      <c r="F174" t="s">
        <v>73</v>
      </c>
      <c r="G174" t="s">
        <v>104</v>
      </c>
      <c r="H174" t="s">
        <v>42</v>
      </c>
      <c r="I174" t="s">
        <v>67</v>
      </c>
      <c r="J174" t="s">
        <v>369</v>
      </c>
      <c r="M174" t="s">
        <v>106</v>
      </c>
      <c r="P174" t="s">
        <v>46</v>
      </c>
      <c r="Q174" t="s">
        <v>47</v>
      </c>
      <c r="R174" t="s">
        <v>48</v>
      </c>
      <c r="V174" t="s">
        <v>49</v>
      </c>
      <c r="X174" t="s">
        <v>49</v>
      </c>
      <c r="Y174" t="s">
        <v>74</v>
      </c>
      <c r="Z174" t="s">
        <v>370</v>
      </c>
      <c r="AA174" t="s">
        <v>370</v>
      </c>
    </row>
    <row r="175" spans="1:27" x14ac:dyDescent="0.35">
      <c r="A175" t="str">
        <f t="shared" si="5"/>
        <v>3506C2</v>
      </c>
      <c r="B175" t="str">
        <f t="shared" si="4"/>
        <v>3506</v>
      </c>
      <c r="C175" t="s">
        <v>374</v>
      </c>
      <c r="D175" t="s">
        <v>1</v>
      </c>
      <c r="E175" t="s">
        <v>65</v>
      </c>
      <c r="F175" t="s">
        <v>66</v>
      </c>
      <c r="G175" t="s">
        <v>104</v>
      </c>
      <c r="H175" t="s">
        <v>42</v>
      </c>
      <c r="I175" t="s">
        <v>67</v>
      </c>
      <c r="J175" t="s">
        <v>369</v>
      </c>
      <c r="M175" t="s">
        <v>106</v>
      </c>
      <c r="P175" t="s">
        <v>69</v>
      </c>
      <c r="Q175" t="s">
        <v>47</v>
      </c>
      <c r="R175" t="s">
        <v>48</v>
      </c>
      <c r="V175" t="s">
        <v>49</v>
      </c>
      <c r="X175" t="s">
        <v>49</v>
      </c>
      <c r="Y175" t="s">
        <v>70</v>
      </c>
      <c r="Z175" t="s">
        <v>348</v>
      </c>
      <c r="AA175" t="s">
        <v>348</v>
      </c>
    </row>
    <row r="176" spans="1:27" x14ac:dyDescent="0.35">
      <c r="A176" t="str">
        <f t="shared" si="5"/>
        <v>3506D7</v>
      </c>
      <c r="B176" t="str">
        <f t="shared" si="4"/>
        <v>3506</v>
      </c>
      <c r="C176" t="s">
        <v>375</v>
      </c>
      <c r="D176" t="s">
        <v>6</v>
      </c>
      <c r="E176" t="s">
        <v>94</v>
      </c>
      <c r="F176" t="s">
        <v>111</v>
      </c>
      <c r="G176" t="s">
        <v>104</v>
      </c>
      <c r="H176" t="s">
        <v>42</v>
      </c>
      <c r="I176" t="s">
        <v>43</v>
      </c>
      <c r="J176" t="s">
        <v>369</v>
      </c>
      <c r="M176" t="s">
        <v>106</v>
      </c>
      <c r="P176" t="s">
        <v>46</v>
      </c>
      <c r="Q176" t="s">
        <v>47</v>
      </c>
      <c r="R176" t="s">
        <v>48</v>
      </c>
      <c r="V176" t="s">
        <v>49</v>
      </c>
      <c r="X176" t="s">
        <v>49</v>
      </c>
      <c r="Y176" t="s">
        <v>59</v>
      </c>
      <c r="Z176" t="s">
        <v>376</v>
      </c>
      <c r="AA176" t="s">
        <v>376</v>
      </c>
    </row>
    <row r="177" spans="1:27" x14ac:dyDescent="0.35">
      <c r="A177" t="str">
        <f t="shared" si="5"/>
        <v>3507F2</v>
      </c>
      <c r="B177" t="str">
        <f t="shared" si="4"/>
        <v>3507</v>
      </c>
      <c r="C177" t="s">
        <v>377</v>
      </c>
      <c r="D177" t="s">
        <v>4</v>
      </c>
      <c r="E177" t="s">
        <v>77</v>
      </c>
      <c r="F177" t="s">
        <v>78</v>
      </c>
      <c r="G177" t="s">
        <v>104</v>
      </c>
      <c r="H177" t="s">
        <v>42</v>
      </c>
      <c r="I177" t="s">
        <v>67</v>
      </c>
      <c r="J177" t="s">
        <v>378</v>
      </c>
      <c r="M177" t="s">
        <v>106</v>
      </c>
      <c r="P177" t="s">
        <v>79</v>
      </c>
      <c r="Q177" t="s">
        <v>47</v>
      </c>
      <c r="R177" t="s">
        <v>48</v>
      </c>
      <c r="V177" t="s">
        <v>49</v>
      </c>
      <c r="X177" t="s">
        <v>49</v>
      </c>
      <c r="Y177" t="s">
        <v>74</v>
      </c>
      <c r="Z177" t="s">
        <v>370</v>
      </c>
      <c r="AA177" t="s">
        <v>370</v>
      </c>
    </row>
    <row r="178" spans="1:27" x14ac:dyDescent="0.35">
      <c r="A178" t="str">
        <f t="shared" si="5"/>
        <v>3507D4</v>
      </c>
      <c r="B178" t="str">
        <f t="shared" si="4"/>
        <v>3507</v>
      </c>
      <c r="C178" t="s">
        <v>379</v>
      </c>
      <c r="D178" t="s">
        <v>3</v>
      </c>
      <c r="E178" t="s">
        <v>52</v>
      </c>
      <c r="F178" t="s">
        <v>53</v>
      </c>
      <c r="G178" t="s">
        <v>104</v>
      </c>
      <c r="H178" t="s">
        <v>42</v>
      </c>
      <c r="I178" t="s">
        <v>43</v>
      </c>
      <c r="J178" t="s">
        <v>378</v>
      </c>
      <c r="K178" t="s">
        <v>56</v>
      </c>
      <c r="M178" t="s">
        <v>106</v>
      </c>
      <c r="P178" t="s">
        <v>58</v>
      </c>
      <c r="Q178" t="s">
        <v>47</v>
      </c>
      <c r="R178" t="s">
        <v>48</v>
      </c>
      <c r="V178" t="s">
        <v>49</v>
      </c>
      <c r="X178" t="s">
        <v>49</v>
      </c>
      <c r="Y178" t="s">
        <v>59</v>
      </c>
      <c r="Z178" t="s">
        <v>3591</v>
      </c>
      <c r="AA178" t="s">
        <v>3591</v>
      </c>
    </row>
    <row r="179" spans="1:27" x14ac:dyDescent="0.35">
      <c r="A179" t="str">
        <f t="shared" si="5"/>
        <v>3507D2</v>
      </c>
      <c r="B179" t="str">
        <f t="shared" si="4"/>
        <v>3507</v>
      </c>
      <c r="C179" t="s">
        <v>380</v>
      </c>
      <c r="D179" t="s">
        <v>2</v>
      </c>
      <c r="E179" t="s">
        <v>62</v>
      </c>
      <c r="F179" t="s">
        <v>63</v>
      </c>
      <c r="G179" t="s">
        <v>104</v>
      </c>
      <c r="H179" t="s">
        <v>42</v>
      </c>
      <c r="I179" t="s">
        <v>43</v>
      </c>
      <c r="J179" t="s">
        <v>378</v>
      </c>
      <c r="K179" t="s">
        <v>56</v>
      </c>
      <c r="M179" t="s">
        <v>106</v>
      </c>
      <c r="P179" t="s">
        <v>58</v>
      </c>
      <c r="Q179" t="s">
        <v>47</v>
      </c>
      <c r="R179" t="s">
        <v>48</v>
      </c>
      <c r="V179" t="s">
        <v>49</v>
      </c>
      <c r="X179" t="s">
        <v>49</v>
      </c>
      <c r="Y179" t="s">
        <v>59</v>
      </c>
      <c r="Z179" t="s">
        <v>381</v>
      </c>
      <c r="AA179" t="s">
        <v>381</v>
      </c>
    </row>
    <row r="180" spans="1:27" x14ac:dyDescent="0.35">
      <c r="A180" t="str">
        <f t="shared" si="5"/>
        <v>3507F3</v>
      </c>
      <c r="B180" t="str">
        <f t="shared" si="4"/>
        <v>3507</v>
      </c>
      <c r="C180" t="s">
        <v>382</v>
      </c>
      <c r="D180" t="s">
        <v>5</v>
      </c>
      <c r="E180" t="s">
        <v>40</v>
      </c>
      <c r="F180" t="s">
        <v>73</v>
      </c>
      <c r="G180" t="s">
        <v>104</v>
      </c>
      <c r="H180" t="s">
        <v>42</v>
      </c>
      <c r="I180" t="s">
        <v>67</v>
      </c>
      <c r="J180" t="s">
        <v>378</v>
      </c>
      <c r="M180" t="s">
        <v>106</v>
      </c>
      <c r="P180" t="s">
        <v>46</v>
      </c>
      <c r="Q180" t="s">
        <v>47</v>
      </c>
      <c r="R180" t="s">
        <v>48</v>
      </c>
      <c r="V180" t="s">
        <v>49</v>
      </c>
      <c r="X180" t="s">
        <v>49</v>
      </c>
      <c r="Y180" t="s">
        <v>74</v>
      </c>
      <c r="Z180" t="s">
        <v>370</v>
      </c>
      <c r="AA180" t="s">
        <v>370</v>
      </c>
    </row>
    <row r="181" spans="1:27" x14ac:dyDescent="0.35">
      <c r="A181" t="str">
        <f t="shared" si="5"/>
        <v>3507C2</v>
      </c>
      <c r="B181" t="str">
        <f t="shared" si="4"/>
        <v>3507</v>
      </c>
      <c r="C181" t="s">
        <v>383</v>
      </c>
      <c r="D181" t="s">
        <v>1</v>
      </c>
      <c r="E181" t="s">
        <v>65</v>
      </c>
      <c r="F181" t="s">
        <v>66</v>
      </c>
      <c r="G181" t="s">
        <v>104</v>
      </c>
      <c r="H181" t="s">
        <v>42</v>
      </c>
      <c r="I181" t="s">
        <v>67</v>
      </c>
      <c r="J181" t="s">
        <v>378</v>
      </c>
      <c r="M181" t="s">
        <v>106</v>
      </c>
      <c r="P181" t="s">
        <v>69</v>
      </c>
      <c r="Q181" t="s">
        <v>47</v>
      </c>
      <c r="R181" t="s">
        <v>48</v>
      </c>
      <c r="V181" t="s">
        <v>49</v>
      </c>
      <c r="X181" t="s">
        <v>49</v>
      </c>
      <c r="Y181" t="s">
        <v>70</v>
      </c>
      <c r="Z181" t="s">
        <v>348</v>
      </c>
      <c r="AA181" t="s">
        <v>348</v>
      </c>
    </row>
    <row r="182" spans="1:27" x14ac:dyDescent="0.35">
      <c r="A182" t="str">
        <f t="shared" si="5"/>
        <v>3507D7</v>
      </c>
      <c r="B182" t="str">
        <f t="shared" si="4"/>
        <v>3507</v>
      </c>
      <c r="C182" t="s">
        <v>384</v>
      </c>
      <c r="D182" t="s">
        <v>6</v>
      </c>
      <c r="E182" t="s">
        <v>94</v>
      </c>
      <c r="F182" t="s">
        <v>111</v>
      </c>
      <c r="G182" t="s">
        <v>104</v>
      </c>
      <c r="H182" t="s">
        <v>42</v>
      </c>
      <c r="I182" t="s">
        <v>43</v>
      </c>
      <c r="J182" t="s">
        <v>378</v>
      </c>
      <c r="M182" t="s">
        <v>106</v>
      </c>
      <c r="P182" t="s">
        <v>46</v>
      </c>
      <c r="Q182" t="s">
        <v>47</v>
      </c>
      <c r="R182" t="s">
        <v>48</v>
      </c>
      <c r="V182" t="s">
        <v>49</v>
      </c>
      <c r="X182" t="s">
        <v>49</v>
      </c>
      <c r="Y182" t="s">
        <v>59</v>
      </c>
      <c r="Z182" t="s">
        <v>385</v>
      </c>
      <c r="AA182" t="s">
        <v>376</v>
      </c>
    </row>
    <row r="183" spans="1:27" x14ac:dyDescent="0.35">
      <c r="A183" t="str">
        <f t="shared" si="5"/>
        <v>3508F2</v>
      </c>
      <c r="B183" t="str">
        <f t="shared" si="4"/>
        <v>3508</v>
      </c>
      <c r="C183" t="s">
        <v>386</v>
      </c>
      <c r="D183" t="s">
        <v>4</v>
      </c>
      <c r="E183" t="s">
        <v>77</v>
      </c>
      <c r="F183" t="s">
        <v>78</v>
      </c>
      <c r="G183" t="s">
        <v>104</v>
      </c>
      <c r="H183" t="s">
        <v>42</v>
      </c>
      <c r="I183" t="s">
        <v>67</v>
      </c>
      <c r="J183" t="s">
        <v>387</v>
      </c>
      <c r="M183" t="s">
        <v>106</v>
      </c>
      <c r="P183" t="s">
        <v>189</v>
      </c>
      <c r="Q183" t="s">
        <v>47</v>
      </c>
      <c r="R183" t="s">
        <v>48</v>
      </c>
      <c r="V183" t="s">
        <v>49</v>
      </c>
      <c r="X183" t="s">
        <v>49</v>
      </c>
      <c r="Y183" t="s">
        <v>74</v>
      </c>
      <c r="Z183" t="s">
        <v>370</v>
      </c>
      <c r="AA183" t="s">
        <v>370</v>
      </c>
    </row>
    <row r="184" spans="1:27" x14ac:dyDescent="0.35">
      <c r="A184" t="str">
        <f t="shared" si="5"/>
        <v>3508D4</v>
      </c>
      <c r="B184" t="str">
        <f t="shared" si="4"/>
        <v>3508</v>
      </c>
      <c r="C184" t="s">
        <v>388</v>
      </c>
      <c r="D184" t="s">
        <v>3</v>
      </c>
      <c r="E184" t="s">
        <v>52</v>
      </c>
      <c r="F184" t="s">
        <v>53</v>
      </c>
      <c r="G184" t="s">
        <v>104</v>
      </c>
      <c r="H184" t="s">
        <v>42</v>
      </c>
      <c r="I184" t="s">
        <v>43</v>
      </c>
      <c r="J184" t="s">
        <v>387</v>
      </c>
      <c r="K184" t="s">
        <v>56</v>
      </c>
      <c r="M184" t="s">
        <v>106</v>
      </c>
      <c r="P184" t="s">
        <v>58</v>
      </c>
      <c r="Q184" t="s">
        <v>47</v>
      </c>
      <c r="R184" t="s">
        <v>48</v>
      </c>
      <c r="V184" t="s">
        <v>49</v>
      </c>
      <c r="X184" t="s">
        <v>49</v>
      </c>
      <c r="Y184" t="s">
        <v>59</v>
      </c>
      <c r="Z184" t="s">
        <v>3591</v>
      </c>
      <c r="AA184" t="s">
        <v>3591</v>
      </c>
    </row>
    <row r="185" spans="1:27" x14ac:dyDescent="0.35">
      <c r="A185" t="str">
        <f t="shared" si="5"/>
        <v>3508D2</v>
      </c>
      <c r="B185" t="str">
        <f t="shared" si="4"/>
        <v>3508</v>
      </c>
      <c r="C185" t="s">
        <v>389</v>
      </c>
      <c r="D185" t="s">
        <v>2</v>
      </c>
      <c r="E185" t="s">
        <v>62</v>
      </c>
      <c r="F185" t="s">
        <v>63</v>
      </c>
      <c r="G185" t="s">
        <v>104</v>
      </c>
      <c r="H185" t="s">
        <v>42</v>
      </c>
      <c r="I185" t="s">
        <v>43</v>
      </c>
      <c r="J185" t="s">
        <v>387</v>
      </c>
      <c r="K185" t="s">
        <v>56</v>
      </c>
      <c r="M185" t="s">
        <v>106</v>
      </c>
      <c r="P185" t="s">
        <v>58</v>
      </c>
      <c r="Q185" t="s">
        <v>47</v>
      </c>
      <c r="R185" t="s">
        <v>48</v>
      </c>
      <c r="V185" t="s">
        <v>49</v>
      </c>
      <c r="X185" t="s">
        <v>49</v>
      </c>
      <c r="Y185" t="s">
        <v>59</v>
      </c>
      <c r="Z185" t="s">
        <v>381</v>
      </c>
      <c r="AA185" t="s">
        <v>381</v>
      </c>
    </row>
    <row r="186" spans="1:27" x14ac:dyDescent="0.35">
      <c r="A186" t="str">
        <f t="shared" si="5"/>
        <v>3508F3</v>
      </c>
      <c r="B186" t="str">
        <f t="shared" si="4"/>
        <v>3508</v>
      </c>
      <c r="C186" t="s">
        <v>390</v>
      </c>
      <c r="D186" t="s">
        <v>5</v>
      </c>
      <c r="E186" t="s">
        <v>40</v>
      </c>
      <c r="F186" t="s">
        <v>73</v>
      </c>
      <c r="G186" t="s">
        <v>104</v>
      </c>
      <c r="H186" t="s">
        <v>42</v>
      </c>
      <c r="I186" t="s">
        <v>67</v>
      </c>
      <c r="J186" t="s">
        <v>387</v>
      </c>
      <c r="M186" t="s">
        <v>106</v>
      </c>
      <c r="P186" t="s">
        <v>46</v>
      </c>
      <c r="Q186" t="s">
        <v>47</v>
      </c>
      <c r="R186" t="s">
        <v>48</v>
      </c>
      <c r="V186" t="s">
        <v>49</v>
      </c>
      <c r="X186" t="s">
        <v>49</v>
      </c>
      <c r="Y186" t="s">
        <v>74</v>
      </c>
      <c r="Z186" t="s">
        <v>370</v>
      </c>
      <c r="AA186" t="s">
        <v>370</v>
      </c>
    </row>
    <row r="187" spans="1:27" x14ac:dyDescent="0.35">
      <c r="A187" t="str">
        <f t="shared" si="5"/>
        <v>3508C2</v>
      </c>
      <c r="B187" t="str">
        <f t="shared" si="4"/>
        <v>3508</v>
      </c>
      <c r="C187" t="s">
        <v>391</v>
      </c>
      <c r="D187" t="s">
        <v>1</v>
      </c>
      <c r="E187" t="s">
        <v>65</v>
      </c>
      <c r="F187" t="s">
        <v>66</v>
      </c>
      <c r="G187" t="s">
        <v>104</v>
      </c>
      <c r="H187" t="s">
        <v>42</v>
      </c>
      <c r="I187" t="s">
        <v>67</v>
      </c>
      <c r="J187" t="s">
        <v>387</v>
      </c>
      <c r="M187" t="s">
        <v>106</v>
      </c>
      <c r="P187" t="s">
        <v>69</v>
      </c>
      <c r="Q187" t="s">
        <v>47</v>
      </c>
      <c r="R187" t="s">
        <v>48</v>
      </c>
      <c r="V187" t="s">
        <v>49</v>
      </c>
      <c r="X187" t="s">
        <v>49</v>
      </c>
      <c r="Y187" t="s">
        <v>70</v>
      </c>
      <c r="Z187" t="s">
        <v>392</v>
      </c>
      <c r="AA187" t="s">
        <v>392</v>
      </c>
    </row>
    <row r="188" spans="1:27" x14ac:dyDescent="0.35">
      <c r="A188" t="str">
        <f t="shared" si="5"/>
        <v>3508D7</v>
      </c>
      <c r="B188" t="str">
        <f t="shared" si="4"/>
        <v>3508</v>
      </c>
      <c r="C188" t="s">
        <v>393</v>
      </c>
      <c r="D188" t="s">
        <v>6</v>
      </c>
      <c r="E188" t="s">
        <v>94</v>
      </c>
      <c r="F188" t="s">
        <v>111</v>
      </c>
      <c r="G188" t="s">
        <v>104</v>
      </c>
      <c r="H188" t="s">
        <v>42</v>
      </c>
      <c r="I188" t="s">
        <v>43</v>
      </c>
      <c r="J188" t="s">
        <v>387</v>
      </c>
      <c r="M188" t="s">
        <v>106</v>
      </c>
      <c r="P188" t="s">
        <v>46</v>
      </c>
      <c r="Q188" t="s">
        <v>47</v>
      </c>
      <c r="R188" t="s">
        <v>48</v>
      </c>
      <c r="V188" t="s">
        <v>49</v>
      </c>
      <c r="X188" t="s">
        <v>49</v>
      </c>
      <c r="Y188" t="s">
        <v>59</v>
      </c>
      <c r="Z188" t="s">
        <v>376</v>
      </c>
      <c r="AA188" t="s">
        <v>376</v>
      </c>
    </row>
    <row r="189" spans="1:27" x14ac:dyDescent="0.35">
      <c r="A189" t="str">
        <f t="shared" si="5"/>
        <v>3509F2</v>
      </c>
      <c r="B189" t="str">
        <f t="shared" si="4"/>
        <v>3509</v>
      </c>
      <c r="C189" t="s">
        <v>394</v>
      </c>
      <c r="D189" t="s">
        <v>4</v>
      </c>
      <c r="E189" t="s">
        <v>77</v>
      </c>
      <c r="F189" t="s">
        <v>78</v>
      </c>
      <c r="G189" t="s">
        <v>104</v>
      </c>
      <c r="H189" t="s">
        <v>42</v>
      </c>
      <c r="I189" t="s">
        <v>67</v>
      </c>
      <c r="J189" t="s">
        <v>395</v>
      </c>
      <c r="M189" t="s">
        <v>106</v>
      </c>
      <c r="P189" t="s">
        <v>79</v>
      </c>
      <c r="Q189" t="s">
        <v>47</v>
      </c>
      <c r="R189" t="s">
        <v>48</v>
      </c>
      <c r="V189" t="s">
        <v>49</v>
      </c>
      <c r="X189" t="s">
        <v>49</v>
      </c>
      <c r="Y189" t="s">
        <v>74</v>
      </c>
      <c r="Z189" t="s">
        <v>370</v>
      </c>
      <c r="AA189" t="s">
        <v>370</v>
      </c>
    </row>
    <row r="190" spans="1:27" x14ac:dyDescent="0.35">
      <c r="A190" t="str">
        <f t="shared" si="5"/>
        <v>3509D4</v>
      </c>
      <c r="B190" t="str">
        <f t="shared" si="4"/>
        <v>3509</v>
      </c>
      <c r="C190" t="s">
        <v>396</v>
      </c>
      <c r="D190" t="s">
        <v>3</v>
      </c>
      <c r="E190" t="s">
        <v>52</v>
      </c>
      <c r="F190" t="s">
        <v>53</v>
      </c>
      <c r="G190" t="s">
        <v>104</v>
      </c>
      <c r="H190" t="s">
        <v>42</v>
      </c>
      <c r="I190" t="s">
        <v>43</v>
      </c>
      <c r="J190" t="s">
        <v>395</v>
      </c>
      <c r="K190" t="s">
        <v>56</v>
      </c>
      <c r="M190" t="s">
        <v>106</v>
      </c>
      <c r="P190" t="s">
        <v>58</v>
      </c>
      <c r="Q190" t="s">
        <v>47</v>
      </c>
      <c r="R190" t="s">
        <v>48</v>
      </c>
      <c r="V190" t="s">
        <v>49</v>
      </c>
      <c r="X190" t="s">
        <v>49</v>
      </c>
      <c r="Y190" t="s">
        <v>59</v>
      </c>
      <c r="Z190" t="s">
        <v>3591</v>
      </c>
      <c r="AA190" t="s">
        <v>3591</v>
      </c>
    </row>
    <row r="191" spans="1:27" x14ac:dyDescent="0.35">
      <c r="A191" t="str">
        <f t="shared" si="5"/>
        <v>3509D2</v>
      </c>
      <c r="B191" t="str">
        <f t="shared" si="4"/>
        <v>3509</v>
      </c>
      <c r="C191" t="s">
        <v>397</v>
      </c>
      <c r="D191" t="s">
        <v>2</v>
      </c>
      <c r="E191" t="s">
        <v>62</v>
      </c>
      <c r="F191" t="s">
        <v>63</v>
      </c>
      <c r="G191" t="s">
        <v>104</v>
      </c>
      <c r="H191" t="s">
        <v>42</v>
      </c>
      <c r="I191" t="s">
        <v>43</v>
      </c>
      <c r="J191" t="s">
        <v>395</v>
      </c>
      <c r="K191" t="s">
        <v>56</v>
      </c>
      <c r="M191" t="s">
        <v>106</v>
      </c>
      <c r="P191" t="s">
        <v>58</v>
      </c>
      <c r="Q191" t="s">
        <v>47</v>
      </c>
      <c r="R191" t="s">
        <v>48</v>
      </c>
      <c r="V191" t="s">
        <v>49</v>
      </c>
      <c r="X191" t="s">
        <v>49</v>
      </c>
      <c r="Y191" t="s">
        <v>59</v>
      </c>
      <c r="Z191" t="s">
        <v>398</v>
      </c>
      <c r="AA191" t="s">
        <v>398</v>
      </c>
    </row>
    <row r="192" spans="1:27" x14ac:dyDescent="0.35">
      <c r="A192" t="str">
        <f t="shared" si="5"/>
        <v>3509F3</v>
      </c>
      <c r="B192" t="str">
        <f t="shared" si="4"/>
        <v>3509</v>
      </c>
      <c r="C192" t="s">
        <v>399</v>
      </c>
      <c r="D192" t="s">
        <v>5</v>
      </c>
      <c r="E192" t="s">
        <v>40</v>
      </c>
      <c r="F192" t="s">
        <v>73</v>
      </c>
      <c r="G192" t="s">
        <v>104</v>
      </c>
      <c r="H192" t="s">
        <v>42</v>
      </c>
      <c r="I192" t="s">
        <v>67</v>
      </c>
      <c r="J192" t="s">
        <v>395</v>
      </c>
      <c r="M192" t="s">
        <v>106</v>
      </c>
      <c r="P192" t="s">
        <v>46</v>
      </c>
      <c r="Q192" t="s">
        <v>47</v>
      </c>
      <c r="R192" t="s">
        <v>48</v>
      </c>
      <c r="V192" t="s">
        <v>49</v>
      </c>
      <c r="X192" t="s">
        <v>49</v>
      </c>
      <c r="Y192" t="s">
        <v>74</v>
      </c>
      <c r="Z192" t="s">
        <v>370</v>
      </c>
      <c r="AA192" t="s">
        <v>370</v>
      </c>
    </row>
    <row r="193" spans="1:27" x14ac:dyDescent="0.35">
      <c r="A193" t="str">
        <f t="shared" si="5"/>
        <v>3509C2</v>
      </c>
      <c r="B193" t="str">
        <f t="shared" si="4"/>
        <v>3509</v>
      </c>
      <c r="C193" t="s">
        <v>400</v>
      </c>
      <c r="D193" t="s">
        <v>1</v>
      </c>
      <c r="E193" t="s">
        <v>65</v>
      </c>
      <c r="F193" t="s">
        <v>66</v>
      </c>
      <c r="G193" t="s">
        <v>104</v>
      </c>
      <c r="H193" t="s">
        <v>42</v>
      </c>
      <c r="I193" t="s">
        <v>67</v>
      </c>
      <c r="J193" t="s">
        <v>395</v>
      </c>
      <c r="M193" t="s">
        <v>106</v>
      </c>
      <c r="P193" t="s">
        <v>69</v>
      </c>
      <c r="Q193" t="s">
        <v>47</v>
      </c>
      <c r="R193" t="s">
        <v>48</v>
      </c>
      <c r="V193" t="s">
        <v>49</v>
      </c>
      <c r="X193" t="s">
        <v>49</v>
      </c>
      <c r="Y193" t="s">
        <v>70</v>
      </c>
      <c r="Z193" t="s">
        <v>392</v>
      </c>
      <c r="AA193" t="s">
        <v>392</v>
      </c>
    </row>
    <row r="194" spans="1:27" x14ac:dyDescent="0.35">
      <c r="A194" t="str">
        <f t="shared" si="5"/>
        <v>3509D7</v>
      </c>
      <c r="B194" t="str">
        <f t="shared" ref="B194:B257" si="6">LEFT($J:$J,4)</f>
        <v>3509</v>
      </c>
      <c r="C194" t="s">
        <v>401</v>
      </c>
      <c r="D194" t="s">
        <v>6</v>
      </c>
      <c r="E194" t="s">
        <v>94</v>
      </c>
      <c r="F194" t="s">
        <v>111</v>
      </c>
      <c r="G194" t="s">
        <v>104</v>
      </c>
      <c r="H194" t="s">
        <v>42</v>
      </c>
      <c r="I194" t="s">
        <v>43</v>
      </c>
      <c r="J194" t="s">
        <v>395</v>
      </c>
      <c r="M194" t="s">
        <v>106</v>
      </c>
      <c r="P194" t="s">
        <v>46</v>
      </c>
      <c r="Q194" t="s">
        <v>47</v>
      </c>
      <c r="R194" t="s">
        <v>48</v>
      </c>
      <c r="V194" t="s">
        <v>49</v>
      </c>
      <c r="X194" t="s">
        <v>49</v>
      </c>
      <c r="Y194" t="s">
        <v>59</v>
      </c>
      <c r="Z194" t="s">
        <v>402</v>
      </c>
      <c r="AA194" t="s">
        <v>403</v>
      </c>
    </row>
    <row r="195" spans="1:27" x14ac:dyDescent="0.35">
      <c r="A195" t="str">
        <f t="shared" ref="A195:A258" si="7">B195&amp;D195</f>
        <v>3601F2</v>
      </c>
      <c r="B195" t="str">
        <f t="shared" si="6"/>
        <v>3601</v>
      </c>
      <c r="C195" t="s">
        <v>404</v>
      </c>
      <c r="D195" t="s">
        <v>4</v>
      </c>
      <c r="E195" t="s">
        <v>77</v>
      </c>
      <c r="F195" t="s">
        <v>78</v>
      </c>
      <c r="G195" t="s">
        <v>104</v>
      </c>
      <c r="H195" t="s">
        <v>42</v>
      </c>
      <c r="I195" t="s">
        <v>67</v>
      </c>
      <c r="J195" t="s">
        <v>405</v>
      </c>
      <c r="M195" t="s">
        <v>106</v>
      </c>
      <c r="P195" t="s">
        <v>138</v>
      </c>
      <c r="Q195" t="s">
        <v>47</v>
      </c>
      <c r="R195" t="s">
        <v>48</v>
      </c>
      <c r="V195" t="s">
        <v>49</v>
      </c>
      <c r="X195" t="s">
        <v>49</v>
      </c>
      <c r="Y195" t="s">
        <v>74</v>
      </c>
      <c r="Z195" t="s">
        <v>283</v>
      </c>
      <c r="AA195" t="s">
        <v>283</v>
      </c>
    </row>
    <row r="196" spans="1:27" x14ac:dyDescent="0.35">
      <c r="A196" t="str">
        <f t="shared" si="7"/>
        <v>3601D4</v>
      </c>
      <c r="B196" t="str">
        <f t="shared" si="6"/>
        <v>3601</v>
      </c>
      <c r="C196" t="s">
        <v>406</v>
      </c>
      <c r="D196" t="s">
        <v>3</v>
      </c>
      <c r="E196" t="s">
        <v>52</v>
      </c>
      <c r="F196" t="s">
        <v>53</v>
      </c>
      <c r="G196" t="s">
        <v>104</v>
      </c>
      <c r="H196" t="s">
        <v>42</v>
      </c>
      <c r="I196" t="s">
        <v>43</v>
      </c>
      <c r="J196" t="s">
        <v>405</v>
      </c>
      <c r="K196" t="s">
        <v>56</v>
      </c>
      <c r="M196" t="s">
        <v>106</v>
      </c>
      <c r="P196" t="s">
        <v>58</v>
      </c>
      <c r="Q196" t="s">
        <v>47</v>
      </c>
      <c r="R196" t="s">
        <v>48</v>
      </c>
      <c r="V196" t="s">
        <v>49</v>
      </c>
      <c r="X196" t="s">
        <v>49</v>
      </c>
      <c r="Y196" t="s">
        <v>59</v>
      </c>
      <c r="Z196" t="s">
        <v>3642</v>
      </c>
      <c r="AA196" t="s">
        <v>3642</v>
      </c>
    </row>
    <row r="197" spans="1:27" x14ac:dyDescent="0.35">
      <c r="A197" t="str">
        <f t="shared" si="7"/>
        <v>3601D2</v>
      </c>
      <c r="B197" t="str">
        <f t="shared" si="6"/>
        <v>3601</v>
      </c>
      <c r="C197" t="s">
        <v>408</v>
      </c>
      <c r="D197" t="s">
        <v>2</v>
      </c>
      <c r="E197" t="s">
        <v>62</v>
      </c>
      <c r="F197" t="s">
        <v>63</v>
      </c>
      <c r="G197" t="s">
        <v>104</v>
      </c>
      <c r="H197" t="s">
        <v>42</v>
      </c>
      <c r="I197" t="s">
        <v>43</v>
      </c>
      <c r="J197" t="s">
        <v>405</v>
      </c>
      <c r="K197" t="s">
        <v>56</v>
      </c>
      <c r="M197" t="s">
        <v>106</v>
      </c>
      <c r="P197" t="s">
        <v>58</v>
      </c>
      <c r="Q197" t="s">
        <v>47</v>
      </c>
      <c r="R197" t="s">
        <v>48</v>
      </c>
      <c r="V197" t="s">
        <v>49</v>
      </c>
      <c r="X197" t="s">
        <v>49</v>
      </c>
      <c r="Y197" t="s">
        <v>59</v>
      </c>
      <c r="Z197" t="s">
        <v>3643</v>
      </c>
      <c r="AA197" t="s">
        <v>3643</v>
      </c>
    </row>
    <row r="198" spans="1:27" x14ac:dyDescent="0.35">
      <c r="A198" t="str">
        <f t="shared" si="7"/>
        <v>3601F3</v>
      </c>
      <c r="B198" t="str">
        <f t="shared" si="6"/>
        <v>3601</v>
      </c>
      <c r="C198" t="s">
        <v>409</v>
      </c>
      <c r="D198" t="s">
        <v>5</v>
      </c>
      <c r="E198" t="s">
        <v>40</v>
      </c>
      <c r="F198" t="s">
        <v>73</v>
      </c>
      <c r="G198" t="s">
        <v>104</v>
      </c>
      <c r="H198" t="s">
        <v>42</v>
      </c>
      <c r="I198" t="s">
        <v>67</v>
      </c>
      <c r="J198" t="s">
        <v>405</v>
      </c>
      <c r="M198" t="s">
        <v>106</v>
      </c>
      <c r="P198" t="s">
        <v>46</v>
      </c>
      <c r="Q198" t="s">
        <v>47</v>
      </c>
      <c r="R198" t="s">
        <v>48</v>
      </c>
      <c r="V198" t="s">
        <v>49</v>
      </c>
      <c r="X198" t="s">
        <v>49</v>
      </c>
      <c r="Y198" t="s">
        <v>74</v>
      </c>
      <c r="Z198" t="s">
        <v>410</v>
      </c>
      <c r="AA198" t="s">
        <v>410</v>
      </c>
    </row>
    <row r="199" spans="1:27" x14ac:dyDescent="0.35">
      <c r="A199" t="str">
        <f t="shared" si="7"/>
        <v>3601C2</v>
      </c>
      <c r="B199" t="str">
        <f t="shared" si="6"/>
        <v>3601</v>
      </c>
      <c r="C199" t="s">
        <v>411</v>
      </c>
      <c r="D199" t="s">
        <v>1</v>
      </c>
      <c r="E199" t="s">
        <v>65</v>
      </c>
      <c r="F199" t="s">
        <v>66</v>
      </c>
      <c r="G199" t="s">
        <v>104</v>
      </c>
      <c r="H199" t="s">
        <v>42</v>
      </c>
      <c r="I199" t="s">
        <v>67</v>
      </c>
      <c r="J199" t="s">
        <v>405</v>
      </c>
      <c r="M199" t="s">
        <v>106</v>
      </c>
      <c r="P199" t="s">
        <v>69</v>
      </c>
      <c r="Q199" t="s">
        <v>47</v>
      </c>
      <c r="R199" t="s">
        <v>48</v>
      </c>
      <c r="V199" t="s">
        <v>49</v>
      </c>
      <c r="X199" t="s">
        <v>49</v>
      </c>
      <c r="Y199" t="s">
        <v>70</v>
      </c>
      <c r="Z199" t="s">
        <v>3644</v>
      </c>
      <c r="AA199" t="s">
        <v>3644</v>
      </c>
    </row>
    <row r="200" spans="1:27" x14ac:dyDescent="0.35">
      <c r="A200" t="str">
        <f t="shared" si="7"/>
        <v>3601D7</v>
      </c>
      <c r="B200" t="str">
        <f t="shared" si="6"/>
        <v>3601</v>
      </c>
      <c r="C200" t="s">
        <v>412</v>
      </c>
      <c r="D200" t="s">
        <v>6</v>
      </c>
      <c r="E200" t="s">
        <v>94</v>
      </c>
      <c r="F200" t="s">
        <v>111</v>
      </c>
      <c r="G200" t="s">
        <v>104</v>
      </c>
      <c r="H200" t="s">
        <v>42</v>
      </c>
      <c r="I200" t="s">
        <v>43</v>
      </c>
      <c r="J200" t="s">
        <v>405</v>
      </c>
      <c r="M200" t="s">
        <v>106</v>
      </c>
      <c r="P200" t="s">
        <v>46</v>
      </c>
      <c r="Q200" t="s">
        <v>47</v>
      </c>
      <c r="R200" t="s">
        <v>48</v>
      </c>
      <c r="V200" t="s">
        <v>49</v>
      </c>
      <c r="X200" t="s">
        <v>49</v>
      </c>
      <c r="Y200" t="s">
        <v>59</v>
      </c>
      <c r="Z200" t="s">
        <v>413</v>
      </c>
      <c r="AA200" t="s">
        <v>413</v>
      </c>
    </row>
    <row r="201" spans="1:27" x14ac:dyDescent="0.35">
      <c r="A201" t="str">
        <f t="shared" si="7"/>
        <v>3605F2</v>
      </c>
      <c r="B201" t="str">
        <f t="shared" si="6"/>
        <v>3605</v>
      </c>
      <c r="C201" t="s">
        <v>414</v>
      </c>
      <c r="D201" t="s">
        <v>4</v>
      </c>
      <c r="E201" t="s">
        <v>77</v>
      </c>
      <c r="F201" t="s">
        <v>78</v>
      </c>
      <c r="G201" t="s">
        <v>104</v>
      </c>
      <c r="H201" t="s">
        <v>42</v>
      </c>
      <c r="I201" t="s">
        <v>67</v>
      </c>
      <c r="J201" t="s">
        <v>415</v>
      </c>
      <c r="M201" t="s">
        <v>106</v>
      </c>
      <c r="P201" t="s">
        <v>91</v>
      </c>
      <c r="Q201" t="s">
        <v>47</v>
      </c>
      <c r="R201" t="s">
        <v>48</v>
      </c>
      <c r="V201" t="s">
        <v>49</v>
      </c>
      <c r="X201" t="s">
        <v>49</v>
      </c>
      <c r="Y201" t="s">
        <v>74</v>
      </c>
      <c r="Z201" t="s">
        <v>283</v>
      </c>
      <c r="AA201" t="s">
        <v>283</v>
      </c>
    </row>
    <row r="202" spans="1:27" x14ac:dyDescent="0.35">
      <c r="A202" t="str">
        <f t="shared" si="7"/>
        <v>3605D4</v>
      </c>
      <c r="B202" t="str">
        <f t="shared" si="6"/>
        <v>3605</v>
      </c>
      <c r="C202" t="s">
        <v>416</v>
      </c>
      <c r="D202" t="s">
        <v>3</v>
      </c>
      <c r="E202" t="s">
        <v>52</v>
      </c>
      <c r="F202" t="s">
        <v>53</v>
      </c>
      <c r="G202" t="s">
        <v>104</v>
      </c>
      <c r="H202" t="s">
        <v>42</v>
      </c>
      <c r="I202" t="s">
        <v>43</v>
      </c>
      <c r="J202" t="s">
        <v>415</v>
      </c>
      <c r="K202" t="s">
        <v>56</v>
      </c>
      <c r="M202" t="s">
        <v>106</v>
      </c>
      <c r="P202" t="s">
        <v>58</v>
      </c>
      <c r="Q202" t="s">
        <v>47</v>
      </c>
      <c r="R202" t="s">
        <v>48</v>
      </c>
      <c r="V202" t="s">
        <v>49</v>
      </c>
      <c r="X202" t="s">
        <v>49</v>
      </c>
      <c r="Y202" t="s">
        <v>59</v>
      </c>
      <c r="Z202" t="s">
        <v>3642</v>
      </c>
      <c r="AA202" t="s">
        <v>3642</v>
      </c>
    </row>
    <row r="203" spans="1:27" x14ac:dyDescent="0.35">
      <c r="A203" t="str">
        <f t="shared" si="7"/>
        <v>3605D2</v>
      </c>
      <c r="B203" t="str">
        <f t="shared" si="6"/>
        <v>3605</v>
      </c>
      <c r="C203" t="s">
        <v>417</v>
      </c>
      <c r="D203" t="s">
        <v>2</v>
      </c>
      <c r="E203" t="s">
        <v>62</v>
      </c>
      <c r="F203" t="s">
        <v>63</v>
      </c>
      <c r="G203" t="s">
        <v>104</v>
      </c>
      <c r="H203" t="s">
        <v>42</v>
      </c>
      <c r="I203" t="s">
        <v>43</v>
      </c>
      <c r="J203" t="s">
        <v>415</v>
      </c>
      <c r="K203" t="s">
        <v>56</v>
      </c>
      <c r="M203" t="s">
        <v>106</v>
      </c>
      <c r="P203" t="s">
        <v>58</v>
      </c>
      <c r="Q203" t="s">
        <v>47</v>
      </c>
      <c r="R203" t="s">
        <v>48</v>
      </c>
      <c r="V203" t="s">
        <v>49</v>
      </c>
      <c r="X203" t="s">
        <v>49</v>
      </c>
      <c r="Y203" t="s">
        <v>59</v>
      </c>
      <c r="Z203" t="s">
        <v>3645</v>
      </c>
      <c r="AA203" t="s">
        <v>3645</v>
      </c>
    </row>
    <row r="204" spans="1:27" x14ac:dyDescent="0.35">
      <c r="A204" t="str">
        <f t="shared" si="7"/>
        <v>3605F3</v>
      </c>
      <c r="B204" t="str">
        <f t="shared" si="6"/>
        <v>3605</v>
      </c>
      <c r="C204" t="s">
        <v>418</v>
      </c>
      <c r="D204" t="s">
        <v>5</v>
      </c>
      <c r="E204" t="s">
        <v>40</v>
      </c>
      <c r="F204" t="s">
        <v>73</v>
      </c>
      <c r="G204" t="s">
        <v>104</v>
      </c>
      <c r="H204" t="s">
        <v>42</v>
      </c>
      <c r="I204" t="s">
        <v>67</v>
      </c>
      <c r="J204" t="s">
        <v>415</v>
      </c>
      <c r="M204" t="s">
        <v>106</v>
      </c>
      <c r="P204" t="s">
        <v>46</v>
      </c>
      <c r="Q204" t="s">
        <v>47</v>
      </c>
      <c r="R204" t="s">
        <v>48</v>
      </c>
      <c r="V204" t="s">
        <v>49</v>
      </c>
      <c r="X204" t="s">
        <v>49</v>
      </c>
      <c r="Y204" t="s">
        <v>74</v>
      </c>
      <c r="Z204" t="s">
        <v>419</v>
      </c>
      <c r="AA204" t="s">
        <v>419</v>
      </c>
    </row>
    <row r="205" spans="1:27" x14ac:dyDescent="0.35">
      <c r="A205" t="str">
        <f t="shared" si="7"/>
        <v>3605C2</v>
      </c>
      <c r="B205" t="str">
        <f t="shared" si="6"/>
        <v>3605</v>
      </c>
      <c r="C205" t="s">
        <v>420</v>
      </c>
      <c r="D205" t="s">
        <v>1</v>
      </c>
      <c r="E205" t="s">
        <v>65</v>
      </c>
      <c r="F205" t="s">
        <v>66</v>
      </c>
      <c r="G205" t="s">
        <v>104</v>
      </c>
      <c r="H205" t="s">
        <v>42</v>
      </c>
      <c r="I205" t="s">
        <v>67</v>
      </c>
      <c r="J205" t="s">
        <v>415</v>
      </c>
      <c r="M205" t="s">
        <v>106</v>
      </c>
      <c r="P205" t="s">
        <v>69</v>
      </c>
      <c r="Q205" t="s">
        <v>47</v>
      </c>
      <c r="R205" t="s">
        <v>48</v>
      </c>
      <c r="V205" t="s">
        <v>49</v>
      </c>
      <c r="X205" t="s">
        <v>49</v>
      </c>
      <c r="Y205" t="s">
        <v>70</v>
      </c>
      <c r="Z205" t="s">
        <v>3644</v>
      </c>
      <c r="AA205" t="s">
        <v>3644</v>
      </c>
    </row>
    <row r="206" spans="1:27" x14ac:dyDescent="0.35">
      <c r="A206" t="str">
        <f t="shared" si="7"/>
        <v>3605D7</v>
      </c>
      <c r="B206" t="str">
        <f t="shared" si="6"/>
        <v>3605</v>
      </c>
      <c r="C206" t="s">
        <v>421</v>
      </c>
      <c r="D206" t="s">
        <v>6</v>
      </c>
      <c r="E206" t="s">
        <v>94</v>
      </c>
      <c r="F206" t="s">
        <v>111</v>
      </c>
      <c r="G206" t="s">
        <v>104</v>
      </c>
      <c r="H206" t="s">
        <v>42</v>
      </c>
      <c r="I206" t="s">
        <v>43</v>
      </c>
      <c r="J206" t="s">
        <v>415</v>
      </c>
      <c r="M206" t="s">
        <v>106</v>
      </c>
      <c r="P206" t="s">
        <v>46</v>
      </c>
      <c r="Q206" t="s">
        <v>47</v>
      </c>
      <c r="R206" t="s">
        <v>48</v>
      </c>
      <c r="V206" t="s">
        <v>49</v>
      </c>
      <c r="X206" t="s">
        <v>49</v>
      </c>
      <c r="Y206" t="s">
        <v>59</v>
      </c>
      <c r="Z206" t="s">
        <v>422</v>
      </c>
      <c r="AA206" t="s">
        <v>422</v>
      </c>
    </row>
    <row r="207" spans="1:27" x14ac:dyDescent="0.35">
      <c r="A207" t="str">
        <f t="shared" si="7"/>
        <v>3606F2</v>
      </c>
      <c r="B207" t="str">
        <f t="shared" si="6"/>
        <v>3606</v>
      </c>
      <c r="C207" t="s">
        <v>423</v>
      </c>
      <c r="D207" t="s">
        <v>4</v>
      </c>
      <c r="E207" t="s">
        <v>77</v>
      </c>
      <c r="F207" t="s">
        <v>78</v>
      </c>
      <c r="G207" t="s">
        <v>104</v>
      </c>
      <c r="H207" t="s">
        <v>42</v>
      </c>
      <c r="I207" t="s">
        <v>67</v>
      </c>
      <c r="J207" t="s">
        <v>424</v>
      </c>
      <c r="M207" t="s">
        <v>106</v>
      </c>
      <c r="P207" t="s">
        <v>189</v>
      </c>
      <c r="Q207" t="s">
        <v>47</v>
      </c>
      <c r="R207" t="s">
        <v>48</v>
      </c>
      <c r="V207" t="s">
        <v>49</v>
      </c>
      <c r="X207" t="s">
        <v>49</v>
      </c>
      <c r="Y207" t="s">
        <v>74</v>
      </c>
      <c r="Z207" t="s">
        <v>283</v>
      </c>
      <c r="AA207" t="s">
        <v>283</v>
      </c>
    </row>
    <row r="208" spans="1:27" x14ac:dyDescent="0.35">
      <c r="A208" t="str">
        <f t="shared" si="7"/>
        <v>3606D4</v>
      </c>
      <c r="B208" t="str">
        <f t="shared" si="6"/>
        <v>3606</v>
      </c>
      <c r="C208" t="s">
        <v>425</v>
      </c>
      <c r="D208" t="s">
        <v>3</v>
      </c>
      <c r="E208" t="s">
        <v>52</v>
      </c>
      <c r="F208" t="s">
        <v>53</v>
      </c>
      <c r="G208" t="s">
        <v>104</v>
      </c>
      <c r="H208" t="s">
        <v>42</v>
      </c>
      <c r="I208" t="s">
        <v>43</v>
      </c>
      <c r="J208" t="s">
        <v>424</v>
      </c>
      <c r="K208" t="s">
        <v>56</v>
      </c>
      <c r="M208" t="s">
        <v>106</v>
      </c>
      <c r="P208" t="s">
        <v>58</v>
      </c>
      <c r="Q208" t="s">
        <v>47</v>
      </c>
      <c r="R208" t="s">
        <v>48</v>
      </c>
      <c r="V208" t="s">
        <v>49</v>
      </c>
      <c r="X208" t="s">
        <v>49</v>
      </c>
      <c r="Y208" t="s">
        <v>59</v>
      </c>
      <c r="Z208" t="s">
        <v>3646</v>
      </c>
      <c r="AA208" t="s">
        <v>3646</v>
      </c>
    </row>
    <row r="209" spans="1:27" x14ac:dyDescent="0.35">
      <c r="A209" t="str">
        <f t="shared" si="7"/>
        <v>3606D2</v>
      </c>
      <c r="B209" t="str">
        <f t="shared" si="6"/>
        <v>3606</v>
      </c>
      <c r="C209" t="s">
        <v>426</v>
      </c>
      <c r="D209" t="s">
        <v>2</v>
      </c>
      <c r="E209" t="s">
        <v>62</v>
      </c>
      <c r="F209" t="s">
        <v>63</v>
      </c>
      <c r="G209" t="s">
        <v>104</v>
      </c>
      <c r="H209" t="s">
        <v>42</v>
      </c>
      <c r="I209" t="s">
        <v>43</v>
      </c>
      <c r="J209" t="s">
        <v>424</v>
      </c>
      <c r="K209" t="s">
        <v>56</v>
      </c>
      <c r="M209" t="s">
        <v>106</v>
      </c>
      <c r="P209" t="s">
        <v>58</v>
      </c>
      <c r="Q209" t="s">
        <v>47</v>
      </c>
      <c r="R209" t="s">
        <v>48</v>
      </c>
      <c r="V209" t="s">
        <v>49</v>
      </c>
      <c r="X209" t="s">
        <v>49</v>
      </c>
      <c r="Y209" t="s">
        <v>59</v>
      </c>
      <c r="Z209" t="s">
        <v>3645</v>
      </c>
      <c r="AA209" t="s">
        <v>3645</v>
      </c>
    </row>
    <row r="210" spans="1:27" x14ac:dyDescent="0.35">
      <c r="A210" t="str">
        <f t="shared" si="7"/>
        <v>3606F3</v>
      </c>
      <c r="B210" t="str">
        <f t="shared" si="6"/>
        <v>3606</v>
      </c>
      <c r="C210" t="s">
        <v>427</v>
      </c>
      <c r="D210" t="s">
        <v>5</v>
      </c>
      <c r="E210" t="s">
        <v>40</v>
      </c>
      <c r="F210" t="s">
        <v>73</v>
      </c>
      <c r="G210" t="s">
        <v>104</v>
      </c>
      <c r="H210" t="s">
        <v>42</v>
      </c>
      <c r="I210" t="s">
        <v>67</v>
      </c>
      <c r="J210" t="s">
        <v>424</v>
      </c>
      <c r="M210" t="s">
        <v>106</v>
      </c>
      <c r="P210" t="s">
        <v>46</v>
      </c>
      <c r="Q210" t="s">
        <v>47</v>
      </c>
      <c r="R210" t="s">
        <v>48</v>
      </c>
      <c r="V210" t="s">
        <v>49</v>
      </c>
      <c r="X210" t="s">
        <v>49</v>
      </c>
      <c r="Y210" t="s">
        <v>74</v>
      </c>
      <c r="Z210" t="s">
        <v>419</v>
      </c>
      <c r="AA210" t="s">
        <v>419</v>
      </c>
    </row>
    <row r="211" spans="1:27" x14ac:dyDescent="0.35">
      <c r="A211" t="str">
        <f t="shared" si="7"/>
        <v>3606C2</v>
      </c>
      <c r="B211" t="str">
        <f t="shared" si="6"/>
        <v>3606</v>
      </c>
      <c r="C211" t="s">
        <v>428</v>
      </c>
      <c r="D211" t="s">
        <v>1</v>
      </c>
      <c r="E211" t="s">
        <v>65</v>
      </c>
      <c r="F211" t="s">
        <v>66</v>
      </c>
      <c r="G211" t="s">
        <v>104</v>
      </c>
      <c r="H211" t="s">
        <v>42</v>
      </c>
      <c r="I211" t="s">
        <v>67</v>
      </c>
      <c r="J211" t="s">
        <v>424</v>
      </c>
      <c r="M211" t="s">
        <v>106</v>
      </c>
      <c r="P211" t="s">
        <v>69</v>
      </c>
      <c r="Q211" t="s">
        <v>47</v>
      </c>
      <c r="R211" t="s">
        <v>48</v>
      </c>
      <c r="V211" t="s">
        <v>49</v>
      </c>
      <c r="X211" t="s">
        <v>49</v>
      </c>
      <c r="Y211" t="s">
        <v>70</v>
      </c>
      <c r="Z211" t="s">
        <v>3644</v>
      </c>
      <c r="AA211" t="s">
        <v>3644</v>
      </c>
    </row>
    <row r="212" spans="1:27" x14ac:dyDescent="0.35">
      <c r="A212" t="str">
        <f t="shared" si="7"/>
        <v>3606D7</v>
      </c>
      <c r="B212" t="str">
        <f t="shared" si="6"/>
        <v>3606</v>
      </c>
      <c r="C212" t="s">
        <v>429</v>
      </c>
      <c r="D212" t="s">
        <v>6</v>
      </c>
      <c r="E212" t="s">
        <v>94</v>
      </c>
      <c r="F212" t="s">
        <v>111</v>
      </c>
      <c r="G212" t="s">
        <v>104</v>
      </c>
      <c r="H212" t="s">
        <v>42</v>
      </c>
      <c r="I212" t="s">
        <v>43</v>
      </c>
      <c r="J212" t="s">
        <v>424</v>
      </c>
      <c r="M212" t="s">
        <v>106</v>
      </c>
      <c r="P212" t="s">
        <v>46</v>
      </c>
      <c r="Q212" t="s">
        <v>47</v>
      </c>
      <c r="R212" t="s">
        <v>48</v>
      </c>
      <c r="V212" t="s">
        <v>49</v>
      </c>
      <c r="X212" t="s">
        <v>49</v>
      </c>
      <c r="Y212" t="s">
        <v>59</v>
      </c>
      <c r="Z212" t="s">
        <v>422</v>
      </c>
      <c r="AA212" t="s">
        <v>422</v>
      </c>
    </row>
    <row r="213" spans="1:27" x14ac:dyDescent="0.35">
      <c r="A213" t="str">
        <f t="shared" si="7"/>
        <v>3210F2</v>
      </c>
      <c r="B213" t="str">
        <f t="shared" si="6"/>
        <v>3210</v>
      </c>
      <c r="C213" t="s">
        <v>430</v>
      </c>
      <c r="D213" t="s">
        <v>4</v>
      </c>
      <c r="E213" t="s">
        <v>77</v>
      </c>
      <c r="F213" t="s">
        <v>78</v>
      </c>
      <c r="G213" t="s">
        <v>104</v>
      </c>
      <c r="H213" t="s">
        <v>42</v>
      </c>
      <c r="I213" t="s">
        <v>67</v>
      </c>
      <c r="J213" t="s">
        <v>55</v>
      </c>
      <c r="M213" t="s">
        <v>106</v>
      </c>
      <c r="P213" t="s">
        <v>189</v>
      </c>
      <c r="Q213" t="s">
        <v>47</v>
      </c>
      <c r="R213" t="s">
        <v>48</v>
      </c>
      <c r="V213" t="s">
        <v>49</v>
      </c>
      <c r="X213" t="s">
        <v>49</v>
      </c>
      <c r="Y213" t="s">
        <v>74</v>
      </c>
      <c r="Z213" t="s">
        <v>153</v>
      </c>
      <c r="AA213" t="s">
        <v>153</v>
      </c>
    </row>
    <row r="214" spans="1:27" x14ac:dyDescent="0.35">
      <c r="A214" t="str">
        <f t="shared" si="7"/>
        <v>3210F3</v>
      </c>
      <c r="B214" t="str">
        <f t="shared" si="6"/>
        <v>3210</v>
      </c>
      <c r="C214" t="s">
        <v>431</v>
      </c>
      <c r="D214" t="s">
        <v>5</v>
      </c>
      <c r="E214" t="s">
        <v>40</v>
      </c>
      <c r="F214" t="s">
        <v>73</v>
      </c>
      <c r="G214" t="s">
        <v>104</v>
      </c>
      <c r="H214" t="s">
        <v>42</v>
      </c>
      <c r="I214" t="s">
        <v>67</v>
      </c>
      <c r="J214" t="s">
        <v>55</v>
      </c>
      <c r="M214" t="s">
        <v>106</v>
      </c>
      <c r="P214" t="s">
        <v>46</v>
      </c>
      <c r="Q214" t="s">
        <v>47</v>
      </c>
      <c r="R214" t="s">
        <v>48</v>
      </c>
      <c r="V214" t="s">
        <v>49</v>
      </c>
      <c r="X214" t="s">
        <v>49</v>
      </c>
      <c r="Y214" t="s">
        <v>74</v>
      </c>
      <c r="Z214" t="s">
        <v>153</v>
      </c>
      <c r="AA214" t="s">
        <v>153</v>
      </c>
    </row>
    <row r="215" spans="1:27" x14ac:dyDescent="0.35">
      <c r="A215" t="str">
        <f t="shared" si="7"/>
        <v>3210C2</v>
      </c>
      <c r="B215" t="str">
        <f t="shared" si="6"/>
        <v>3210</v>
      </c>
      <c r="C215" t="s">
        <v>432</v>
      </c>
      <c r="D215" t="s">
        <v>1</v>
      </c>
      <c r="E215" t="s">
        <v>65</v>
      </c>
      <c r="F215" t="s">
        <v>66</v>
      </c>
      <c r="G215" t="s">
        <v>104</v>
      </c>
      <c r="H215" t="s">
        <v>42</v>
      </c>
      <c r="I215" t="s">
        <v>67</v>
      </c>
      <c r="J215" t="s">
        <v>55</v>
      </c>
      <c r="M215" t="s">
        <v>106</v>
      </c>
      <c r="P215" t="s">
        <v>69</v>
      </c>
      <c r="Q215" t="s">
        <v>47</v>
      </c>
      <c r="R215" t="s">
        <v>48</v>
      </c>
      <c r="V215" t="s">
        <v>49</v>
      </c>
      <c r="X215" t="s">
        <v>49</v>
      </c>
      <c r="Y215" t="s">
        <v>70</v>
      </c>
      <c r="Z215" t="s">
        <v>221</v>
      </c>
      <c r="AA215" t="s">
        <v>221</v>
      </c>
    </row>
    <row r="216" spans="1:27" x14ac:dyDescent="0.35">
      <c r="A216" t="str">
        <f t="shared" si="7"/>
        <v>3210D7</v>
      </c>
      <c r="B216" t="str">
        <f t="shared" si="6"/>
        <v>3210</v>
      </c>
      <c r="C216" t="s">
        <v>433</v>
      </c>
      <c r="D216" t="s">
        <v>6</v>
      </c>
      <c r="E216" t="s">
        <v>94</v>
      </c>
      <c r="F216" t="s">
        <v>111</v>
      </c>
      <c r="G216" t="s">
        <v>104</v>
      </c>
      <c r="H216" t="s">
        <v>42</v>
      </c>
      <c r="I216" t="s">
        <v>43</v>
      </c>
      <c r="J216" t="s">
        <v>55</v>
      </c>
      <c r="M216" t="s">
        <v>106</v>
      </c>
      <c r="P216" t="s">
        <v>46</v>
      </c>
      <c r="Q216" t="s">
        <v>47</v>
      </c>
      <c r="R216" t="s">
        <v>48</v>
      </c>
      <c r="V216" t="s">
        <v>49</v>
      </c>
      <c r="X216" t="s">
        <v>49</v>
      </c>
      <c r="Y216" t="s">
        <v>59</v>
      </c>
      <c r="Z216" t="s">
        <v>434</v>
      </c>
      <c r="AA216" t="s">
        <v>435</v>
      </c>
    </row>
    <row r="217" spans="1:27" x14ac:dyDescent="0.35">
      <c r="A217" t="str">
        <f t="shared" si="7"/>
        <v>3209F2</v>
      </c>
      <c r="B217" t="str">
        <f t="shared" si="6"/>
        <v>3209</v>
      </c>
      <c r="C217" t="s">
        <v>436</v>
      </c>
      <c r="D217" t="s">
        <v>4</v>
      </c>
      <c r="E217" t="s">
        <v>77</v>
      </c>
      <c r="F217" t="s">
        <v>78</v>
      </c>
      <c r="G217" t="s">
        <v>104</v>
      </c>
      <c r="H217" t="s">
        <v>42</v>
      </c>
      <c r="I217" t="s">
        <v>67</v>
      </c>
      <c r="J217" t="s">
        <v>437</v>
      </c>
      <c r="M217" t="s">
        <v>106</v>
      </c>
      <c r="P217" t="s">
        <v>438</v>
      </c>
      <c r="Q217" t="s">
        <v>47</v>
      </c>
      <c r="R217" t="s">
        <v>48</v>
      </c>
      <c r="V217" t="s">
        <v>49</v>
      </c>
      <c r="X217" t="s">
        <v>49</v>
      </c>
      <c r="Y217" t="s">
        <v>74</v>
      </c>
      <c r="Z217" t="s">
        <v>439</v>
      </c>
      <c r="AA217" t="s">
        <v>439</v>
      </c>
    </row>
    <row r="218" spans="1:27" x14ac:dyDescent="0.35">
      <c r="A218" t="str">
        <f t="shared" si="7"/>
        <v>3209D4</v>
      </c>
      <c r="B218" t="str">
        <f t="shared" si="6"/>
        <v>3209</v>
      </c>
      <c r="C218" t="s">
        <v>440</v>
      </c>
      <c r="D218" t="s">
        <v>3</v>
      </c>
      <c r="E218" t="s">
        <v>52</v>
      </c>
      <c r="F218" t="s">
        <v>53</v>
      </c>
      <c r="G218" t="s">
        <v>104</v>
      </c>
      <c r="H218" t="s">
        <v>42</v>
      </c>
      <c r="I218" t="s">
        <v>43</v>
      </c>
      <c r="J218" t="s">
        <v>437</v>
      </c>
      <c r="K218" t="s">
        <v>56</v>
      </c>
      <c r="M218" t="s">
        <v>106</v>
      </c>
      <c r="P218" t="s">
        <v>58</v>
      </c>
      <c r="Q218" t="s">
        <v>47</v>
      </c>
      <c r="R218" t="s">
        <v>48</v>
      </c>
      <c r="V218" t="s">
        <v>49</v>
      </c>
      <c r="X218" t="s">
        <v>49</v>
      </c>
      <c r="Y218" t="s">
        <v>59</v>
      </c>
      <c r="Z218" t="s">
        <v>441</v>
      </c>
      <c r="AA218" t="s">
        <v>441</v>
      </c>
    </row>
    <row r="219" spans="1:27" x14ac:dyDescent="0.35">
      <c r="A219" t="str">
        <f t="shared" si="7"/>
        <v>3209D2</v>
      </c>
      <c r="B219" t="str">
        <f t="shared" si="6"/>
        <v>3209</v>
      </c>
      <c r="C219" t="s">
        <v>442</v>
      </c>
      <c r="D219" t="s">
        <v>2</v>
      </c>
      <c r="E219" t="s">
        <v>62</v>
      </c>
      <c r="F219" t="s">
        <v>63</v>
      </c>
      <c r="G219" t="s">
        <v>104</v>
      </c>
      <c r="H219" t="s">
        <v>42</v>
      </c>
      <c r="I219" t="s">
        <v>43</v>
      </c>
      <c r="J219" t="s">
        <v>437</v>
      </c>
      <c r="K219" t="s">
        <v>56</v>
      </c>
      <c r="M219" t="s">
        <v>106</v>
      </c>
      <c r="P219" t="s">
        <v>58</v>
      </c>
      <c r="Q219" t="s">
        <v>47</v>
      </c>
      <c r="R219" t="s">
        <v>48</v>
      </c>
      <c r="V219" t="s">
        <v>49</v>
      </c>
      <c r="X219" t="s">
        <v>49</v>
      </c>
      <c r="Y219" t="s">
        <v>59</v>
      </c>
      <c r="Z219" t="s">
        <v>441</v>
      </c>
      <c r="AA219" t="s">
        <v>441</v>
      </c>
    </row>
    <row r="220" spans="1:27" x14ac:dyDescent="0.35">
      <c r="A220" t="str">
        <f t="shared" si="7"/>
        <v>3209F3</v>
      </c>
      <c r="B220" t="str">
        <f t="shared" si="6"/>
        <v>3209</v>
      </c>
      <c r="C220" t="s">
        <v>443</v>
      </c>
      <c r="D220" t="s">
        <v>5</v>
      </c>
      <c r="E220" t="s">
        <v>40</v>
      </c>
      <c r="F220" t="s">
        <v>73</v>
      </c>
      <c r="G220" t="s">
        <v>104</v>
      </c>
      <c r="H220" t="s">
        <v>42</v>
      </c>
      <c r="I220" t="s">
        <v>67</v>
      </c>
      <c r="J220" t="s">
        <v>437</v>
      </c>
      <c r="M220" t="s">
        <v>106</v>
      </c>
      <c r="P220" t="s">
        <v>46</v>
      </c>
      <c r="Q220" t="s">
        <v>47</v>
      </c>
      <c r="R220" t="s">
        <v>48</v>
      </c>
      <c r="V220" t="s">
        <v>49</v>
      </c>
      <c r="X220" t="s">
        <v>49</v>
      </c>
      <c r="Y220" t="s">
        <v>74</v>
      </c>
      <c r="Z220" t="s">
        <v>439</v>
      </c>
      <c r="AA220" t="s">
        <v>439</v>
      </c>
    </row>
    <row r="221" spans="1:27" x14ac:dyDescent="0.35">
      <c r="A221" t="str">
        <f t="shared" si="7"/>
        <v>3209C2</v>
      </c>
      <c r="B221" t="str">
        <f t="shared" si="6"/>
        <v>3209</v>
      </c>
      <c r="C221" t="s">
        <v>444</v>
      </c>
      <c r="D221" t="s">
        <v>1</v>
      </c>
      <c r="E221" t="s">
        <v>65</v>
      </c>
      <c r="F221" t="s">
        <v>66</v>
      </c>
      <c r="G221" t="s">
        <v>104</v>
      </c>
      <c r="H221" t="s">
        <v>42</v>
      </c>
      <c r="I221" t="s">
        <v>67</v>
      </c>
      <c r="J221" t="s">
        <v>437</v>
      </c>
      <c r="M221" t="s">
        <v>106</v>
      </c>
      <c r="P221" t="s">
        <v>69</v>
      </c>
      <c r="Q221" t="s">
        <v>47</v>
      </c>
      <c r="R221" t="s">
        <v>48</v>
      </c>
      <c r="V221" t="s">
        <v>49</v>
      </c>
      <c r="X221" t="s">
        <v>49</v>
      </c>
      <c r="Y221" t="s">
        <v>70</v>
      </c>
      <c r="Z221" t="s">
        <v>445</v>
      </c>
      <c r="AA221" t="s">
        <v>445</v>
      </c>
    </row>
    <row r="222" spans="1:27" x14ac:dyDescent="0.35">
      <c r="A222" t="str">
        <f t="shared" si="7"/>
        <v>3209D7</v>
      </c>
      <c r="B222" t="str">
        <f t="shared" si="6"/>
        <v>3209</v>
      </c>
      <c r="C222" t="s">
        <v>446</v>
      </c>
      <c r="D222" t="s">
        <v>6</v>
      </c>
      <c r="E222" t="s">
        <v>94</v>
      </c>
      <c r="F222" t="s">
        <v>111</v>
      </c>
      <c r="G222" t="s">
        <v>104</v>
      </c>
      <c r="H222" t="s">
        <v>42</v>
      </c>
      <c r="I222" t="s">
        <v>43</v>
      </c>
      <c r="J222" t="s">
        <v>437</v>
      </c>
      <c r="M222" t="s">
        <v>106</v>
      </c>
      <c r="P222" t="s">
        <v>273</v>
      </c>
      <c r="Q222" t="s">
        <v>47</v>
      </c>
      <c r="R222" t="s">
        <v>48</v>
      </c>
      <c r="V222" t="s">
        <v>49</v>
      </c>
      <c r="X222" t="s">
        <v>49</v>
      </c>
      <c r="Y222" t="s">
        <v>59</v>
      </c>
      <c r="Z222" t="s">
        <v>447</v>
      </c>
      <c r="AA222" t="s">
        <v>447</v>
      </c>
    </row>
    <row r="223" spans="1:27" x14ac:dyDescent="0.35">
      <c r="A223" t="str">
        <f t="shared" si="7"/>
        <v>3208F2</v>
      </c>
      <c r="B223" t="str">
        <f t="shared" si="6"/>
        <v>3208</v>
      </c>
      <c r="C223" t="s">
        <v>448</v>
      </c>
      <c r="D223" t="s">
        <v>4</v>
      </c>
      <c r="E223" t="s">
        <v>77</v>
      </c>
      <c r="F223" t="s">
        <v>78</v>
      </c>
      <c r="G223" t="s">
        <v>104</v>
      </c>
      <c r="H223" t="s">
        <v>42</v>
      </c>
      <c r="I223" t="s">
        <v>67</v>
      </c>
      <c r="J223" t="s">
        <v>449</v>
      </c>
      <c r="M223" t="s">
        <v>106</v>
      </c>
      <c r="P223" t="s">
        <v>189</v>
      </c>
      <c r="Q223" t="s">
        <v>47</v>
      </c>
      <c r="R223" t="s">
        <v>48</v>
      </c>
      <c r="V223" t="s">
        <v>49</v>
      </c>
      <c r="X223" t="s">
        <v>49</v>
      </c>
      <c r="Y223" t="s">
        <v>74</v>
      </c>
      <c r="Z223" t="s">
        <v>439</v>
      </c>
      <c r="AA223" t="s">
        <v>439</v>
      </c>
    </row>
    <row r="224" spans="1:27" x14ac:dyDescent="0.35">
      <c r="A224" t="str">
        <f t="shared" si="7"/>
        <v>3208D4</v>
      </c>
      <c r="B224" t="str">
        <f t="shared" si="6"/>
        <v>3208</v>
      </c>
      <c r="C224" t="s">
        <v>450</v>
      </c>
      <c r="D224" t="s">
        <v>3</v>
      </c>
      <c r="E224" t="s">
        <v>52</v>
      </c>
      <c r="F224" t="s">
        <v>53</v>
      </c>
      <c r="G224" t="s">
        <v>104</v>
      </c>
      <c r="H224" t="s">
        <v>42</v>
      </c>
      <c r="I224" t="s">
        <v>43</v>
      </c>
      <c r="J224" t="s">
        <v>449</v>
      </c>
      <c r="K224" t="s">
        <v>56</v>
      </c>
      <c r="M224" t="s">
        <v>106</v>
      </c>
      <c r="P224" t="s">
        <v>58</v>
      </c>
      <c r="Q224" t="s">
        <v>47</v>
      </c>
      <c r="R224" t="s">
        <v>48</v>
      </c>
      <c r="V224" t="s">
        <v>49</v>
      </c>
      <c r="X224" t="s">
        <v>49</v>
      </c>
      <c r="Y224" t="s">
        <v>59</v>
      </c>
      <c r="Z224" t="s">
        <v>451</v>
      </c>
      <c r="AA224" t="s">
        <v>451</v>
      </c>
    </row>
    <row r="225" spans="1:27" x14ac:dyDescent="0.35">
      <c r="A225" t="str">
        <f t="shared" si="7"/>
        <v>3208D2</v>
      </c>
      <c r="B225" t="str">
        <f t="shared" si="6"/>
        <v>3208</v>
      </c>
      <c r="C225" t="s">
        <v>452</v>
      </c>
      <c r="D225" t="s">
        <v>2</v>
      </c>
      <c r="E225" t="s">
        <v>62</v>
      </c>
      <c r="F225" t="s">
        <v>63</v>
      </c>
      <c r="G225" t="s">
        <v>104</v>
      </c>
      <c r="H225" t="s">
        <v>42</v>
      </c>
      <c r="I225" t="s">
        <v>43</v>
      </c>
      <c r="J225" t="s">
        <v>449</v>
      </c>
      <c r="K225" t="s">
        <v>56</v>
      </c>
      <c r="M225" t="s">
        <v>106</v>
      </c>
      <c r="P225" t="s">
        <v>58</v>
      </c>
      <c r="Q225" t="s">
        <v>47</v>
      </c>
      <c r="R225" t="s">
        <v>48</v>
      </c>
      <c r="V225" t="s">
        <v>49</v>
      </c>
      <c r="X225" t="s">
        <v>49</v>
      </c>
      <c r="Y225" t="s">
        <v>59</v>
      </c>
      <c r="Z225" t="s">
        <v>451</v>
      </c>
      <c r="AA225" t="s">
        <v>451</v>
      </c>
    </row>
    <row r="226" spans="1:27" x14ac:dyDescent="0.35">
      <c r="A226" t="str">
        <f t="shared" si="7"/>
        <v>3208F3</v>
      </c>
      <c r="B226" t="str">
        <f t="shared" si="6"/>
        <v>3208</v>
      </c>
      <c r="C226" t="s">
        <v>453</v>
      </c>
      <c r="D226" t="s">
        <v>5</v>
      </c>
      <c r="E226" t="s">
        <v>40</v>
      </c>
      <c r="F226" t="s">
        <v>73</v>
      </c>
      <c r="G226" t="s">
        <v>104</v>
      </c>
      <c r="H226" t="s">
        <v>42</v>
      </c>
      <c r="I226" t="s">
        <v>67</v>
      </c>
      <c r="J226" t="s">
        <v>449</v>
      </c>
      <c r="M226" t="s">
        <v>106</v>
      </c>
      <c r="P226" t="s">
        <v>46</v>
      </c>
      <c r="Q226" t="s">
        <v>47</v>
      </c>
      <c r="R226" t="s">
        <v>48</v>
      </c>
      <c r="V226" t="s">
        <v>49</v>
      </c>
      <c r="X226" t="s">
        <v>49</v>
      </c>
      <c r="Y226" t="s">
        <v>74</v>
      </c>
      <c r="Z226" t="s">
        <v>454</v>
      </c>
      <c r="AA226" t="s">
        <v>454</v>
      </c>
    </row>
    <row r="227" spans="1:27" x14ac:dyDescent="0.35">
      <c r="A227" t="str">
        <f t="shared" si="7"/>
        <v>3208C2</v>
      </c>
      <c r="B227" t="str">
        <f t="shared" si="6"/>
        <v>3208</v>
      </c>
      <c r="C227" t="s">
        <v>455</v>
      </c>
      <c r="D227" t="s">
        <v>1</v>
      </c>
      <c r="E227" t="s">
        <v>65</v>
      </c>
      <c r="F227" t="s">
        <v>66</v>
      </c>
      <c r="G227" t="s">
        <v>104</v>
      </c>
      <c r="H227" t="s">
        <v>42</v>
      </c>
      <c r="I227" t="s">
        <v>67</v>
      </c>
      <c r="J227" t="s">
        <v>449</v>
      </c>
      <c r="M227" t="s">
        <v>106</v>
      </c>
      <c r="P227" t="s">
        <v>69</v>
      </c>
      <c r="Q227" t="s">
        <v>47</v>
      </c>
      <c r="R227" t="s">
        <v>48</v>
      </c>
      <c r="V227" t="s">
        <v>49</v>
      </c>
      <c r="X227" t="s">
        <v>49</v>
      </c>
      <c r="Y227" t="s">
        <v>70</v>
      </c>
      <c r="Z227" t="s">
        <v>456</v>
      </c>
      <c r="AA227" t="s">
        <v>456</v>
      </c>
    </row>
    <row r="228" spans="1:27" x14ac:dyDescent="0.35">
      <c r="A228" t="str">
        <f t="shared" si="7"/>
        <v>3208D7</v>
      </c>
      <c r="B228" t="str">
        <f t="shared" si="6"/>
        <v>3208</v>
      </c>
      <c r="C228" t="s">
        <v>457</v>
      </c>
      <c r="D228" t="s">
        <v>6</v>
      </c>
      <c r="E228" t="s">
        <v>94</v>
      </c>
      <c r="F228" t="s">
        <v>111</v>
      </c>
      <c r="G228" t="s">
        <v>104</v>
      </c>
      <c r="H228" t="s">
        <v>42</v>
      </c>
      <c r="I228" t="s">
        <v>43</v>
      </c>
      <c r="J228" t="s">
        <v>449</v>
      </c>
      <c r="M228" t="s">
        <v>106</v>
      </c>
      <c r="P228" t="s">
        <v>46</v>
      </c>
      <c r="Q228" t="s">
        <v>47</v>
      </c>
      <c r="R228" t="s">
        <v>48</v>
      </c>
      <c r="V228" t="s">
        <v>49</v>
      </c>
      <c r="X228" t="s">
        <v>49</v>
      </c>
      <c r="Y228" t="s">
        <v>59</v>
      </c>
      <c r="Z228" t="s">
        <v>447</v>
      </c>
      <c r="AA228" t="s">
        <v>447</v>
      </c>
    </row>
    <row r="229" spans="1:27" x14ac:dyDescent="0.35">
      <c r="A229" t="str">
        <f t="shared" si="7"/>
        <v>3207F2</v>
      </c>
      <c r="B229" t="str">
        <f t="shared" si="6"/>
        <v>3207</v>
      </c>
      <c r="C229" t="s">
        <v>458</v>
      </c>
      <c r="D229" t="s">
        <v>4</v>
      </c>
      <c r="E229" t="s">
        <v>77</v>
      </c>
      <c r="F229" t="s">
        <v>78</v>
      </c>
      <c r="G229" t="s">
        <v>104</v>
      </c>
      <c r="H229" t="s">
        <v>42</v>
      </c>
      <c r="I229" t="s">
        <v>67</v>
      </c>
      <c r="J229" t="s">
        <v>459</v>
      </c>
      <c r="M229" t="s">
        <v>106</v>
      </c>
      <c r="P229" t="s">
        <v>189</v>
      </c>
      <c r="Q229" t="s">
        <v>47</v>
      </c>
      <c r="R229" t="s">
        <v>48</v>
      </c>
      <c r="V229" t="s">
        <v>49</v>
      </c>
      <c r="X229" t="s">
        <v>49</v>
      </c>
      <c r="Y229" t="s">
        <v>74</v>
      </c>
      <c r="Z229" t="s">
        <v>454</v>
      </c>
      <c r="AA229" t="s">
        <v>454</v>
      </c>
    </row>
    <row r="230" spans="1:27" x14ac:dyDescent="0.35">
      <c r="A230" t="str">
        <f t="shared" si="7"/>
        <v>3207D4</v>
      </c>
      <c r="B230" t="str">
        <f t="shared" si="6"/>
        <v>3207</v>
      </c>
      <c r="C230" t="s">
        <v>460</v>
      </c>
      <c r="D230" t="s">
        <v>3</v>
      </c>
      <c r="E230" t="s">
        <v>52</v>
      </c>
      <c r="F230" t="s">
        <v>53</v>
      </c>
      <c r="G230" t="s">
        <v>104</v>
      </c>
      <c r="H230" t="s">
        <v>42</v>
      </c>
      <c r="I230" t="s">
        <v>43</v>
      </c>
      <c r="J230" t="s">
        <v>459</v>
      </c>
      <c r="K230" t="s">
        <v>56</v>
      </c>
      <c r="M230" t="s">
        <v>106</v>
      </c>
      <c r="P230" t="s">
        <v>58</v>
      </c>
      <c r="Q230" t="s">
        <v>47</v>
      </c>
      <c r="R230" t="s">
        <v>48</v>
      </c>
      <c r="V230" t="s">
        <v>49</v>
      </c>
      <c r="X230" t="s">
        <v>49</v>
      </c>
      <c r="Y230" t="s">
        <v>59</v>
      </c>
      <c r="Z230" t="s">
        <v>461</v>
      </c>
      <c r="AA230" t="s">
        <v>461</v>
      </c>
    </row>
    <row r="231" spans="1:27" x14ac:dyDescent="0.35">
      <c r="A231" t="str">
        <f t="shared" si="7"/>
        <v>3207D2</v>
      </c>
      <c r="B231" t="str">
        <f t="shared" si="6"/>
        <v>3207</v>
      </c>
      <c r="C231" t="s">
        <v>462</v>
      </c>
      <c r="D231" t="s">
        <v>2</v>
      </c>
      <c r="E231" t="s">
        <v>62</v>
      </c>
      <c r="F231" t="s">
        <v>63</v>
      </c>
      <c r="G231" t="s">
        <v>104</v>
      </c>
      <c r="H231" t="s">
        <v>42</v>
      </c>
      <c r="I231" t="s">
        <v>43</v>
      </c>
      <c r="J231" t="s">
        <v>459</v>
      </c>
      <c r="K231" t="s">
        <v>56</v>
      </c>
      <c r="M231" t="s">
        <v>106</v>
      </c>
      <c r="P231" t="s">
        <v>58</v>
      </c>
      <c r="Q231" t="s">
        <v>47</v>
      </c>
      <c r="R231" t="s">
        <v>48</v>
      </c>
      <c r="V231" t="s">
        <v>49</v>
      </c>
      <c r="X231" t="s">
        <v>49</v>
      </c>
      <c r="Y231" t="s">
        <v>59</v>
      </c>
      <c r="Z231" t="s">
        <v>461</v>
      </c>
      <c r="AA231" t="s">
        <v>461</v>
      </c>
    </row>
    <row r="232" spans="1:27" x14ac:dyDescent="0.35">
      <c r="A232" t="str">
        <f t="shared" si="7"/>
        <v>3207F3</v>
      </c>
      <c r="B232" t="str">
        <f t="shared" si="6"/>
        <v>3207</v>
      </c>
      <c r="C232" t="s">
        <v>463</v>
      </c>
      <c r="D232" t="s">
        <v>5</v>
      </c>
      <c r="E232" t="s">
        <v>40</v>
      </c>
      <c r="F232" t="s">
        <v>73</v>
      </c>
      <c r="G232" t="s">
        <v>104</v>
      </c>
      <c r="H232" t="s">
        <v>42</v>
      </c>
      <c r="I232" t="s">
        <v>67</v>
      </c>
      <c r="J232" t="s">
        <v>459</v>
      </c>
      <c r="M232" t="s">
        <v>106</v>
      </c>
      <c r="P232" t="s">
        <v>46</v>
      </c>
      <c r="Q232" t="s">
        <v>47</v>
      </c>
      <c r="R232" t="s">
        <v>48</v>
      </c>
      <c r="V232" t="s">
        <v>49</v>
      </c>
      <c r="X232" t="s">
        <v>49</v>
      </c>
      <c r="Y232" t="s">
        <v>74</v>
      </c>
      <c r="Z232" t="s">
        <v>454</v>
      </c>
      <c r="AA232" t="s">
        <v>454</v>
      </c>
    </row>
    <row r="233" spans="1:27" x14ac:dyDescent="0.35">
      <c r="A233" t="str">
        <f t="shared" si="7"/>
        <v>3207C2</v>
      </c>
      <c r="B233" t="str">
        <f t="shared" si="6"/>
        <v>3207</v>
      </c>
      <c r="C233" t="s">
        <v>464</v>
      </c>
      <c r="D233" t="s">
        <v>1</v>
      </c>
      <c r="E233" t="s">
        <v>65</v>
      </c>
      <c r="F233" t="s">
        <v>66</v>
      </c>
      <c r="G233" t="s">
        <v>104</v>
      </c>
      <c r="H233" t="s">
        <v>42</v>
      </c>
      <c r="I233" t="s">
        <v>67</v>
      </c>
      <c r="J233" t="s">
        <v>459</v>
      </c>
      <c r="M233" t="s">
        <v>106</v>
      </c>
      <c r="P233" t="s">
        <v>69</v>
      </c>
      <c r="Q233" t="s">
        <v>47</v>
      </c>
      <c r="R233" t="s">
        <v>48</v>
      </c>
      <c r="V233" t="s">
        <v>49</v>
      </c>
      <c r="X233" t="s">
        <v>49</v>
      </c>
      <c r="Y233" t="s">
        <v>70</v>
      </c>
      <c r="Z233" t="s">
        <v>465</v>
      </c>
      <c r="AA233" t="s">
        <v>466</v>
      </c>
    </row>
    <row r="234" spans="1:27" x14ac:dyDescent="0.35">
      <c r="A234" t="str">
        <f t="shared" si="7"/>
        <v>3207D7</v>
      </c>
      <c r="B234" t="str">
        <f t="shared" si="6"/>
        <v>3207</v>
      </c>
      <c r="C234" t="s">
        <v>467</v>
      </c>
      <c r="D234" t="s">
        <v>6</v>
      </c>
      <c r="E234" t="s">
        <v>94</v>
      </c>
      <c r="F234" t="s">
        <v>111</v>
      </c>
      <c r="G234" t="s">
        <v>104</v>
      </c>
      <c r="H234" t="s">
        <v>42</v>
      </c>
      <c r="I234" t="s">
        <v>43</v>
      </c>
      <c r="J234" t="s">
        <v>459</v>
      </c>
      <c r="M234" t="s">
        <v>106</v>
      </c>
      <c r="P234" t="s">
        <v>46</v>
      </c>
      <c r="Q234" t="s">
        <v>47</v>
      </c>
      <c r="R234" t="s">
        <v>48</v>
      </c>
      <c r="V234" t="s">
        <v>49</v>
      </c>
      <c r="X234" t="s">
        <v>49</v>
      </c>
      <c r="Y234" t="s">
        <v>59</v>
      </c>
      <c r="Z234" t="s">
        <v>468</v>
      </c>
      <c r="AA234" t="s">
        <v>469</v>
      </c>
    </row>
    <row r="235" spans="1:27" x14ac:dyDescent="0.35">
      <c r="A235" t="str">
        <f t="shared" si="7"/>
        <v>3206F2</v>
      </c>
      <c r="B235" t="str">
        <f t="shared" si="6"/>
        <v>3206</v>
      </c>
      <c r="C235" t="s">
        <v>470</v>
      </c>
      <c r="D235" t="s">
        <v>4</v>
      </c>
      <c r="E235" t="s">
        <v>77</v>
      </c>
      <c r="F235" t="s">
        <v>78</v>
      </c>
      <c r="G235" t="s">
        <v>104</v>
      </c>
      <c r="H235" t="s">
        <v>42</v>
      </c>
      <c r="I235" t="s">
        <v>67</v>
      </c>
      <c r="J235" t="s">
        <v>471</v>
      </c>
      <c r="M235" t="s">
        <v>106</v>
      </c>
      <c r="P235" t="s">
        <v>189</v>
      </c>
      <c r="Q235" t="s">
        <v>47</v>
      </c>
      <c r="R235" t="s">
        <v>48</v>
      </c>
      <c r="V235" t="s">
        <v>49</v>
      </c>
      <c r="X235" t="s">
        <v>49</v>
      </c>
      <c r="Y235" t="s">
        <v>74</v>
      </c>
      <c r="Z235" t="s">
        <v>472</v>
      </c>
      <c r="AA235" t="s">
        <v>472</v>
      </c>
    </row>
    <row r="236" spans="1:27" x14ac:dyDescent="0.35">
      <c r="A236" t="str">
        <f t="shared" si="7"/>
        <v>3206D4</v>
      </c>
      <c r="B236" t="str">
        <f t="shared" si="6"/>
        <v>3206</v>
      </c>
      <c r="C236" t="s">
        <v>473</v>
      </c>
      <c r="D236" t="s">
        <v>3</v>
      </c>
      <c r="E236" t="s">
        <v>52</v>
      </c>
      <c r="F236" t="s">
        <v>53</v>
      </c>
      <c r="G236" t="s">
        <v>104</v>
      </c>
      <c r="H236" t="s">
        <v>42</v>
      </c>
      <c r="I236" t="s">
        <v>43</v>
      </c>
      <c r="J236" t="s">
        <v>471</v>
      </c>
      <c r="K236" t="s">
        <v>56</v>
      </c>
      <c r="M236" t="s">
        <v>106</v>
      </c>
      <c r="P236" t="s">
        <v>58</v>
      </c>
      <c r="Q236" t="s">
        <v>47</v>
      </c>
      <c r="R236" t="s">
        <v>48</v>
      </c>
      <c r="V236" t="s">
        <v>49</v>
      </c>
      <c r="X236" t="s">
        <v>49</v>
      </c>
      <c r="Y236" t="s">
        <v>59</v>
      </c>
      <c r="Z236" t="s">
        <v>474</v>
      </c>
      <c r="AA236" t="s">
        <v>474</v>
      </c>
    </row>
    <row r="237" spans="1:27" x14ac:dyDescent="0.35">
      <c r="A237" t="str">
        <f t="shared" si="7"/>
        <v>3206D2</v>
      </c>
      <c r="B237" t="str">
        <f t="shared" si="6"/>
        <v>3206</v>
      </c>
      <c r="C237" t="s">
        <v>475</v>
      </c>
      <c r="D237" t="s">
        <v>2</v>
      </c>
      <c r="E237" t="s">
        <v>62</v>
      </c>
      <c r="F237" t="s">
        <v>63</v>
      </c>
      <c r="G237" t="s">
        <v>104</v>
      </c>
      <c r="H237" t="s">
        <v>42</v>
      </c>
      <c r="I237" t="s">
        <v>43</v>
      </c>
      <c r="J237" t="s">
        <v>471</v>
      </c>
      <c r="K237" t="s">
        <v>56</v>
      </c>
      <c r="M237" t="s">
        <v>106</v>
      </c>
      <c r="P237" t="s">
        <v>58</v>
      </c>
      <c r="Q237" t="s">
        <v>47</v>
      </c>
      <c r="R237" t="s">
        <v>48</v>
      </c>
      <c r="V237" t="s">
        <v>49</v>
      </c>
      <c r="X237" t="s">
        <v>49</v>
      </c>
      <c r="Y237" t="s">
        <v>59</v>
      </c>
      <c r="Z237" t="s">
        <v>474</v>
      </c>
      <c r="AA237" t="s">
        <v>474</v>
      </c>
    </row>
    <row r="238" spans="1:27" x14ac:dyDescent="0.35">
      <c r="A238" t="str">
        <f t="shared" si="7"/>
        <v>3206F3</v>
      </c>
      <c r="B238" t="str">
        <f t="shared" si="6"/>
        <v>3206</v>
      </c>
      <c r="C238" t="s">
        <v>476</v>
      </c>
      <c r="D238" t="s">
        <v>5</v>
      </c>
      <c r="E238" t="s">
        <v>40</v>
      </c>
      <c r="F238" t="s">
        <v>73</v>
      </c>
      <c r="G238" t="s">
        <v>104</v>
      </c>
      <c r="H238" t="s">
        <v>42</v>
      </c>
      <c r="I238" t="s">
        <v>67</v>
      </c>
      <c r="J238" t="s">
        <v>471</v>
      </c>
      <c r="M238" t="s">
        <v>106</v>
      </c>
      <c r="P238" t="s">
        <v>46</v>
      </c>
      <c r="Q238" t="s">
        <v>47</v>
      </c>
      <c r="R238" t="s">
        <v>48</v>
      </c>
      <c r="V238" t="s">
        <v>49</v>
      </c>
      <c r="X238" t="s">
        <v>49</v>
      </c>
      <c r="Y238" t="s">
        <v>74</v>
      </c>
      <c r="Z238" t="s">
        <v>477</v>
      </c>
      <c r="AA238" t="s">
        <v>477</v>
      </c>
    </row>
    <row r="239" spans="1:27" x14ac:dyDescent="0.35">
      <c r="A239" t="str">
        <f t="shared" si="7"/>
        <v>3206C2</v>
      </c>
      <c r="B239" t="str">
        <f t="shared" si="6"/>
        <v>3206</v>
      </c>
      <c r="C239" t="s">
        <v>478</v>
      </c>
      <c r="D239" t="s">
        <v>1</v>
      </c>
      <c r="E239" t="s">
        <v>65</v>
      </c>
      <c r="F239" t="s">
        <v>66</v>
      </c>
      <c r="G239" t="s">
        <v>104</v>
      </c>
      <c r="H239" t="s">
        <v>42</v>
      </c>
      <c r="I239" t="s">
        <v>67</v>
      </c>
      <c r="J239" t="s">
        <v>471</v>
      </c>
      <c r="M239" t="s">
        <v>106</v>
      </c>
      <c r="P239" t="s">
        <v>69</v>
      </c>
      <c r="Q239" t="s">
        <v>47</v>
      </c>
      <c r="R239" t="s">
        <v>48</v>
      </c>
      <c r="V239" t="s">
        <v>49</v>
      </c>
      <c r="X239" t="s">
        <v>49</v>
      </c>
      <c r="Y239" t="s">
        <v>70</v>
      </c>
      <c r="Z239" t="s">
        <v>479</v>
      </c>
      <c r="AA239" t="s">
        <v>480</v>
      </c>
    </row>
    <row r="240" spans="1:27" x14ac:dyDescent="0.35">
      <c r="A240" t="str">
        <f t="shared" si="7"/>
        <v>3206D7</v>
      </c>
      <c r="B240" t="str">
        <f t="shared" si="6"/>
        <v>3206</v>
      </c>
      <c r="C240" t="s">
        <v>481</v>
      </c>
      <c r="D240" t="s">
        <v>6</v>
      </c>
      <c r="E240" t="s">
        <v>94</v>
      </c>
      <c r="F240" t="s">
        <v>111</v>
      </c>
      <c r="G240" t="s">
        <v>104</v>
      </c>
      <c r="H240" t="s">
        <v>42</v>
      </c>
      <c r="I240" t="s">
        <v>43</v>
      </c>
      <c r="J240" t="s">
        <v>471</v>
      </c>
      <c r="M240" t="s">
        <v>106</v>
      </c>
      <c r="P240" t="s">
        <v>46</v>
      </c>
      <c r="Q240" t="s">
        <v>47</v>
      </c>
      <c r="R240" t="s">
        <v>48</v>
      </c>
      <c r="V240" t="s">
        <v>49</v>
      </c>
      <c r="X240" t="s">
        <v>49</v>
      </c>
      <c r="Y240" t="s">
        <v>59</v>
      </c>
      <c r="Z240" t="s">
        <v>469</v>
      </c>
      <c r="AA240" t="s">
        <v>469</v>
      </c>
    </row>
    <row r="241" spans="1:27" x14ac:dyDescent="0.35">
      <c r="A241" t="str">
        <f t="shared" si="7"/>
        <v>3205F2</v>
      </c>
      <c r="B241" t="str">
        <f t="shared" si="6"/>
        <v>3205</v>
      </c>
      <c r="C241" t="s">
        <v>482</v>
      </c>
      <c r="D241" t="s">
        <v>4</v>
      </c>
      <c r="E241" t="s">
        <v>77</v>
      </c>
      <c r="F241" t="s">
        <v>78</v>
      </c>
      <c r="G241" t="s">
        <v>104</v>
      </c>
      <c r="H241" t="s">
        <v>42</v>
      </c>
      <c r="I241" t="s">
        <v>67</v>
      </c>
      <c r="J241" t="s">
        <v>483</v>
      </c>
      <c r="M241" t="s">
        <v>106</v>
      </c>
      <c r="P241" t="s">
        <v>91</v>
      </c>
      <c r="Q241" t="s">
        <v>47</v>
      </c>
      <c r="R241" t="s">
        <v>48</v>
      </c>
      <c r="V241" t="s">
        <v>49</v>
      </c>
      <c r="X241" t="s">
        <v>49</v>
      </c>
      <c r="Y241" t="s">
        <v>74</v>
      </c>
      <c r="Z241" t="s">
        <v>477</v>
      </c>
      <c r="AA241" t="s">
        <v>477</v>
      </c>
    </row>
    <row r="242" spans="1:27" x14ac:dyDescent="0.35">
      <c r="A242" t="str">
        <f t="shared" si="7"/>
        <v>3205D4</v>
      </c>
      <c r="B242" t="str">
        <f t="shared" si="6"/>
        <v>3205</v>
      </c>
      <c r="C242" t="s">
        <v>484</v>
      </c>
      <c r="D242" t="s">
        <v>3</v>
      </c>
      <c r="E242" t="s">
        <v>52</v>
      </c>
      <c r="F242" t="s">
        <v>53</v>
      </c>
      <c r="G242" t="s">
        <v>104</v>
      </c>
      <c r="H242" t="s">
        <v>42</v>
      </c>
      <c r="I242" t="s">
        <v>43</v>
      </c>
      <c r="J242" t="s">
        <v>483</v>
      </c>
      <c r="K242" t="s">
        <v>56</v>
      </c>
      <c r="M242" t="s">
        <v>106</v>
      </c>
      <c r="P242" t="s">
        <v>58</v>
      </c>
      <c r="Q242" t="s">
        <v>47</v>
      </c>
      <c r="R242" t="s">
        <v>48</v>
      </c>
      <c r="V242" t="s">
        <v>49</v>
      </c>
      <c r="X242" t="s">
        <v>49</v>
      </c>
      <c r="Y242" t="s">
        <v>59</v>
      </c>
      <c r="Z242" t="s">
        <v>441</v>
      </c>
      <c r="AA242" t="s">
        <v>441</v>
      </c>
    </row>
    <row r="243" spans="1:27" x14ac:dyDescent="0.35">
      <c r="A243" t="str">
        <f t="shared" si="7"/>
        <v>3205D2</v>
      </c>
      <c r="B243" t="str">
        <f t="shared" si="6"/>
        <v>3205</v>
      </c>
      <c r="C243" t="s">
        <v>485</v>
      </c>
      <c r="D243" t="s">
        <v>2</v>
      </c>
      <c r="E243" t="s">
        <v>62</v>
      </c>
      <c r="F243" t="s">
        <v>63</v>
      </c>
      <c r="G243" t="s">
        <v>104</v>
      </c>
      <c r="H243" t="s">
        <v>42</v>
      </c>
      <c r="I243" t="s">
        <v>43</v>
      </c>
      <c r="J243" t="s">
        <v>483</v>
      </c>
      <c r="K243" t="s">
        <v>56</v>
      </c>
      <c r="M243" t="s">
        <v>106</v>
      </c>
      <c r="P243" t="s">
        <v>58</v>
      </c>
      <c r="Q243" t="s">
        <v>47</v>
      </c>
      <c r="R243" t="s">
        <v>48</v>
      </c>
      <c r="V243" t="s">
        <v>49</v>
      </c>
      <c r="X243" t="s">
        <v>49</v>
      </c>
      <c r="Y243" t="s">
        <v>59</v>
      </c>
      <c r="Z243" t="s">
        <v>486</v>
      </c>
      <c r="AA243" t="s">
        <v>486</v>
      </c>
    </row>
    <row r="244" spans="1:27" x14ac:dyDescent="0.35">
      <c r="A244" t="str">
        <f t="shared" si="7"/>
        <v>3205F3</v>
      </c>
      <c r="B244" t="str">
        <f t="shared" si="6"/>
        <v>3205</v>
      </c>
      <c r="C244" t="s">
        <v>487</v>
      </c>
      <c r="D244" t="s">
        <v>5</v>
      </c>
      <c r="E244" t="s">
        <v>40</v>
      </c>
      <c r="F244" t="s">
        <v>73</v>
      </c>
      <c r="G244" t="s">
        <v>104</v>
      </c>
      <c r="H244" t="s">
        <v>42</v>
      </c>
      <c r="I244" t="s">
        <v>67</v>
      </c>
      <c r="J244" t="s">
        <v>483</v>
      </c>
      <c r="M244" t="s">
        <v>106</v>
      </c>
      <c r="P244" t="s">
        <v>46</v>
      </c>
      <c r="Q244" t="s">
        <v>47</v>
      </c>
      <c r="R244" t="s">
        <v>48</v>
      </c>
      <c r="V244" t="s">
        <v>49</v>
      </c>
      <c r="X244" t="s">
        <v>49</v>
      </c>
      <c r="Y244" t="s">
        <v>74</v>
      </c>
      <c r="Z244" t="s">
        <v>477</v>
      </c>
      <c r="AA244" t="s">
        <v>477</v>
      </c>
    </row>
    <row r="245" spans="1:27" x14ac:dyDescent="0.35">
      <c r="A245" t="str">
        <f t="shared" si="7"/>
        <v>3205C2</v>
      </c>
      <c r="B245" t="str">
        <f t="shared" si="6"/>
        <v>3205</v>
      </c>
      <c r="C245" t="s">
        <v>488</v>
      </c>
      <c r="D245" t="s">
        <v>1</v>
      </c>
      <c r="E245" t="s">
        <v>65</v>
      </c>
      <c r="F245" t="s">
        <v>66</v>
      </c>
      <c r="G245" t="s">
        <v>104</v>
      </c>
      <c r="H245" t="s">
        <v>42</v>
      </c>
      <c r="I245" t="s">
        <v>67</v>
      </c>
      <c r="J245" t="s">
        <v>483</v>
      </c>
      <c r="M245" t="s">
        <v>106</v>
      </c>
      <c r="P245" t="s">
        <v>69</v>
      </c>
      <c r="Q245" t="s">
        <v>47</v>
      </c>
      <c r="R245" t="s">
        <v>48</v>
      </c>
      <c r="V245" t="s">
        <v>49</v>
      </c>
      <c r="X245" t="s">
        <v>49</v>
      </c>
      <c r="Y245" t="s">
        <v>70</v>
      </c>
      <c r="Z245" t="s">
        <v>489</v>
      </c>
      <c r="AA245" t="s">
        <v>489</v>
      </c>
    </row>
    <row r="246" spans="1:27" x14ac:dyDescent="0.35">
      <c r="A246" t="str">
        <f t="shared" si="7"/>
        <v>3205D7</v>
      </c>
      <c r="B246" t="str">
        <f t="shared" si="6"/>
        <v>3205</v>
      </c>
      <c r="C246" t="s">
        <v>490</v>
      </c>
      <c r="D246" t="s">
        <v>6</v>
      </c>
      <c r="E246" t="s">
        <v>94</v>
      </c>
      <c r="F246" t="s">
        <v>111</v>
      </c>
      <c r="G246" t="s">
        <v>104</v>
      </c>
      <c r="H246" t="s">
        <v>42</v>
      </c>
      <c r="I246" t="s">
        <v>43</v>
      </c>
      <c r="J246" t="s">
        <v>483</v>
      </c>
      <c r="M246" t="s">
        <v>106</v>
      </c>
      <c r="P246" t="s">
        <v>46</v>
      </c>
      <c r="Q246" t="s">
        <v>47</v>
      </c>
      <c r="R246" t="s">
        <v>48</v>
      </c>
      <c r="V246" t="s">
        <v>49</v>
      </c>
      <c r="X246" t="s">
        <v>49</v>
      </c>
      <c r="Y246" t="s">
        <v>59</v>
      </c>
      <c r="Z246" t="s">
        <v>491</v>
      </c>
      <c r="AA246" t="s">
        <v>469</v>
      </c>
    </row>
    <row r="247" spans="1:27" x14ac:dyDescent="0.35">
      <c r="A247" t="str">
        <f t="shared" si="7"/>
        <v>3204F2</v>
      </c>
      <c r="B247" t="str">
        <f t="shared" si="6"/>
        <v>3204</v>
      </c>
      <c r="C247" t="s">
        <v>492</v>
      </c>
      <c r="D247" t="s">
        <v>4</v>
      </c>
      <c r="E247" t="s">
        <v>77</v>
      </c>
      <c r="F247" t="s">
        <v>78</v>
      </c>
      <c r="G247" t="s">
        <v>104</v>
      </c>
      <c r="H247" t="s">
        <v>42</v>
      </c>
      <c r="I247" t="s">
        <v>67</v>
      </c>
      <c r="J247" t="s">
        <v>493</v>
      </c>
      <c r="M247" t="s">
        <v>106</v>
      </c>
      <c r="P247" t="s">
        <v>138</v>
      </c>
      <c r="Q247" t="s">
        <v>47</v>
      </c>
      <c r="R247" t="s">
        <v>48</v>
      </c>
      <c r="V247" t="s">
        <v>49</v>
      </c>
      <c r="X247" t="s">
        <v>49</v>
      </c>
      <c r="Y247" t="s">
        <v>74</v>
      </c>
      <c r="Z247" t="s">
        <v>477</v>
      </c>
      <c r="AA247" t="s">
        <v>477</v>
      </c>
    </row>
    <row r="248" spans="1:27" x14ac:dyDescent="0.35">
      <c r="A248" t="str">
        <f t="shared" si="7"/>
        <v>3204D4</v>
      </c>
      <c r="B248" t="str">
        <f t="shared" si="6"/>
        <v>3204</v>
      </c>
      <c r="C248" t="s">
        <v>494</v>
      </c>
      <c r="D248" t="s">
        <v>3</v>
      </c>
      <c r="E248" t="s">
        <v>52</v>
      </c>
      <c r="F248" t="s">
        <v>53</v>
      </c>
      <c r="G248" t="s">
        <v>104</v>
      </c>
      <c r="H248" t="s">
        <v>42</v>
      </c>
      <c r="I248" t="s">
        <v>43</v>
      </c>
      <c r="J248" t="s">
        <v>493</v>
      </c>
      <c r="K248" t="s">
        <v>56</v>
      </c>
      <c r="M248" t="s">
        <v>106</v>
      </c>
      <c r="P248" t="s">
        <v>58</v>
      </c>
      <c r="Q248" t="s">
        <v>47</v>
      </c>
      <c r="R248" t="s">
        <v>48</v>
      </c>
      <c r="V248" t="s">
        <v>49</v>
      </c>
      <c r="X248" t="s">
        <v>49</v>
      </c>
      <c r="Y248" t="s">
        <v>59</v>
      </c>
      <c r="Z248" t="s">
        <v>486</v>
      </c>
      <c r="AA248" t="s">
        <v>486</v>
      </c>
    </row>
    <row r="249" spans="1:27" x14ac:dyDescent="0.35">
      <c r="A249" t="str">
        <f t="shared" si="7"/>
        <v>3204D2</v>
      </c>
      <c r="B249" t="str">
        <f t="shared" si="6"/>
        <v>3204</v>
      </c>
      <c r="C249" t="s">
        <v>495</v>
      </c>
      <c r="D249" t="s">
        <v>2</v>
      </c>
      <c r="E249" t="s">
        <v>62</v>
      </c>
      <c r="F249" t="s">
        <v>63</v>
      </c>
      <c r="G249" t="s">
        <v>104</v>
      </c>
      <c r="H249" t="s">
        <v>42</v>
      </c>
      <c r="I249" t="s">
        <v>43</v>
      </c>
      <c r="J249" t="s">
        <v>493</v>
      </c>
      <c r="K249" t="s">
        <v>56</v>
      </c>
      <c r="M249" t="s">
        <v>106</v>
      </c>
      <c r="P249" t="s">
        <v>58</v>
      </c>
      <c r="Q249" t="s">
        <v>47</v>
      </c>
      <c r="R249" t="s">
        <v>48</v>
      </c>
      <c r="V249" t="s">
        <v>49</v>
      </c>
      <c r="X249" t="s">
        <v>49</v>
      </c>
      <c r="Y249" t="s">
        <v>59</v>
      </c>
      <c r="Z249" t="s">
        <v>486</v>
      </c>
      <c r="AA249" t="s">
        <v>486</v>
      </c>
    </row>
    <row r="250" spans="1:27" x14ac:dyDescent="0.35">
      <c r="A250" t="str">
        <f t="shared" si="7"/>
        <v>3204F3</v>
      </c>
      <c r="B250" t="str">
        <f t="shared" si="6"/>
        <v>3204</v>
      </c>
      <c r="C250" t="s">
        <v>496</v>
      </c>
      <c r="D250" t="s">
        <v>5</v>
      </c>
      <c r="E250" t="s">
        <v>40</v>
      </c>
      <c r="F250" t="s">
        <v>73</v>
      </c>
      <c r="G250" t="s">
        <v>104</v>
      </c>
      <c r="H250" t="s">
        <v>42</v>
      </c>
      <c r="I250" t="s">
        <v>67</v>
      </c>
      <c r="J250" t="s">
        <v>493</v>
      </c>
      <c r="M250" t="s">
        <v>106</v>
      </c>
      <c r="P250" t="s">
        <v>46</v>
      </c>
      <c r="Q250" t="s">
        <v>47</v>
      </c>
      <c r="R250" t="s">
        <v>48</v>
      </c>
      <c r="V250" t="s">
        <v>49</v>
      </c>
      <c r="X250" t="s">
        <v>49</v>
      </c>
      <c r="Y250" t="s">
        <v>74</v>
      </c>
      <c r="Z250" t="s">
        <v>497</v>
      </c>
      <c r="AA250" t="s">
        <v>497</v>
      </c>
    </row>
    <row r="251" spans="1:27" x14ac:dyDescent="0.35">
      <c r="A251" t="str">
        <f t="shared" si="7"/>
        <v>3204C2</v>
      </c>
      <c r="B251" t="str">
        <f t="shared" si="6"/>
        <v>3204</v>
      </c>
      <c r="C251" t="s">
        <v>498</v>
      </c>
      <c r="D251" t="s">
        <v>1</v>
      </c>
      <c r="E251" t="s">
        <v>65</v>
      </c>
      <c r="F251" t="s">
        <v>66</v>
      </c>
      <c r="G251" t="s">
        <v>104</v>
      </c>
      <c r="H251" t="s">
        <v>42</v>
      </c>
      <c r="I251" t="s">
        <v>67</v>
      </c>
      <c r="J251" t="s">
        <v>493</v>
      </c>
      <c r="M251" t="s">
        <v>106</v>
      </c>
      <c r="P251" t="s">
        <v>69</v>
      </c>
      <c r="Q251" t="s">
        <v>47</v>
      </c>
      <c r="R251" t="s">
        <v>48</v>
      </c>
      <c r="V251" t="s">
        <v>49</v>
      </c>
      <c r="X251" t="s">
        <v>49</v>
      </c>
      <c r="Y251" t="s">
        <v>70</v>
      </c>
      <c r="Z251" t="s">
        <v>486</v>
      </c>
      <c r="AA251" t="s">
        <v>486</v>
      </c>
    </row>
    <row r="252" spans="1:27" x14ac:dyDescent="0.35">
      <c r="A252" t="str">
        <f t="shared" si="7"/>
        <v>3204D7</v>
      </c>
      <c r="B252" t="str">
        <f t="shared" si="6"/>
        <v>3204</v>
      </c>
      <c r="C252" t="s">
        <v>499</v>
      </c>
      <c r="D252" t="s">
        <v>6</v>
      </c>
      <c r="E252" t="s">
        <v>94</v>
      </c>
      <c r="F252" t="s">
        <v>111</v>
      </c>
      <c r="G252" t="s">
        <v>104</v>
      </c>
      <c r="H252" t="s">
        <v>42</v>
      </c>
      <c r="I252" t="s">
        <v>43</v>
      </c>
      <c r="J252" t="s">
        <v>493</v>
      </c>
      <c r="M252" t="s">
        <v>106</v>
      </c>
      <c r="P252" t="s">
        <v>46</v>
      </c>
      <c r="Q252" t="s">
        <v>47</v>
      </c>
      <c r="R252" t="s">
        <v>48</v>
      </c>
      <c r="V252" t="s">
        <v>49</v>
      </c>
      <c r="X252" t="s">
        <v>49</v>
      </c>
      <c r="Y252" t="s">
        <v>59</v>
      </c>
      <c r="Z252" t="s">
        <v>500</v>
      </c>
      <c r="AA252" t="s">
        <v>501</v>
      </c>
    </row>
    <row r="253" spans="1:27" x14ac:dyDescent="0.35">
      <c r="A253" t="str">
        <f t="shared" si="7"/>
        <v>3203F2</v>
      </c>
      <c r="B253" t="str">
        <f t="shared" si="6"/>
        <v>3203</v>
      </c>
      <c r="C253" t="s">
        <v>502</v>
      </c>
      <c r="D253" t="s">
        <v>4</v>
      </c>
      <c r="E253" t="s">
        <v>77</v>
      </c>
      <c r="F253" t="s">
        <v>78</v>
      </c>
      <c r="G253" t="s">
        <v>104</v>
      </c>
      <c r="H253" t="s">
        <v>42</v>
      </c>
      <c r="I253" t="s">
        <v>67</v>
      </c>
      <c r="J253" t="s">
        <v>503</v>
      </c>
      <c r="M253" t="s">
        <v>106</v>
      </c>
      <c r="P253" t="s">
        <v>138</v>
      </c>
      <c r="Q253" t="s">
        <v>47</v>
      </c>
      <c r="R253" t="s">
        <v>48</v>
      </c>
      <c r="V253" t="s">
        <v>49</v>
      </c>
      <c r="X253" t="s">
        <v>49</v>
      </c>
      <c r="Y253" t="s">
        <v>74</v>
      </c>
      <c r="Z253" t="s">
        <v>497</v>
      </c>
      <c r="AA253" t="s">
        <v>497</v>
      </c>
    </row>
    <row r="254" spans="1:27" x14ac:dyDescent="0.35">
      <c r="A254" t="str">
        <f t="shared" si="7"/>
        <v>3203D4</v>
      </c>
      <c r="B254" t="str">
        <f t="shared" si="6"/>
        <v>3203</v>
      </c>
      <c r="C254" t="s">
        <v>504</v>
      </c>
      <c r="D254" t="s">
        <v>3</v>
      </c>
      <c r="E254" t="s">
        <v>52</v>
      </c>
      <c r="F254" t="s">
        <v>53</v>
      </c>
      <c r="G254" t="s">
        <v>104</v>
      </c>
      <c r="H254" t="s">
        <v>42</v>
      </c>
      <c r="I254" t="s">
        <v>43</v>
      </c>
      <c r="J254" t="s">
        <v>503</v>
      </c>
      <c r="K254" t="s">
        <v>56</v>
      </c>
      <c r="M254" t="s">
        <v>106</v>
      </c>
      <c r="P254" t="s">
        <v>58</v>
      </c>
      <c r="Q254" t="s">
        <v>47</v>
      </c>
      <c r="R254" t="s">
        <v>48</v>
      </c>
      <c r="V254" t="s">
        <v>49</v>
      </c>
      <c r="X254" t="s">
        <v>49</v>
      </c>
      <c r="Y254" t="s">
        <v>59</v>
      </c>
      <c r="Z254" t="s">
        <v>451</v>
      </c>
      <c r="AA254" t="s">
        <v>451</v>
      </c>
    </row>
    <row r="255" spans="1:27" x14ac:dyDescent="0.35">
      <c r="A255" t="str">
        <f t="shared" si="7"/>
        <v>3203D2</v>
      </c>
      <c r="B255" t="str">
        <f t="shared" si="6"/>
        <v>3203</v>
      </c>
      <c r="C255" t="s">
        <v>505</v>
      </c>
      <c r="D255" t="s">
        <v>2</v>
      </c>
      <c r="E255" t="s">
        <v>62</v>
      </c>
      <c r="F255" t="s">
        <v>63</v>
      </c>
      <c r="G255" t="s">
        <v>104</v>
      </c>
      <c r="H255" t="s">
        <v>42</v>
      </c>
      <c r="I255" t="s">
        <v>43</v>
      </c>
      <c r="J255" t="s">
        <v>503</v>
      </c>
      <c r="K255" t="s">
        <v>56</v>
      </c>
      <c r="M255" t="s">
        <v>106</v>
      </c>
      <c r="P255" t="s">
        <v>58</v>
      </c>
      <c r="Q255" t="s">
        <v>47</v>
      </c>
      <c r="R255" t="s">
        <v>48</v>
      </c>
      <c r="V255" t="s">
        <v>49</v>
      </c>
      <c r="X255" t="s">
        <v>49</v>
      </c>
      <c r="Y255" t="s">
        <v>59</v>
      </c>
      <c r="Z255" t="s">
        <v>506</v>
      </c>
      <c r="AA255" t="s">
        <v>506</v>
      </c>
    </row>
    <row r="256" spans="1:27" x14ac:dyDescent="0.35">
      <c r="A256" t="str">
        <f t="shared" si="7"/>
        <v>3203F3</v>
      </c>
      <c r="B256" t="str">
        <f t="shared" si="6"/>
        <v>3203</v>
      </c>
      <c r="C256" t="s">
        <v>507</v>
      </c>
      <c r="D256" t="s">
        <v>5</v>
      </c>
      <c r="E256" t="s">
        <v>40</v>
      </c>
      <c r="F256" t="s">
        <v>73</v>
      </c>
      <c r="G256" t="s">
        <v>104</v>
      </c>
      <c r="H256" t="s">
        <v>42</v>
      </c>
      <c r="I256" t="s">
        <v>67</v>
      </c>
      <c r="J256" t="s">
        <v>503</v>
      </c>
      <c r="M256" t="s">
        <v>106</v>
      </c>
      <c r="P256" t="s">
        <v>46</v>
      </c>
      <c r="Q256" t="s">
        <v>47</v>
      </c>
      <c r="R256" t="s">
        <v>48</v>
      </c>
      <c r="V256" t="s">
        <v>49</v>
      </c>
      <c r="X256" t="s">
        <v>49</v>
      </c>
      <c r="Y256" t="s">
        <v>74</v>
      </c>
      <c r="Z256" t="s">
        <v>497</v>
      </c>
      <c r="AA256" t="s">
        <v>497</v>
      </c>
    </row>
    <row r="257" spans="1:27" x14ac:dyDescent="0.35">
      <c r="A257" t="str">
        <f t="shared" si="7"/>
        <v>3203C2</v>
      </c>
      <c r="B257" t="str">
        <f t="shared" si="6"/>
        <v>3203</v>
      </c>
      <c r="C257" t="s">
        <v>508</v>
      </c>
      <c r="D257" t="s">
        <v>1</v>
      </c>
      <c r="E257" t="s">
        <v>65</v>
      </c>
      <c r="F257" t="s">
        <v>66</v>
      </c>
      <c r="G257" t="s">
        <v>104</v>
      </c>
      <c r="H257" t="s">
        <v>42</v>
      </c>
      <c r="I257" t="s">
        <v>67</v>
      </c>
      <c r="J257" t="s">
        <v>503</v>
      </c>
      <c r="M257" t="s">
        <v>106</v>
      </c>
      <c r="P257" t="s">
        <v>69</v>
      </c>
      <c r="Q257" t="s">
        <v>47</v>
      </c>
      <c r="R257" t="s">
        <v>48</v>
      </c>
      <c r="V257" t="s">
        <v>49</v>
      </c>
      <c r="X257" t="s">
        <v>49</v>
      </c>
      <c r="Y257" t="s">
        <v>70</v>
      </c>
      <c r="Z257" t="s">
        <v>506</v>
      </c>
      <c r="AA257" t="s">
        <v>506</v>
      </c>
    </row>
    <row r="258" spans="1:27" x14ac:dyDescent="0.35">
      <c r="A258" t="str">
        <f t="shared" si="7"/>
        <v>3203D7</v>
      </c>
      <c r="B258" t="str">
        <f t="shared" ref="B258:B321" si="8">LEFT($J:$J,4)</f>
        <v>3203</v>
      </c>
      <c r="C258" t="s">
        <v>509</v>
      </c>
      <c r="D258" t="s">
        <v>6</v>
      </c>
      <c r="E258" t="s">
        <v>94</v>
      </c>
      <c r="F258" t="s">
        <v>111</v>
      </c>
      <c r="G258" t="s">
        <v>104</v>
      </c>
      <c r="H258" t="s">
        <v>42</v>
      </c>
      <c r="I258" t="s">
        <v>43</v>
      </c>
      <c r="J258" t="s">
        <v>503</v>
      </c>
      <c r="M258" t="s">
        <v>106</v>
      </c>
      <c r="P258" t="s">
        <v>46</v>
      </c>
      <c r="Q258" t="s">
        <v>47</v>
      </c>
      <c r="R258" t="s">
        <v>48</v>
      </c>
      <c r="V258" t="s">
        <v>49</v>
      </c>
      <c r="X258" t="s">
        <v>49</v>
      </c>
      <c r="Y258" t="s">
        <v>59</v>
      </c>
      <c r="Z258" t="s">
        <v>510</v>
      </c>
      <c r="AA258" t="s">
        <v>511</v>
      </c>
    </row>
    <row r="259" spans="1:27" x14ac:dyDescent="0.35">
      <c r="A259" t="str">
        <f t="shared" ref="A259:A322" si="9">B259&amp;D259</f>
        <v>3202F2</v>
      </c>
      <c r="B259" t="str">
        <f t="shared" si="8"/>
        <v>3202</v>
      </c>
      <c r="C259" t="s">
        <v>512</v>
      </c>
      <c r="D259" t="s">
        <v>4</v>
      </c>
      <c r="E259" t="s">
        <v>77</v>
      </c>
      <c r="F259" t="s">
        <v>78</v>
      </c>
      <c r="G259" t="s">
        <v>104</v>
      </c>
      <c r="H259" t="s">
        <v>42</v>
      </c>
      <c r="I259" t="s">
        <v>67</v>
      </c>
      <c r="J259" t="s">
        <v>513</v>
      </c>
      <c r="M259" t="s">
        <v>106</v>
      </c>
      <c r="P259" t="s">
        <v>138</v>
      </c>
      <c r="Q259" t="s">
        <v>47</v>
      </c>
      <c r="R259" t="s">
        <v>48</v>
      </c>
      <c r="V259" t="s">
        <v>49</v>
      </c>
      <c r="X259" t="s">
        <v>49</v>
      </c>
      <c r="Y259" t="s">
        <v>74</v>
      </c>
      <c r="Z259" t="s">
        <v>497</v>
      </c>
      <c r="AA259" t="s">
        <v>497</v>
      </c>
    </row>
    <row r="260" spans="1:27" x14ac:dyDescent="0.35">
      <c r="A260" t="str">
        <f t="shared" si="9"/>
        <v>3202D4</v>
      </c>
      <c r="B260" t="str">
        <f t="shared" si="8"/>
        <v>3202</v>
      </c>
      <c r="C260" t="s">
        <v>514</v>
      </c>
      <c r="D260" t="s">
        <v>3</v>
      </c>
      <c r="E260" t="s">
        <v>52</v>
      </c>
      <c r="F260" t="s">
        <v>53</v>
      </c>
      <c r="G260" t="s">
        <v>104</v>
      </c>
      <c r="H260" t="s">
        <v>42</v>
      </c>
      <c r="I260" t="s">
        <v>43</v>
      </c>
      <c r="J260" t="s">
        <v>513</v>
      </c>
      <c r="K260" t="s">
        <v>56</v>
      </c>
      <c r="M260" t="s">
        <v>106</v>
      </c>
      <c r="P260" t="s">
        <v>58</v>
      </c>
      <c r="Q260" t="s">
        <v>47</v>
      </c>
      <c r="R260" t="s">
        <v>48</v>
      </c>
      <c r="V260" t="s">
        <v>49</v>
      </c>
      <c r="X260" t="s">
        <v>49</v>
      </c>
      <c r="Y260" t="s">
        <v>59</v>
      </c>
      <c r="Z260" t="s">
        <v>515</v>
      </c>
      <c r="AA260" t="s">
        <v>515</v>
      </c>
    </row>
    <row r="261" spans="1:27" x14ac:dyDescent="0.35">
      <c r="A261" t="str">
        <f t="shared" si="9"/>
        <v>3202D2</v>
      </c>
      <c r="B261" t="str">
        <f t="shared" si="8"/>
        <v>3202</v>
      </c>
      <c r="C261" t="s">
        <v>516</v>
      </c>
      <c r="D261" t="s">
        <v>2</v>
      </c>
      <c r="E261" t="s">
        <v>62</v>
      </c>
      <c r="F261" t="s">
        <v>63</v>
      </c>
      <c r="G261" t="s">
        <v>104</v>
      </c>
      <c r="H261" t="s">
        <v>42</v>
      </c>
      <c r="I261" t="s">
        <v>43</v>
      </c>
      <c r="J261" t="s">
        <v>513</v>
      </c>
      <c r="K261" t="s">
        <v>56</v>
      </c>
      <c r="M261" t="s">
        <v>106</v>
      </c>
      <c r="P261" t="s">
        <v>58</v>
      </c>
      <c r="Q261" t="s">
        <v>47</v>
      </c>
      <c r="R261" t="s">
        <v>48</v>
      </c>
      <c r="V261" t="s">
        <v>49</v>
      </c>
      <c r="X261" t="s">
        <v>49</v>
      </c>
      <c r="Y261" t="s">
        <v>59</v>
      </c>
      <c r="Z261" t="s">
        <v>515</v>
      </c>
      <c r="AA261" t="s">
        <v>515</v>
      </c>
    </row>
    <row r="262" spans="1:27" x14ac:dyDescent="0.35">
      <c r="A262" t="str">
        <f t="shared" si="9"/>
        <v>3202F3</v>
      </c>
      <c r="B262" t="str">
        <f t="shared" si="8"/>
        <v>3202</v>
      </c>
      <c r="C262" t="s">
        <v>517</v>
      </c>
      <c r="D262" t="s">
        <v>5</v>
      </c>
      <c r="E262" t="s">
        <v>40</v>
      </c>
      <c r="F262" t="s">
        <v>73</v>
      </c>
      <c r="G262" t="s">
        <v>104</v>
      </c>
      <c r="H262" t="s">
        <v>42</v>
      </c>
      <c r="I262" t="s">
        <v>67</v>
      </c>
      <c r="J262" t="s">
        <v>513</v>
      </c>
      <c r="M262" t="s">
        <v>106</v>
      </c>
      <c r="P262" t="s">
        <v>46</v>
      </c>
      <c r="Q262" t="s">
        <v>47</v>
      </c>
      <c r="R262" t="s">
        <v>48</v>
      </c>
      <c r="V262" t="s">
        <v>49</v>
      </c>
      <c r="X262" t="s">
        <v>49</v>
      </c>
      <c r="Y262" t="s">
        <v>74</v>
      </c>
      <c r="Z262" t="s">
        <v>518</v>
      </c>
      <c r="AA262" t="s">
        <v>518</v>
      </c>
    </row>
    <row r="263" spans="1:27" x14ac:dyDescent="0.35">
      <c r="A263" t="str">
        <f t="shared" si="9"/>
        <v>3202C2</v>
      </c>
      <c r="B263" t="str">
        <f t="shared" si="8"/>
        <v>3202</v>
      </c>
      <c r="C263" t="s">
        <v>519</v>
      </c>
      <c r="D263" t="s">
        <v>1</v>
      </c>
      <c r="E263" t="s">
        <v>65</v>
      </c>
      <c r="F263" t="s">
        <v>66</v>
      </c>
      <c r="G263" t="s">
        <v>104</v>
      </c>
      <c r="H263" t="s">
        <v>42</v>
      </c>
      <c r="I263" t="s">
        <v>67</v>
      </c>
      <c r="J263" t="s">
        <v>513</v>
      </c>
      <c r="M263" t="s">
        <v>106</v>
      </c>
      <c r="P263" t="s">
        <v>69</v>
      </c>
      <c r="Q263" t="s">
        <v>47</v>
      </c>
      <c r="R263" t="s">
        <v>48</v>
      </c>
      <c r="V263" t="s">
        <v>49</v>
      </c>
      <c r="X263" t="s">
        <v>49</v>
      </c>
      <c r="Y263" t="s">
        <v>70</v>
      </c>
      <c r="Z263" t="s">
        <v>520</v>
      </c>
      <c r="AA263" t="s">
        <v>520</v>
      </c>
    </row>
    <row r="264" spans="1:27" x14ac:dyDescent="0.35">
      <c r="A264" t="str">
        <f t="shared" si="9"/>
        <v>3202D7</v>
      </c>
      <c r="B264" t="str">
        <f t="shared" si="8"/>
        <v>3202</v>
      </c>
      <c r="C264" t="s">
        <v>521</v>
      </c>
      <c r="D264" t="s">
        <v>6</v>
      </c>
      <c r="E264" t="s">
        <v>94</v>
      </c>
      <c r="F264" t="s">
        <v>111</v>
      </c>
      <c r="G264" t="s">
        <v>104</v>
      </c>
      <c r="H264" t="s">
        <v>42</v>
      </c>
      <c r="I264" t="s">
        <v>43</v>
      </c>
      <c r="J264" t="s">
        <v>513</v>
      </c>
      <c r="M264" t="s">
        <v>106</v>
      </c>
      <c r="P264" t="s">
        <v>46</v>
      </c>
      <c r="Q264" t="s">
        <v>47</v>
      </c>
      <c r="R264" t="s">
        <v>48</v>
      </c>
      <c r="V264" t="s">
        <v>49</v>
      </c>
      <c r="X264" t="s">
        <v>49</v>
      </c>
      <c r="Y264" t="s">
        <v>59</v>
      </c>
      <c r="Z264" t="s">
        <v>522</v>
      </c>
      <c r="AA264" t="s">
        <v>523</v>
      </c>
    </row>
    <row r="265" spans="1:27" x14ac:dyDescent="0.35">
      <c r="A265" t="str">
        <f t="shared" si="9"/>
        <v>3201F2</v>
      </c>
      <c r="B265" t="str">
        <f t="shared" si="8"/>
        <v>3201</v>
      </c>
      <c r="C265" t="s">
        <v>524</v>
      </c>
      <c r="D265" t="s">
        <v>4</v>
      </c>
      <c r="E265" t="s">
        <v>77</v>
      </c>
      <c r="F265" t="s">
        <v>78</v>
      </c>
      <c r="G265" t="s">
        <v>104</v>
      </c>
      <c r="H265" t="s">
        <v>42</v>
      </c>
      <c r="I265" t="s">
        <v>67</v>
      </c>
      <c r="J265" t="s">
        <v>525</v>
      </c>
      <c r="M265" t="s">
        <v>106</v>
      </c>
      <c r="P265" t="s">
        <v>138</v>
      </c>
      <c r="Q265" t="s">
        <v>47</v>
      </c>
      <c r="R265" t="s">
        <v>48</v>
      </c>
      <c r="V265" t="s">
        <v>49</v>
      </c>
      <c r="X265" t="s">
        <v>49</v>
      </c>
      <c r="Y265" t="s">
        <v>74</v>
      </c>
      <c r="Z265" t="s">
        <v>518</v>
      </c>
      <c r="AA265" t="s">
        <v>518</v>
      </c>
    </row>
    <row r="266" spans="1:27" x14ac:dyDescent="0.35">
      <c r="A266" t="str">
        <f t="shared" si="9"/>
        <v>3201D4</v>
      </c>
      <c r="B266" t="str">
        <f t="shared" si="8"/>
        <v>3201</v>
      </c>
      <c r="C266" t="s">
        <v>526</v>
      </c>
      <c r="D266" t="s">
        <v>3</v>
      </c>
      <c r="E266" t="s">
        <v>52</v>
      </c>
      <c r="F266" t="s">
        <v>53</v>
      </c>
      <c r="G266" t="s">
        <v>104</v>
      </c>
      <c r="H266" t="s">
        <v>42</v>
      </c>
      <c r="I266" t="s">
        <v>43</v>
      </c>
      <c r="J266" t="s">
        <v>525</v>
      </c>
      <c r="K266" t="s">
        <v>56</v>
      </c>
      <c r="M266" t="s">
        <v>106</v>
      </c>
      <c r="P266" t="s">
        <v>58</v>
      </c>
      <c r="Q266" t="s">
        <v>47</v>
      </c>
      <c r="R266" t="s">
        <v>48</v>
      </c>
      <c r="V266" t="s">
        <v>49</v>
      </c>
      <c r="X266" t="s">
        <v>49</v>
      </c>
      <c r="Y266" t="s">
        <v>59</v>
      </c>
      <c r="Z266" t="s">
        <v>520</v>
      </c>
      <c r="AA266" t="s">
        <v>520</v>
      </c>
    </row>
    <row r="267" spans="1:27" x14ac:dyDescent="0.35">
      <c r="A267" t="str">
        <f t="shared" si="9"/>
        <v>3201D2</v>
      </c>
      <c r="B267" t="str">
        <f t="shared" si="8"/>
        <v>3201</v>
      </c>
      <c r="C267" t="s">
        <v>527</v>
      </c>
      <c r="D267" t="s">
        <v>2</v>
      </c>
      <c r="E267" t="s">
        <v>62</v>
      </c>
      <c r="F267" t="s">
        <v>63</v>
      </c>
      <c r="G267" t="s">
        <v>104</v>
      </c>
      <c r="H267" t="s">
        <v>42</v>
      </c>
      <c r="I267" t="s">
        <v>43</v>
      </c>
      <c r="J267" t="s">
        <v>525</v>
      </c>
      <c r="K267" t="s">
        <v>56</v>
      </c>
      <c r="M267" t="s">
        <v>106</v>
      </c>
      <c r="P267" t="s">
        <v>58</v>
      </c>
      <c r="Q267" t="s">
        <v>47</v>
      </c>
      <c r="R267" t="s">
        <v>48</v>
      </c>
      <c r="V267" t="s">
        <v>49</v>
      </c>
      <c r="X267" t="s">
        <v>49</v>
      </c>
      <c r="Y267" t="s">
        <v>59</v>
      </c>
      <c r="Z267" t="s">
        <v>520</v>
      </c>
      <c r="AA267" t="s">
        <v>520</v>
      </c>
    </row>
    <row r="268" spans="1:27" x14ac:dyDescent="0.35">
      <c r="A268" t="str">
        <f t="shared" si="9"/>
        <v>3201F3</v>
      </c>
      <c r="B268" t="str">
        <f t="shared" si="8"/>
        <v>3201</v>
      </c>
      <c r="C268" t="s">
        <v>528</v>
      </c>
      <c r="D268" t="s">
        <v>5</v>
      </c>
      <c r="E268" t="s">
        <v>40</v>
      </c>
      <c r="F268" t="s">
        <v>73</v>
      </c>
      <c r="G268" t="s">
        <v>104</v>
      </c>
      <c r="H268" t="s">
        <v>42</v>
      </c>
      <c r="I268" t="s">
        <v>67</v>
      </c>
      <c r="J268" t="s">
        <v>525</v>
      </c>
      <c r="M268" t="s">
        <v>106</v>
      </c>
      <c r="P268" t="s">
        <v>46</v>
      </c>
      <c r="Q268" t="s">
        <v>47</v>
      </c>
      <c r="R268" t="s">
        <v>48</v>
      </c>
      <c r="V268" t="s">
        <v>49</v>
      </c>
      <c r="X268" t="s">
        <v>49</v>
      </c>
      <c r="Y268" t="s">
        <v>74</v>
      </c>
      <c r="Z268" t="s">
        <v>518</v>
      </c>
      <c r="AA268" t="s">
        <v>518</v>
      </c>
    </row>
    <row r="269" spans="1:27" x14ac:dyDescent="0.35">
      <c r="A269" t="str">
        <f t="shared" si="9"/>
        <v>3201C2</v>
      </c>
      <c r="B269" t="str">
        <f t="shared" si="8"/>
        <v>3201</v>
      </c>
      <c r="C269" t="s">
        <v>529</v>
      </c>
      <c r="D269" t="s">
        <v>1</v>
      </c>
      <c r="E269" t="s">
        <v>65</v>
      </c>
      <c r="F269" t="s">
        <v>66</v>
      </c>
      <c r="G269" t="s">
        <v>104</v>
      </c>
      <c r="H269" t="s">
        <v>42</v>
      </c>
      <c r="I269" t="s">
        <v>67</v>
      </c>
      <c r="J269" t="s">
        <v>525</v>
      </c>
      <c r="M269" t="s">
        <v>106</v>
      </c>
      <c r="P269" t="s">
        <v>69</v>
      </c>
      <c r="Q269" t="s">
        <v>47</v>
      </c>
      <c r="R269" t="s">
        <v>48</v>
      </c>
      <c r="V269" t="s">
        <v>49</v>
      </c>
      <c r="X269" t="s">
        <v>49</v>
      </c>
      <c r="Y269" t="s">
        <v>70</v>
      </c>
      <c r="Z269" t="s">
        <v>520</v>
      </c>
      <c r="AA269" t="s">
        <v>520</v>
      </c>
    </row>
    <row r="270" spans="1:27" x14ac:dyDescent="0.35">
      <c r="A270" t="str">
        <f t="shared" si="9"/>
        <v>3201D7</v>
      </c>
      <c r="B270" t="str">
        <f t="shared" si="8"/>
        <v>3201</v>
      </c>
      <c r="C270" t="s">
        <v>530</v>
      </c>
      <c r="D270" t="s">
        <v>6</v>
      </c>
      <c r="E270" t="s">
        <v>94</v>
      </c>
      <c r="F270" t="s">
        <v>111</v>
      </c>
      <c r="G270" t="s">
        <v>104</v>
      </c>
      <c r="H270" t="s">
        <v>42</v>
      </c>
      <c r="I270" t="s">
        <v>43</v>
      </c>
      <c r="J270" t="s">
        <v>525</v>
      </c>
      <c r="M270" t="s">
        <v>106</v>
      </c>
      <c r="P270" t="s">
        <v>46</v>
      </c>
      <c r="Q270" t="s">
        <v>47</v>
      </c>
      <c r="R270" t="s">
        <v>48</v>
      </c>
      <c r="V270" t="s">
        <v>49</v>
      </c>
      <c r="X270" t="s">
        <v>49</v>
      </c>
      <c r="Y270" t="s">
        <v>59</v>
      </c>
      <c r="Z270" t="s">
        <v>531</v>
      </c>
      <c r="AA270" t="s">
        <v>523</v>
      </c>
    </row>
    <row r="271" spans="1:27" x14ac:dyDescent="0.35">
      <c r="A271" t="str">
        <f t="shared" si="9"/>
        <v>3109D4</v>
      </c>
      <c r="B271" t="str">
        <f t="shared" si="8"/>
        <v>3109</v>
      </c>
      <c r="C271" t="s">
        <v>532</v>
      </c>
      <c r="D271" t="s">
        <v>3</v>
      </c>
      <c r="E271" t="s">
        <v>52</v>
      </c>
      <c r="F271" t="s">
        <v>53</v>
      </c>
      <c r="G271" t="s">
        <v>104</v>
      </c>
      <c r="H271" t="s">
        <v>42</v>
      </c>
      <c r="I271" t="s">
        <v>43</v>
      </c>
      <c r="J271" t="s">
        <v>68</v>
      </c>
      <c r="K271" t="s">
        <v>56</v>
      </c>
      <c r="M271" t="s">
        <v>106</v>
      </c>
      <c r="P271" t="s">
        <v>58</v>
      </c>
      <c r="Q271" t="s">
        <v>47</v>
      </c>
      <c r="R271" t="s">
        <v>48</v>
      </c>
      <c r="V271" t="s">
        <v>49</v>
      </c>
      <c r="X271" t="s">
        <v>49</v>
      </c>
      <c r="Y271" t="s">
        <v>59</v>
      </c>
      <c r="Z271" t="s">
        <v>506</v>
      </c>
      <c r="AA271" t="s">
        <v>506</v>
      </c>
    </row>
    <row r="272" spans="1:27" x14ac:dyDescent="0.35">
      <c r="A272" t="str">
        <f t="shared" si="9"/>
        <v>3109D2</v>
      </c>
      <c r="B272" t="str">
        <f t="shared" si="8"/>
        <v>3109</v>
      </c>
      <c r="C272" t="s">
        <v>533</v>
      </c>
      <c r="D272" t="s">
        <v>2</v>
      </c>
      <c r="E272" t="s">
        <v>62</v>
      </c>
      <c r="F272" t="s">
        <v>63</v>
      </c>
      <c r="G272" t="s">
        <v>104</v>
      </c>
      <c r="H272" t="s">
        <v>42</v>
      </c>
      <c r="I272" t="s">
        <v>43</v>
      </c>
      <c r="J272" t="s">
        <v>68</v>
      </c>
      <c r="K272" t="s">
        <v>56</v>
      </c>
      <c r="M272" t="s">
        <v>106</v>
      </c>
      <c r="P272" t="s">
        <v>58</v>
      </c>
      <c r="Q272" t="s">
        <v>47</v>
      </c>
      <c r="R272" t="s">
        <v>48</v>
      </c>
      <c r="V272" t="s">
        <v>49</v>
      </c>
      <c r="X272" t="s">
        <v>49</v>
      </c>
      <c r="Y272" t="s">
        <v>59</v>
      </c>
      <c r="Z272" t="s">
        <v>534</v>
      </c>
      <c r="AA272" t="s">
        <v>534</v>
      </c>
    </row>
    <row r="273" spans="1:27" x14ac:dyDescent="0.35">
      <c r="A273" t="str">
        <f t="shared" si="9"/>
        <v>3109D7</v>
      </c>
      <c r="B273" t="str">
        <f t="shared" si="8"/>
        <v>3109</v>
      </c>
      <c r="C273" t="s">
        <v>535</v>
      </c>
      <c r="D273" t="s">
        <v>6</v>
      </c>
      <c r="E273" t="s">
        <v>94</v>
      </c>
      <c r="F273" t="s">
        <v>111</v>
      </c>
      <c r="G273" t="s">
        <v>104</v>
      </c>
      <c r="H273" t="s">
        <v>42</v>
      </c>
      <c r="I273" t="s">
        <v>43</v>
      </c>
      <c r="J273" t="s">
        <v>68</v>
      </c>
      <c r="M273" t="s">
        <v>106</v>
      </c>
      <c r="P273" t="s">
        <v>46</v>
      </c>
      <c r="Q273" t="s">
        <v>47</v>
      </c>
      <c r="R273" t="s">
        <v>48</v>
      </c>
      <c r="V273" t="s">
        <v>49</v>
      </c>
      <c r="X273" t="s">
        <v>49</v>
      </c>
      <c r="Y273" t="s">
        <v>59</v>
      </c>
      <c r="Z273" t="s">
        <v>536</v>
      </c>
      <c r="AA273" t="s">
        <v>537</v>
      </c>
    </row>
    <row r="274" spans="1:27" x14ac:dyDescent="0.35">
      <c r="A274" t="str">
        <f t="shared" si="9"/>
        <v>3108F2</v>
      </c>
      <c r="B274" t="str">
        <f t="shared" si="8"/>
        <v>3108</v>
      </c>
      <c r="C274" t="s">
        <v>538</v>
      </c>
      <c r="D274" t="s">
        <v>4</v>
      </c>
      <c r="E274" t="s">
        <v>77</v>
      </c>
      <c r="F274" t="s">
        <v>78</v>
      </c>
      <c r="G274" t="s">
        <v>104</v>
      </c>
      <c r="H274" t="s">
        <v>42</v>
      </c>
      <c r="I274" t="s">
        <v>67</v>
      </c>
      <c r="J274" t="s">
        <v>539</v>
      </c>
      <c r="M274" t="s">
        <v>106</v>
      </c>
      <c r="P274" t="s">
        <v>189</v>
      </c>
      <c r="Q274" t="s">
        <v>47</v>
      </c>
      <c r="R274" t="s">
        <v>48</v>
      </c>
      <c r="V274" t="s">
        <v>49</v>
      </c>
      <c r="X274" t="s">
        <v>49</v>
      </c>
      <c r="Y274" t="s">
        <v>74</v>
      </c>
      <c r="Z274" t="s">
        <v>540</v>
      </c>
      <c r="AA274" t="s">
        <v>541</v>
      </c>
    </row>
    <row r="275" spans="1:27" x14ac:dyDescent="0.35">
      <c r="A275" t="str">
        <f t="shared" si="9"/>
        <v>3108D4</v>
      </c>
      <c r="B275" t="str">
        <f t="shared" si="8"/>
        <v>3108</v>
      </c>
      <c r="C275" t="s">
        <v>542</v>
      </c>
      <c r="D275" t="s">
        <v>3</v>
      </c>
      <c r="E275" t="s">
        <v>52</v>
      </c>
      <c r="F275" t="s">
        <v>53</v>
      </c>
      <c r="G275" t="s">
        <v>104</v>
      </c>
      <c r="H275" t="s">
        <v>42</v>
      </c>
      <c r="I275" t="s">
        <v>43</v>
      </c>
      <c r="J275" t="s">
        <v>539</v>
      </c>
      <c r="K275" t="s">
        <v>56</v>
      </c>
      <c r="M275" t="s">
        <v>106</v>
      </c>
      <c r="P275" t="s">
        <v>58</v>
      </c>
      <c r="Q275" t="s">
        <v>47</v>
      </c>
      <c r="R275" t="s">
        <v>48</v>
      </c>
      <c r="V275" t="s">
        <v>49</v>
      </c>
      <c r="X275" t="s">
        <v>49</v>
      </c>
      <c r="Y275" t="s">
        <v>59</v>
      </c>
      <c r="Z275" t="s">
        <v>534</v>
      </c>
      <c r="AA275" t="s">
        <v>534</v>
      </c>
    </row>
    <row r="276" spans="1:27" x14ac:dyDescent="0.35">
      <c r="A276" t="str">
        <f t="shared" si="9"/>
        <v>3108D2</v>
      </c>
      <c r="B276" t="str">
        <f t="shared" si="8"/>
        <v>3108</v>
      </c>
      <c r="C276" t="s">
        <v>543</v>
      </c>
      <c r="D276" t="s">
        <v>2</v>
      </c>
      <c r="E276" t="s">
        <v>62</v>
      </c>
      <c r="F276" t="s">
        <v>63</v>
      </c>
      <c r="G276" t="s">
        <v>104</v>
      </c>
      <c r="H276" t="s">
        <v>42</v>
      </c>
      <c r="I276" t="s">
        <v>43</v>
      </c>
      <c r="J276" t="s">
        <v>539</v>
      </c>
      <c r="K276" t="s">
        <v>56</v>
      </c>
      <c r="M276" t="s">
        <v>106</v>
      </c>
      <c r="P276" t="s">
        <v>58</v>
      </c>
      <c r="Q276" t="s">
        <v>47</v>
      </c>
      <c r="R276" t="s">
        <v>48</v>
      </c>
      <c r="V276" t="s">
        <v>49</v>
      </c>
      <c r="X276" t="s">
        <v>49</v>
      </c>
      <c r="Y276" t="s">
        <v>59</v>
      </c>
      <c r="Z276" t="s">
        <v>534</v>
      </c>
      <c r="AA276" t="s">
        <v>534</v>
      </c>
    </row>
    <row r="277" spans="1:27" x14ac:dyDescent="0.35">
      <c r="A277" t="str">
        <f t="shared" si="9"/>
        <v>3108F3</v>
      </c>
      <c r="B277" t="str">
        <f t="shared" si="8"/>
        <v>3108</v>
      </c>
      <c r="C277" t="s">
        <v>544</v>
      </c>
      <c r="D277" t="s">
        <v>5</v>
      </c>
      <c r="E277" t="s">
        <v>40</v>
      </c>
      <c r="F277" t="s">
        <v>73</v>
      </c>
      <c r="G277" t="s">
        <v>104</v>
      </c>
      <c r="H277" t="s">
        <v>42</v>
      </c>
      <c r="I277" t="s">
        <v>67</v>
      </c>
      <c r="J277" t="s">
        <v>539</v>
      </c>
      <c r="M277" t="s">
        <v>106</v>
      </c>
      <c r="P277" t="s">
        <v>46</v>
      </c>
      <c r="Q277" t="s">
        <v>47</v>
      </c>
      <c r="R277" t="s">
        <v>48</v>
      </c>
      <c r="V277" t="s">
        <v>49</v>
      </c>
      <c r="X277" t="s">
        <v>49</v>
      </c>
      <c r="Y277" t="s">
        <v>74</v>
      </c>
      <c r="Z277" t="s">
        <v>540</v>
      </c>
      <c r="AA277" t="s">
        <v>540</v>
      </c>
    </row>
    <row r="278" spans="1:27" x14ac:dyDescent="0.35">
      <c r="A278" t="str">
        <f t="shared" si="9"/>
        <v>3108C2</v>
      </c>
      <c r="B278" t="str">
        <f t="shared" si="8"/>
        <v>3108</v>
      </c>
      <c r="C278" t="s">
        <v>545</v>
      </c>
      <c r="D278" t="s">
        <v>1</v>
      </c>
      <c r="E278" t="s">
        <v>65</v>
      </c>
      <c r="F278" t="s">
        <v>66</v>
      </c>
      <c r="G278" t="s">
        <v>104</v>
      </c>
      <c r="H278" t="s">
        <v>42</v>
      </c>
      <c r="I278" t="s">
        <v>67</v>
      </c>
      <c r="J278" t="s">
        <v>539</v>
      </c>
      <c r="M278" t="s">
        <v>106</v>
      </c>
      <c r="P278" t="s">
        <v>69</v>
      </c>
      <c r="Q278" t="s">
        <v>47</v>
      </c>
      <c r="R278" t="s">
        <v>48</v>
      </c>
      <c r="V278" t="s">
        <v>49</v>
      </c>
      <c r="X278" t="s">
        <v>49</v>
      </c>
      <c r="Y278" t="s">
        <v>70</v>
      </c>
      <c r="Z278" t="s">
        <v>534</v>
      </c>
      <c r="AA278" t="s">
        <v>534</v>
      </c>
    </row>
    <row r="279" spans="1:27" x14ac:dyDescent="0.35">
      <c r="A279" t="str">
        <f t="shared" si="9"/>
        <v>3108D7</v>
      </c>
      <c r="B279" t="str">
        <f t="shared" si="8"/>
        <v>3108</v>
      </c>
      <c r="C279" t="s">
        <v>546</v>
      </c>
      <c r="D279" t="s">
        <v>6</v>
      </c>
      <c r="E279" t="s">
        <v>94</v>
      </c>
      <c r="F279" t="s">
        <v>111</v>
      </c>
      <c r="G279" t="s">
        <v>104</v>
      </c>
      <c r="H279" t="s">
        <v>42</v>
      </c>
      <c r="I279" t="s">
        <v>43</v>
      </c>
      <c r="J279" t="s">
        <v>539</v>
      </c>
      <c r="M279" t="s">
        <v>106</v>
      </c>
      <c r="P279" t="s">
        <v>46</v>
      </c>
      <c r="Q279" t="s">
        <v>47</v>
      </c>
      <c r="R279" t="s">
        <v>48</v>
      </c>
      <c r="V279" t="s">
        <v>49</v>
      </c>
      <c r="X279" t="s">
        <v>49</v>
      </c>
      <c r="Y279" t="s">
        <v>59</v>
      </c>
      <c r="Z279" t="s">
        <v>537</v>
      </c>
      <c r="AA279" t="s">
        <v>537</v>
      </c>
    </row>
    <row r="280" spans="1:27" x14ac:dyDescent="0.35">
      <c r="A280" t="str">
        <f t="shared" si="9"/>
        <v>3107F2</v>
      </c>
      <c r="B280" t="str">
        <f t="shared" si="8"/>
        <v>3107</v>
      </c>
      <c r="C280" t="s">
        <v>547</v>
      </c>
      <c r="D280" t="s">
        <v>4</v>
      </c>
      <c r="E280" t="s">
        <v>77</v>
      </c>
      <c r="F280" t="s">
        <v>78</v>
      </c>
      <c r="G280" t="s">
        <v>104</v>
      </c>
      <c r="H280" t="s">
        <v>42</v>
      </c>
      <c r="I280" t="s">
        <v>67</v>
      </c>
      <c r="J280" t="s">
        <v>548</v>
      </c>
      <c r="M280" t="s">
        <v>106</v>
      </c>
      <c r="P280" t="s">
        <v>79</v>
      </c>
      <c r="Q280" t="s">
        <v>47</v>
      </c>
      <c r="R280" t="s">
        <v>48</v>
      </c>
      <c r="V280" t="s">
        <v>49</v>
      </c>
      <c r="X280" t="s">
        <v>49</v>
      </c>
      <c r="Y280" t="s">
        <v>74</v>
      </c>
      <c r="Z280" t="s">
        <v>549</v>
      </c>
      <c r="AA280" t="s">
        <v>549</v>
      </c>
    </row>
    <row r="281" spans="1:27" x14ac:dyDescent="0.35">
      <c r="A281" t="str">
        <f t="shared" si="9"/>
        <v>3107D4</v>
      </c>
      <c r="B281" t="str">
        <f t="shared" si="8"/>
        <v>3107</v>
      </c>
      <c r="C281" t="s">
        <v>550</v>
      </c>
      <c r="D281" t="s">
        <v>3</v>
      </c>
      <c r="E281" t="s">
        <v>52</v>
      </c>
      <c r="F281" t="s">
        <v>53</v>
      </c>
      <c r="G281" t="s">
        <v>104</v>
      </c>
      <c r="H281" t="s">
        <v>42</v>
      </c>
      <c r="I281" t="s">
        <v>43</v>
      </c>
      <c r="J281" t="s">
        <v>548</v>
      </c>
      <c r="K281" t="s">
        <v>56</v>
      </c>
      <c r="M281" t="s">
        <v>106</v>
      </c>
      <c r="P281" t="s">
        <v>58</v>
      </c>
      <c r="Q281" t="s">
        <v>47</v>
      </c>
      <c r="R281" t="s">
        <v>48</v>
      </c>
      <c r="V281" t="s">
        <v>49</v>
      </c>
      <c r="X281" t="s">
        <v>49</v>
      </c>
      <c r="Y281" t="s">
        <v>59</v>
      </c>
      <c r="Z281" t="s">
        <v>551</v>
      </c>
      <c r="AA281" t="s">
        <v>551</v>
      </c>
    </row>
    <row r="282" spans="1:27" x14ac:dyDescent="0.35">
      <c r="A282" t="str">
        <f t="shared" si="9"/>
        <v>3107D2</v>
      </c>
      <c r="B282" t="str">
        <f t="shared" si="8"/>
        <v>3107</v>
      </c>
      <c r="C282" t="s">
        <v>552</v>
      </c>
      <c r="D282" t="s">
        <v>2</v>
      </c>
      <c r="E282" t="s">
        <v>62</v>
      </c>
      <c r="F282" t="s">
        <v>63</v>
      </c>
      <c r="G282" t="s">
        <v>104</v>
      </c>
      <c r="H282" t="s">
        <v>42</v>
      </c>
      <c r="I282" t="s">
        <v>43</v>
      </c>
      <c r="J282" t="s">
        <v>548</v>
      </c>
      <c r="K282" t="s">
        <v>56</v>
      </c>
      <c r="M282" t="s">
        <v>106</v>
      </c>
      <c r="P282" t="s">
        <v>58</v>
      </c>
      <c r="Q282" t="s">
        <v>47</v>
      </c>
      <c r="R282" t="s">
        <v>48</v>
      </c>
      <c r="V282" t="s">
        <v>49</v>
      </c>
      <c r="X282" t="s">
        <v>49</v>
      </c>
      <c r="Y282" t="s">
        <v>59</v>
      </c>
      <c r="Z282" t="s">
        <v>551</v>
      </c>
      <c r="AA282" t="s">
        <v>551</v>
      </c>
    </row>
    <row r="283" spans="1:27" x14ac:dyDescent="0.35">
      <c r="A283" t="str">
        <f t="shared" si="9"/>
        <v>3107F3</v>
      </c>
      <c r="B283" t="str">
        <f t="shared" si="8"/>
        <v>3107</v>
      </c>
      <c r="C283" t="s">
        <v>553</v>
      </c>
      <c r="D283" t="s">
        <v>5</v>
      </c>
      <c r="E283" t="s">
        <v>40</v>
      </c>
      <c r="F283" t="s">
        <v>73</v>
      </c>
      <c r="G283" t="s">
        <v>104</v>
      </c>
      <c r="H283" t="s">
        <v>42</v>
      </c>
      <c r="I283" t="s">
        <v>67</v>
      </c>
      <c r="J283" t="s">
        <v>548</v>
      </c>
      <c r="M283" t="s">
        <v>106</v>
      </c>
      <c r="P283" t="s">
        <v>46</v>
      </c>
      <c r="Q283" t="s">
        <v>47</v>
      </c>
      <c r="R283" t="s">
        <v>48</v>
      </c>
      <c r="V283" t="s">
        <v>49</v>
      </c>
      <c r="X283" t="s">
        <v>49</v>
      </c>
      <c r="Y283" t="s">
        <v>74</v>
      </c>
      <c r="Z283" t="s">
        <v>549</v>
      </c>
      <c r="AA283" t="s">
        <v>549</v>
      </c>
    </row>
    <row r="284" spans="1:27" x14ac:dyDescent="0.35">
      <c r="A284" t="str">
        <f t="shared" si="9"/>
        <v>3107C2</v>
      </c>
      <c r="B284" t="str">
        <f t="shared" si="8"/>
        <v>3107</v>
      </c>
      <c r="C284" t="s">
        <v>554</v>
      </c>
      <c r="D284" t="s">
        <v>1</v>
      </c>
      <c r="E284" t="s">
        <v>65</v>
      </c>
      <c r="F284" t="s">
        <v>66</v>
      </c>
      <c r="G284" t="s">
        <v>104</v>
      </c>
      <c r="H284" t="s">
        <v>42</v>
      </c>
      <c r="I284" t="s">
        <v>67</v>
      </c>
      <c r="J284" t="s">
        <v>548</v>
      </c>
      <c r="M284" t="s">
        <v>106</v>
      </c>
      <c r="P284" t="s">
        <v>69</v>
      </c>
      <c r="Q284" t="s">
        <v>47</v>
      </c>
      <c r="R284" t="s">
        <v>48</v>
      </c>
      <c r="V284" t="s">
        <v>49</v>
      </c>
      <c r="X284" t="s">
        <v>49</v>
      </c>
      <c r="Y284" t="s">
        <v>70</v>
      </c>
      <c r="Z284" t="s">
        <v>555</v>
      </c>
      <c r="AA284" t="s">
        <v>555</v>
      </c>
    </row>
    <row r="285" spans="1:27" x14ac:dyDescent="0.35">
      <c r="A285" t="str">
        <f t="shared" si="9"/>
        <v>3107D7</v>
      </c>
      <c r="B285" t="str">
        <f t="shared" si="8"/>
        <v>3107</v>
      </c>
      <c r="C285" t="s">
        <v>556</v>
      </c>
      <c r="D285" t="s">
        <v>6</v>
      </c>
      <c r="E285" t="s">
        <v>94</v>
      </c>
      <c r="F285" t="s">
        <v>111</v>
      </c>
      <c r="G285" t="s">
        <v>104</v>
      </c>
      <c r="H285" t="s">
        <v>42</v>
      </c>
      <c r="I285" t="s">
        <v>43</v>
      </c>
      <c r="J285" t="s">
        <v>548</v>
      </c>
      <c r="M285" t="s">
        <v>106</v>
      </c>
      <c r="P285" t="s">
        <v>46</v>
      </c>
      <c r="Q285" t="s">
        <v>47</v>
      </c>
      <c r="R285" t="s">
        <v>48</v>
      </c>
      <c r="V285" t="s">
        <v>49</v>
      </c>
      <c r="X285" t="s">
        <v>49</v>
      </c>
      <c r="Y285" t="s">
        <v>59</v>
      </c>
      <c r="Z285" t="s">
        <v>537</v>
      </c>
      <c r="AA285" t="s">
        <v>537</v>
      </c>
    </row>
    <row r="286" spans="1:27" x14ac:dyDescent="0.35">
      <c r="A286" t="str">
        <f t="shared" si="9"/>
        <v>3106F2</v>
      </c>
      <c r="B286" t="str">
        <f t="shared" si="8"/>
        <v>3106</v>
      </c>
      <c r="C286" t="s">
        <v>557</v>
      </c>
      <c r="D286" t="s">
        <v>4</v>
      </c>
      <c r="E286" t="s">
        <v>77</v>
      </c>
      <c r="F286" t="s">
        <v>78</v>
      </c>
      <c r="G286" t="s">
        <v>104</v>
      </c>
      <c r="H286" t="s">
        <v>42</v>
      </c>
      <c r="I286" t="s">
        <v>67</v>
      </c>
      <c r="J286" t="s">
        <v>558</v>
      </c>
      <c r="M286" t="s">
        <v>106</v>
      </c>
      <c r="P286" t="s">
        <v>189</v>
      </c>
      <c r="Q286" t="s">
        <v>47</v>
      </c>
      <c r="R286" t="s">
        <v>48</v>
      </c>
      <c r="V286" t="s">
        <v>49</v>
      </c>
      <c r="X286" t="s">
        <v>49</v>
      </c>
      <c r="Y286" t="s">
        <v>74</v>
      </c>
      <c r="Z286" t="s">
        <v>549</v>
      </c>
      <c r="AA286" t="s">
        <v>549</v>
      </c>
    </row>
    <row r="287" spans="1:27" x14ac:dyDescent="0.35">
      <c r="A287" t="str">
        <f t="shared" si="9"/>
        <v>3106D4</v>
      </c>
      <c r="B287" t="str">
        <f t="shared" si="8"/>
        <v>3106</v>
      </c>
      <c r="C287" t="s">
        <v>559</v>
      </c>
      <c r="D287" t="s">
        <v>3</v>
      </c>
      <c r="E287" t="s">
        <v>52</v>
      </c>
      <c r="F287" t="s">
        <v>53</v>
      </c>
      <c r="G287" t="s">
        <v>104</v>
      </c>
      <c r="H287" t="s">
        <v>42</v>
      </c>
      <c r="I287" t="s">
        <v>43</v>
      </c>
      <c r="J287" t="s">
        <v>558</v>
      </c>
      <c r="K287" t="s">
        <v>56</v>
      </c>
      <c r="M287" t="s">
        <v>106</v>
      </c>
      <c r="P287" t="s">
        <v>58</v>
      </c>
      <c r="Q287" t="s">
        <v>47</v>
      </c>
      <c r="R287" t="s">
        <v>48</v>
      </c>
      <c r="V287" t="s">
        <v>49</v>
      </c>
      <c r="X287" t="s">
        <v>49</v>
      </c>
      <c r="Y287" t="s">
        <v>59</v>
      </c>
      <c r="Z287" t="s">
        <v>560</v>
      </c>
      <c r="AA287" t="s">
        <v>560</v>
      </c>
    </row>
    <row r="288" spans="1:27" x14ac:dyDescent="0.35">
      <c r="A288" t="str">
        <f t="shared" si="9"/>
        <v>3106D2</v>
      </c>
      <c r="B288" t="str">
        <f t="shared" si="8"/>
        <v>3106</v>
      </c>
      <c r="C288" t="s">
        <v>561</v>
      </c>
      <c r="D288" t="s">
        <v>2</v>
      </c>
      <c r="E288" t="s">
        <v>62</v>
      </c>
      <c r="F288" t="s">
        <v>63</v>
      </c>
      <c r="G288" t="s">
        <v>104</v>
      </c>
      <c r="H288" t="s">
        <v>42</v>
      </c>
      <c r="I288" t="s">
        <v>43</v>
      </c>
      <c r="J288" t="s">
        <v>558</v>
      </c>
      <c r="K288" t="s">
        <v>56</v>
      </c>
      <c r="M288" t="s">
        <v>106</v>
      </c>
      <c r="P288" t="s">
        <v>58</v>
      </c>
      <c r="Q288" t="s">
        <v>47</v>
      </c>
      <c r="R288" t="s">
        <v>48</v>
      </c>
      <c r="V288" t="s">
        <v>49</v>
      </c>
      <c r="X288" t="s">
        <v>49</v>
      </c>
      <c r="Y288" t="s">
        <v>59</v>
      </c>
      <c r="Z288" t="s">
        <v>560</v>
      </c>
      <c r="AA288" t="s">
        <v>560</v>
      </c>
    </row>
    <row r="289" spans="1:27" x14ac:dyDescent="0.35">
      <c r="A289" t="str">
        <f t="shared" si="9"/>
        <v>3106F3</v>
      </c>
      <c r="B289" t="str">
        <f t="shared" si="8"/>
        <v>3106</v>
      </c>
      <c r="C289" t="s">
        <v>562</v>
      </c>
      <c r="D289" t="s">
        <v>5</v>
      </c>
      <c r="E289" t="s">
        <v>40</v>
      </c>
      <c r="F289" t="s">
        <v>73</v>
      </c>
      <c r="G289" t="s">
        <v>104</v>
      </c>
      <c r="H289" t="s">
        <v>42</v>
      </c>
      <c r="I289" t="s">
        <v>67</v>
      </c>
      <c r="J289" t="s">
        <v>558</v>
      </c>
      <c r="M289" t="s">
        <v>106</v>
      </c>
      <c r="P289" t="s">
        <v>46</v>
      </c>
      <c r="Q289" t="s">
        <v>47</v>
      </c>
      <c r="R289" t="s">
        <v>48</v>
      </c>
      <c r="V289" t="s">
        <v>49</v>
      </c>
      <c r="X289" t="s">
        <v>49</v>
      </c>
      <c r="Y289" t="s">
        <v>74</v>
      </c>
      <c r="Z289" t="s">
        <v>549</v>
      </c>
      <c r="AA289" t="s">
        <v>549</v>
      </c>
    </row>
    <row r="290" spans="1:27" x14ac:dyDescent="0.35">
      <c r="A290" t="str">
        <f t="shared" si="9"/>
        <v>3106C2</v>
      </c>
      <c r="B290" t="str">
        <f t="shared" si="8"/>
        <v>3106</v>
      </c>
      <c r="C290" t="s">
        <v>563</v>
      </c>
      <c r="D290" t="s">
        <v>1</v>
      </c>
      <c r="E290" t="s">
        <v>65</v>
      </c>
      <c r="F290" t="s">
        <v>66</v>
      </c>
      <c r="G290" t="s">
        <v>104</v>
      </c>
      <c r="H290" t="s">
        <v>42</v>
      </c>
      <c r="I290" t="s">
        <v>67</v>
      </c>
      <c r="J290" t="s">
        <v>558</v>
      </c>
      <c r="M290" t="s">
        <v>106</v>
      </c>
      <c r="P290" t="s">
        <v>69</v>
      </c>
      <c r="Q290" t="s">
        <v>47</v>
      </c>
      <c r="R290" t="s">
        <v>48</v>
      </c>
      <c r="V290" t="s">
        <v>49</v>
      </c>
      <c r="X290" t="s">
        <v>49</v>
      </c>
      <c r="Y290" t="s">
        <v>70</v>
      </c>
      <c r="Z290" t="s">
        <v>551</v>
      </c>
      <c r="AA290" t="s">
        <v>551</v>
      </c>
    </row>
    <row r="291" spans="1:27" x14ac:dyDescent="0.35">
      <c r="A291" t="str">
        <f t="shared" si="9"/>
        <v>3106D7</v>
      </c>
      <c r="B291" t="str">
        <f t="shared" si="8"/>
        <v>3106</v>
      </c>
      <c r="C291" t="s">
        <v>564</v>
      </c>
      <c r="D291" t="s">
        <v>6</v>
      </c>
      <c r="E291" t="s">
        <v>94</v>
      </c>
      <c r="F291" t="s">
        <v>111</v>
      </c>
      <c r="G291" t="s">
        <v>104</v>
      </c>
      <c r="H291" t="s">
        <v>42</v>
      </c>
      <c r="I291" t="s">
        <v>43</v>
      </c>
      <c r="J291" t="s">
        <v>558</v>
      </c>
      <c r="M291" t="s">
        <v>106</v>
      </c>
      <c r="P291" t="s">
        <v>46</v>
      </c>
      <c r="Q291" t="s">
        <v>47</v>
      </c>
      <c r="R291" t="s">
        <v>48</v>
      </c>
      <c r="V291" t="s">
        <v>49</v>
      </c>
      <c r="X291" t="s">
        <v>49</v>
      </c>
      <c r="Y291" t="s">
        <v>59</v>
      </c>
      <c r="Z291" t="s">
        <v>565</v>
      </c>
      <c r="AA291" t="s">
        <v>565</v>
      </c>
    </row>
    <row r="292" spans="1:27" x14ac:dyDescent="0.35">
      <c r="A292" t="str">
        <f t="shared" si="9"/>
        <v>3105F2</v>
      </c>
      <c r="B292" t="str">
        <f t="shared" si="8"/>
        <v>3105</v>
      </c>
      <c r="C292" t="s">
        <v>566</v>
      </c>
      <c r="D292" t="s">
        <v>4</v>
      </c>
      <c r="E292" t="s">
        <v>77</v>
      </c>
      <c r="F292" t="s">
        <v>78</v>
      </c>
      <c r="G292" t="s">
        <v>104</v>
      </c>
      <c r="H292" t="s">
        <v>42</v>
      </c>
      <c r="I292" t="s">
        <v>67</v>
      </c>
      <c r="J292" t="s">
        <v>567</v>
      </c>
      <c r="M292" t="s">
        <v>106</v>
      </c>
      <c r="P292" t="s">
        <v>91</v>
      </c>
      <c r="Q292" t="s">
        <v>47</v>
      </c>
      <c r="R292" t="s">
        <v>48</v>
      </c>
      <c r="V292" t="s">
        <v>49</v>
      </c>
      <c r="X292" t="s">
        <v>49</v>
      </c>
      <c r="Y292" t="s">
        <v>74</v>
      </c>
      <c r="Z292" t="s">
        <v>568</v>
      </c>
      <c r="AA292" t="s">
        <v>568</v>
      </c>
    </row>
    <row r="293" spans="1:27" x14ac:dyDescent="0.35">
      <c r="A293" t="str">
        <f t="shared" si="9"/>
        <v>3105D4</v>
      </c>
      <c r="B293" t="str">
        <f t="shared" si="8"/>
        <v>3105</v>
      </c>
      <c r="C293" t="s">
        <v>569</v>
      </c>
      <c r="D293" t="s">
        <v>3</v>
      </c>
      <c r="E293" t="s">
        <v>52</v>
      </c>
      <c r="F293" t="s">
        <v>53</v>
      </c>
      <c r="G293" t="s">
        <v>104</v>
      </c>
      <c r="H293" t="s">
        <v>42</v>
      </c>
      <c r="I293" t="s">
        <v>43</v>
      </c>
      <c r="J293" t="s">
        <v>567</v>
      </c>
      <c r="K293" t="s">
        <v>56</v>
      </c>
      <c r="M293" t="s">
        <v>106</v>
      </c>
      <c r="P293" t="s">
        <v>58</v>
      </c>
      <c r="Q293" t="s">
        <v>47</v>
      </c>
      <c r="R293" t="s">
        <v>48</v>
      </c>
      <c r="V293" t="s">
        <v>49</v>
      </c>
      <c r="X293" t="s">
        <v>49</v>
      </c>
      <c r="Y293" t="s">
        <v>59</v>
      </c>
      <c r="Z293" t="s">
        <v>570</v>
      </c>
      <c r="AA293" t="s">
        <v>570</v>
      </c>
    </row>
    <row r="294" spans="1:27" x14ac:dyDescent="0.35">
      <c r="A294" t="str">
        <f t="shared" si="9"/>
        <v>3105D2</v>
      </c>
      <c r="B294" t="str">
        <f t="shared" si="8"/>
        <v>3105</v>
      </c>
      <c r="C294" t="s">
        <v>571</v>
      </c>
      <c r="D294" t="s">
        <v>2</v>
      </c>
      <c r="E294" t="s">
        <v>62</v>
      </c>
      <c r="F294" t="s">
        <v>63</v>
      </c>
      <c r="G294" t="s">
        <v>104</v>
      </c>
      <c r="H294" t="s">
        <v>42</v>
      </c>
      <c r="I294" t="s">
        <v>43</v>
      </c>
      <c r="J294" t="s">
        <v>567</v>
      </c>
      <c r="K294" t="s">
        <v>56</v>
      </c>
      <c r="M294" t="s">
        <v>106</v>
      </c>
      <c r="P294" t="s">
        <v>58</v>
      </c>
      <c r="Q294" t="s">
        <v>47</v>
      </c>
      <c r="R294" t="s">
        <v>48</v>
      </c>
      <c r="V294" t="s">
        <v>49</v>
      </c>
      <c r="X294" t="s">
        <v>49</v>
      </c>
      <c r="Y294" t="s">
        <v>59</v>
      </c>
      <c r="Z294" t="s">
        <v>570</v>
      </c>
      <c r="AA294" t="s">
        <v>570</v>
      </c>
    </row>
    <row r="295" spans="1:27" x14ac:dyDescent="0.35">
      <c r="A295" t="str">
        <f t="shared" si="9"/>
        <v>3105F3</v>
      </c>
      <c r="B295" t="str">
        <f t="shared" si="8"/>
        <v>3105</v>
      </c>
      <c r="C295" t="s">
        <v>572</v>
      </c>
      <c r="D295" t="s">
        <v>5</v>
      </c>
      <c r="E295" t="s">
        <v>40</v>
      </c>
      <c r="F295" t="s">
        <v>73</v>
      </c>
      <c r="G295" t="s">
        <v>104</v>
      </c>
      <c r="H295" t="s">
        <v>42</v>
      </c>
      <c r="I295" t="s">
        <v>67</v>
      </c>
      <c r="J295" t="s">
        <v>567</v>
      </c>
      <c r="M295" t="s">
        <v>106</v>
      </c>
      <c r="P295" t="s">
        <v>46</v>
      </c>
      <c r="Q295" t="s">
        <v>47</v>
      </c>
      <c r="R295" t="s">
        <v>48</v>
      </c>
      <c r="V295" t="s">
        <v>49</v>
      </c>
      <c r="X295" t="s">
        <v>49</v>
      </c>
      <c r="Y295" t="s">
        <v>74</v>
      </c>
      <c r="Z295" t="s">
        <v>568</v>
      </c>
      <c r="AA295" t="s">
        <v>568</v>
      </c>
    </row>
    <row r="296" spans="1:27" x14ac:dyDescent="0.35">
      <c r="A296" t="str">
        <f t="shared" si="9"/>
        <v>3105C2</v>
      </c>
      <c r="B296" t="str">
        <f t="shared" si="8"/>
        <v>3105</v>
      </c>
      <c r="C296" t="s">
        <v>573</v>
      </c>
      <c r="D296" t="s">
        <v>1</v>
      </c>
      <c r="E296" t="s">
        <v>65</v>
      </c>
      <c r="F296" t="s">
        <v>66</v>
      </c>
      <c r="G296" t="s">
        <v>104</v>
      </c>
      <c r="H296" t="s">
        <v>42</v>
      </c>
      <c r="I296" t="s">
        <v>67</v>
      </c>
      <c r="J296" t="s">
        <v>567</v>
      </c>
      <c r="M296" t="s">
        <v>106</v>
      </c>
      <c r="P296" t="s">
        <v>69</v>
      </c>
      <c r="Q296" t="s">
        <v>47</v>
      </c>
      <c r="R296" t="s">
        <v>48</v>
      </c>
      <c r="V296" t="s">
        <v>49</v>
      </c>
      <c r="X296" t="s">
        <v>49</v>
      </c>
      <c r="Y296" t="s">
        <v>70</v>
      </c>
      <c r="Z296" t="s">
        <v>574</v>
      </c>
      <c r="AA296" t="s">
        <v>574</v>
      </c>
    </row>
    <row r="297" spans="1:27" x14ac:dyDescent="0.35">
      <c r="A297" t="str">
        <f t="shared" si="9"/>
        <v>3105D7</v>
      </c>
      <c r="B297" t="str">
        <f t="shared" si="8"/>
        <v>3105</v>
      </c>
      <c r="C297" t="s">
        <v>575</v>
      </c>
      <c r="D297" t="s">
        <v>6</v>
      </c>
      <c r="E297" t="s">
        <v>94</v>
      </c>
      <c r="F297" t="s">
        <v>111</v>
      </c>
      <c r="G297" t="s">
        <v>104</v>
      </c>
      <c r="H297" t="s">
        <v>42</v>
      </c>
      <c r="I297" t="s">
        <v>43</v>
      </c>
      <c r="J297" t="s">
        <v>567</v>
      </c>
      <c r="M297" t="s">
        <v>106</v>
      </c>
      <c r="P297" t="s">
        <v>46</v>
      </c>
      <c r="Q297" t="s">
        <v>47</v>
      </c>
      <c r="R297" t="s">
        <v>48</v>
      </c>
      <c r="V297" t="s">
        <v>49</v>
      </c>
      <c r="X297" t="s">
        <v>49</v>
      </c>
      <c r="Y297" t="s">
        <v>59</v>
      </c>
      <c r="Z297" t="s">
        <v>565</v>
      </c>
      <c r="AA297" t="s">
        <v>565</v>
      </c>
    </row>
    <row r="298" spans="1:27" x14ac:dyDescent="0.35">
      <c r="A298" t="str">
        <f t="shared" si="9"/>
        <v>3104F2</v>
      </c>
      <c r="B298" t="str">
        <f t="shared" si="8"/>
        <v>3104</v>
      </c>
      <c r="C298" t="s">
        <v>576</v>
      </c>
      <c r="D298" t="s">
        <v>4</v>
      </c>
      <c r="E298" t="s">
        <v>77</v>
      </c>
      <c r="F298" t="s">
        <v>78</v>
      </c>
      <c r="G298" t="s">
        <v>104</v>
      </c>
      <c r="H298" t="s">
        <v>42</v>
      </c>
      <c r="I298" t="s">
        <v>67</v>
      </c>
      <c r="J298" t="s">
        <v>577</v>
      </c>
      <c r="M298" t="s">
        <v>106</v>
      </c>
      <c r="P298" t="s">
        <v>138</v>
      </c>
      <c r="Q298" t="s">
        <v>47</v>
      </c>
      <c r="R298" t="s">
        <v>48</v>
      </c>
      <c r="V298" t="s">
        <v>49</v>
      </c>
      <c r="X298" t="s">
        <v>49</v>
      </c>
      <c r="Y298" t="s">
        <v>74</v>
      </c>
      <c r="Z298" t="s">
        <v>568</v>
      </c>
      <c r="AA298" t="s">
        <v>568</v>
      </c>
    </row>
    <row r="299" spans="1:27" x14ac:dyDescent="0.35">
      <c r="A299" t="str">
        <f t="shared" si="9"/>
        <v>3104D4</v>
      </c>
      <c r="B299" t="str">
        <f t="shared" si="8"/>
        <v>3104</v>
      </c>
      <c r="C299" t="s">
        <v>578</v>
      </c>
      <c r="D299" t="s">
        <v>3</v>
      </c>
      <c r="E299" t="s">
        <v>52</v>
      </c>
      <c r="F299" t="s">
        <v>53</v>
      </c>
      <c r="G299" t="s">
        <v>104</v>
      </c>
      <c r="H299" t="s">
        <v>42</v>
      </c>
      <c r="I299" t="s">
        <v>43</v>
      </c>
      <c r="J299" t="s">
        <v>577</v>
      </c>
      <c r="K299" t="s">
        <v>56</v>
      </c>
      <c r="M299" t="s">
        <v>106</v>
      </c>
      <c r="P299" t="s">
        <v>58</v>
      </c>
      <c r="Q299" t="s">
        <v>47</v>
      </c>
      <c r="R299" t="s">
        <v>48</v>
      </c>
      <c r="V299" t="s">
        <v>49</v>
      </c>
      <c r="X299" t="s">
        <v>49</v>
      </c>
      <c r="Y299" t="s">
        <v>59</v>
      </c>
      <c r="Z299" t="s">
        <v>579</v>
      </c>
      <c r="AA299" t="s">
        <v>579</v>
      </c>
    </row>
    <row r="300" spans="1:27" x14ac:dyDescent="0.35">
      <c r="A300" t="str">
        <f t="shared" si="9"/>
        <v>3104D2</v>
      </c>
      <c r="B300" t="str">
        <f t="shared" si="8"/>
        <v>3104</v>
      </c>
      <c r="C300" t="s">
        <v>580</v>
      </c>
      <c r="D300" t="s">
        <v>2</v>
      </c>
      <c r="E300" t="s">
        <v>62</v>
      </c>
      <c r="F300" t="s">
        <v>63</v>
      </c>
      <c r="G300" t="s">
        <v>104</v>
      </c>
      <c r="H300" t="s">
        <v>42</v>
      </c>
      <c r="I300" t="s">
        <v>43</v>
      </c>
      <c r="J300" t="s">
        <v>577</v>
      </c>
      <c r="K300" t="s">
        <v>56</v>
      </c>
      <c r="M300" t="s">
        <v>106</v>
      </c>
      <c r="P300" t="s">
        <v>58</v>
      </c>
      <c r="Q300" t="s">
        <v>47</v>
      </c>
      <c r="R300" t="s">
        <v>48</v>
      </c>
      <c r="V300" t="s">
        <v>49</v>
      </c>
      <c r="X300" t="s">
        <v>49</v>
      </c>
      <c r="Y300" t="s">
        <v>59</v>
      </c>
      <c r="Z300" t="s">
        <v>581</v>
      </c>
      <c r="AA300" t="s">
        <v>581</v>
      </c>
    </row>
    <row r="301" spans="1:27" x14ac:dyDescent="0.35">
      <c r="A301" t="str">
        <f t="shared" si="9"/>
        <v>3104F3</v>
      </c>
      <c r="B301" t="str">
        <f t="shared" si="8"/>
        <v>3104</v>
      </c>
      <c r="C301" t="s">
        <v>582</v>
      </c>
      <c r="D301" t="s">
        <v>5</v>
      </c>
      <c r="E301" t="s">
        <v>40</v>
      </c>
      <c r="F301" t="s">
        <v>73</v>
      </c>
      <c r="G301" t="s">
        <v>104</v>
      </c>
      <c r="H301" t="s">
        <v>42</v>
      </c>
      <c r="I301" t="s">
        <v>67</v>
      </c>
      <c r="J301" t="s">
        <v>577</v>
      </c>
      <c r="M301" t="s">
        <v>106</v>
      </c>
      <c r="P301" t="s">
        <v>46</v>
      </c>
      <c r="Q301" t="s">
        <v>47</v>
      </c>
      <c r="R301" t="s">
        <v>48</v>
      </c>
      <c r="V301" t="s">
        <v>49</v>
      </c>
      <c r="X301" t="s">
        <v>49</v>
      </c>
      <c r="Y301" t="s">
        <v>74</v>
      </c>
      <c r="Z301" t="s">
        <v>568</v>
      </c>
      <c r="AA301" t="s">
        <v>568</v>
      </c>
    </row>
    <row r="302" spans="1:27" x14ac:dyDescent="0.35">
      <c r="A302" t="str">
        <f t="shared" si="9"/>
        <v>3104C2</v>
      </c>
      <c r="B302" t="str">
        <f t="shared" si="8"/>
        <v>3104</v>
      </c>
      <c r="C302" t="s">
        <v>583</v>
      </c>
      <c r="D302" t="s">
        <v>1</v>
      </c>
      <c r="E302" t="s">
        <v>65</v>
      </c>
      <c r="F302" t="s">
        <v>66</v>
      </c>
      <c r="G302" t="s">
        <v>104</v>
      </c>
      <c r="H302" t="s">
        <v>42</v>
      </c>
      <c r="I302" t="s">
        <v>67</v>
      </c>
      <c r="J302" t="s">
        <v>577</v>
      </c>
      <c r="M302" t="s">
        <v>106</v>
      </c>
      <c r="P302" t="s">
        <v>69</v>
      </c>
      <c r="Q302" t="s">
        <v>47</v>
      </c>
      <c r="R302" t="s">
        <v>48</v>
      </c>
      <c r="V302" t="s">
        <v>49</v>
      </c>
      <c r="X302" t="s">
        <v>49</v>
      </c>
      <c r="Y302" t="s">
        <v>70</v>
      </c>
      <c r="Z302" t="s">
        <v>584</v>
      </c>
      <c r="AA302" t="s">
        <v>584</v>
      </c>
    </row>
    <row r="303" spans="1:27" x14ac:dyDescent="0.35">
      <c r="A303" t="str">
        <f t="shared" si="9"/>
        <v>3104D7</v>
      </c>
      <c r="B303" t="str">
        <f t="shared" si="8"/>
        <v>3104</v>
      </c>
      <c r="C303" t="s">
        <v>585</v>
      </c>
      <c r="D303" t="s">
        <v>6</v>
      </c>
      <c r="E303" t="s">
        <v>94</v>
      </c>
      <c r="F303" t="s">
        <v>111</v>
      </c>
      <c r="G303" t="s">
        <v>104</v>
      </c>
      <c r="H303" t="s">
        <v>42</v>
      </c>
      <c r="I303" t="s">
        <v>43</v>
      </c>
      <c r="J303" t="s">
        <v>577</v>
      </c>
      <c r="M303" t="s">
        <v>106</v>
      </c>
      <c r="P303" t="s">
        <v>46</v>
      </c>
      <c r="Q303" t="s">
        <v>47</v>
      </c>
      <c r="R303" t="s">
        <v>48</v>
      </c>
      <c r="V303" t="s">
        <v>49</v>
      </c>
      <c r="X303" t="s">
        <v>49</v>
      </c>
      <c r="Y303" t="s">
        <v>59</v>
      </c>
      <c r="Z303" t="s">
        <v>565</v>
      </c>
      <c r="AA303" t="s">
        <v>565</v>
      </c>
    </row>
    <row r="304" spans="1:27" x14ac:dyDescent="0.35">
      <c r="A304" t="str">
        <f t="shared" si="9"/>
        <v>3103F2</v>
      </c>
      <c r="B304" t="str">
        <f t="shared" si="8"/>
        <v>3103</v>
      </c>
      <c r="C304" t="s">
        <v>586</v>
      </c>
      <c r="D304" t="s">
        <v>4</v>
      </c>
      <c r="E304" t="s">
        <v>77</v>
      </c>
      <c r="F304" t="s">
        <v>78</v>
      </c>
      <c r="G304" t="s">
        <v>104</v>
      </c>
      <c r="H304" t="s">
        <v>42</v>
      </c>
      <c r="I304" t="s">
        <v>67</v>
      </c>
      <c r="J304" t="s">
        <v>587</v>
      </c>
      <c r="M304" t="s">
        <v>106</v>
      </c>
      <c r="P304" t="s">
        <v>138</v>
      </c>
      <c r="Q304" t="s">
        <v>47</v>
      </c>
      <c r="R304" t="s">
        <v>48</v>
      </c>
      <c r="V304" t="s">
        <v>49</v>
      </c>
      <c r="X304" t="s">
        <v>49</v>
      </c>
      <c r="Y304" t="s">
        <v>74</v>
      </c>
      <c r="Z304" t="s">
        <v>568</v>
      </c>
      <c r="AA304" t="s">
        <v>568</v>
      </c>
    </row>
    <row r="305" spans="1:27" x14ac:dyDescent="0.35">
      <c r="A305" t="str">
        <f t="shared" si="9"/>
        <v>3103D4</v>
      </c>
      <c r="B305" t="str">
        <f t="shared" si="8"/>
        <v>3103</v>
      </c>
      <c r="C305" t="s">
        <v>588</v>
      </c>
      <c r="D305" t="s">
        <v>3</v>
      </c>
      <c r="E305" t="s">
        <v>52</v>
      </c>
      <c r="F305" t="s">
        <v>53</v>
      </c>
      <c r="G305" t="s">
        <v>104</v>
      </c>
      <c r="H305" t="s">
        <v>42</v>
      </c>
      <c r="I305" t="s">
        <v>43</v>
      </c>
      <c r="J305" t="s">
        <v>587</v>
      </c>
      <c r="K305" t="s">
        <v>56</v>
      </c>
      <c r="M305" t="s">
        <v>106</v>
      </c>
      <c r="P305" t="s">
        <v>58</v>
      </c>
      <c r="Q305" t="s">
        <v>47</v>
      </c>
      <c r="R305" t="s">
        <v>48</v>
      </c>
      <c r="V305" t="s">
        <v>49</v>
      </c>
      <c r="X305" t="s">
        <v>49</v>
      </c>
      <c r="Y305" t="s">
        <v>59</v>
      </c>
      <c r="Z305" t="s">
        <v>581</v>
      </c>
      <c r="AA305" t="s">
        <v>581</v>
      </c>
    </row>
    <row r="306" spans="1:27" x14ac:dyDescent="0.35">
      <c r="A306" t="str">
        <f t="shared" si="9"/>
        <v>3103D2</v>
      </c>
      <c r="B306" t="str">
        <f t="shared" si="8"/>
        <v>3103</v>
      </c>
      <c r="C306" t="s">
        <v>589</v>
      </c>
      <c r="D306" t="s">
        <v>2</v>
      </c>
      <c r="E306" t="s">
        <v>62</v>
      </c>
      <c r="F306" t="s">
        <v>63</v>
      </c>
      <c r="G306" t="s">
        <v>104</v>
      </c>
      <c r="H306" t="s">
        <v>42</v>
      </c>
      <c r="I306" t="s">
        <v>43</v>
      </c>
      <c r="J306" t="s">
        <v>587</v>
      </c>
      <c r="K306" t="s">
        <v>56</v>
      </c>
      <c r="M306" t="s">
        <v>106</v>
      </c>
      <c r="P306" t="s">
        <v>58</v>
      </c>
      <c r="Q306" t="s">
        <v>47</v>
      </c>
      <c r="R306" t="s">
        <v>48</v>
      </c>
      <c r="V306" t="s">
        <v>49</v>
      </c>
      <c r="X306" t="s">
        <v>49</v>
      </c>
      <c r="Y306" t="s">
        <v>59</v>
      </c>
      <c r="Z306" t="s">
        <v>581</v>
      </c>
      <c r="AA306" t="s">
        <v>581</v>
      </c>
    </row>
    <row r="307" spans="1:27" x14ac:dyDescent="0.35">
      <c r="A307" t="str">
        <f t="shared" si="9"/>
        <v>3103F3</v>
      </c>
      <c r="B307" t="str">
        <f t="shared" si="8"/>
        <v>3103</v>
      </c>
      <c r="C307" t="s">
        <v>590</v>
      </c>
      <c r="D307" t="s">
        <v>5</v>
      </c>
      <c r="E307" t="s">
        <v>40</v>
      </c>
      <c r="F307" t="s">
        <v>73</v>
      </c>
      <c r="G307" t="s">
        <v>104</v>
      </c>
      <c r="H307" t="s">
        <v>42</v>
      </c>
      <c r="I307" t="s">
        <v>67</v>
      </c>
      <c r="J307" t="s">
        <v>587</v>
      </c>
      <c r="M307" t="s">
        <v>106</v>
      </c>
      <c r="P307" t="s">
        <v>46</v>
      </c>
      <c r="Q307" t="s">
        <v>47</v>
      </c>
      <c r="R307" t="s">
        <v>48</v>
      </c>
      <c r="V307" t="s">
        <v>49</v>
      </c>
      <c r="X307" t="s">
        <v>49</v>
      </c>
      <c r="Y307" t="s">
        <v>74</v>
      </c>
      <c r="Z307" t="s">
        <v>591</v>
      </c>
      <c r="AA307" t="s">
        <v>591</v>
      </c>
    </row>
    <row r="308" spans="1:27" x14ac:dyDescent="0.35">
      <c r="A308" t="str">
        <f t="shared" si="9"/>
        <v>3103C2</v>
      </c>
      <c r="B308" t="str">
        <f t="shared" si="8"/>
        <v>3103</v>
      </c>
      <c r="C308" t="s">
        <v>592</v>
      </c>
      <c r="D308" t="s">
        <v>1</v>
      </c>
      <c r="E308" t="s">
        <v>65</v>
      </c>
      <c r="F308" t="s">
        <v>66</v>
      </c>
      <c r="G308" t="s">
        <v>104</v>
      </c>
      <c r="H308" t="s">
        <v>42</v>
      </c>
      <c r="I308" t="s">
        <v>67</v>
      </c>
      <c r="J308" t="s">
        <v>587</v>
      </c>
      <c r="M308" t="s">
        <v>106</v>
      </c>
      <c r="P308" t="s">
        <v>69</v>
      </c>
      <c r="Q308" t="s">
        <v>47</v>
      </c>
      <c r="R308" t="s">
        <v>48</v>
      </c>
      <c r="V308" t="s">
        <v>49</v>
      </c>
      <c r="X308" t="s">
        <v>49</v>
      </c>
      <c r="Y308" t="s">
        <v>70</v>
      </c>
      <c r="Z308" t="s">
        <v>581</v>
      </c>
      <c r="AA308" t="s">
        <v>581</v>
      </c>
    </row>
    <row r="309" spans="1:27" x14ac:dyDescent="0.35">
      <c r="A309" t="str">
        <f t="shared" si="9"/>
        <v>3103D7</v>
      </c>
      <c r="B309" t="str">
        <f t="shared" si="8"/>
        <v>3103</v>
      </c>
      <c r="C309" t="s">
        <v>593</v>
      </c>
      <c r="D309" t="s">
        <v>6</v>
      </c>
      <c r="E309" t="s">
        <v>94</v>
      </c>
      <c r="F309" t="s">
        <v>111</v>
      </c>
      <c r="G309" t="s">
        <v>104</v>
      </c>
      <c r="H309" t="s">
        <v>42</v>
      </c>
      <c r="I309" t="s">
        <v>43</v>
      </c>
      <c r="J309" t="s">
        <v>587</v>
      </c>
      <c r="M309" t="s">
        <v>106</v>
      </c>
      <c r="P309" t="s">
        <v>46</v>
      </c>
      <c r="Q309" t="s">
        <v>47</v>
      </c>
      <c r="R309" t="s">
        <v>48</v>
      </c>
      <c r="V309" t="s">
        <v>49</v>
      </c>
      <c r="X309" t="s">
        <v>49</v>
      </c>
      <c r="Y309" t="s">
        <v>59</v>
      </c>
      <c r="Z309" t="s">
        <v>594</v>
      </c>
      <c r="AA309" t="s">
        <v>594</v>
      </c>
    </row>
    <row r="310" spans="1:27" x14ac:dyDescent="0.35">
      <c r="A310" t="str">
        <f t="shared" si="9"/>
        <v>3102F2</v>
      </c>
      <c r="B310" t="str">
        <f t="shared" si="8"/>
        <v>3102</v>
      </c>
      <c r="C310" t="s">
        <v>595</v>
      </c>
      <c r="D310" t="s">
        <v>4</v>
      </c>
      <c r="E310" t="s">
        <v>77</v>
      </c>
      <c r="F310" t="s">
        <v>78</v>
      </c>
      <c r="G310" t="s">
        <v>104</v>
      </c>
      <c r="H310" t="s">
        <v>42</v>
      </c>
      <c r="I310" t="s">
        <v>67</v>
      </c>
      <c r="J310" t="s">
        <v>596</v>
      </c>
      <c r="M310" t="s">
        <v>106</v>
      </c>
      <c r="P310" t="s">
        <v>138</v>
      </c>
      <c r="Q310" t="s">
        <v>47</v>
      </c>
      <c r="R310" t="s">
        <v>48</v>
      </c>
      <c r="V310" t="s">
        <v>49</v>
      </c>
      <c r="X310" t="s">
        <v>49</v>
      </c>
      <c r="Y310" t="s">
        <v>74</v>
      </c>
      <c r="Z310" t="s">
        <v>591</v>
      </c>
      <c r="AA310" t="s">
        <v>591</v>
      </c>
    </row>
    <row r="311" spans="1:27" x14ac:dyDescent="0.35">
      <c r="A311" t="str">
        <f t="shared" si="9"/>
        <v>3102D4</v>
      </c>
      <c r="B311" t="str">
        <f t="shared" si="8"/>
        <v>3102</v>
      </c>
      <c r="C311" t="s">
        <v>597</v>
      </c>
      <c r="D311" t="s">
        <v>3</v>
      </c>
      <c r="E311" t="s">
        <v>52</v>
      </c>
      <c r="F311" t="s">
        <v>53</v>
      </c>
      <c r="G311" t="s">
        <v>104</v>
      </c>
      <c r="H311" t="s">
        <v>42</v>
      </c>
      <c r="I311" t="s">
        <v>43</v>
      </c>
      <c r="J311" t="s">
        <v>596</v>
      </c>
      <c r="K311" t="s">
        <v>56</v>
      </c>
      <c r="M311" t="s">
        <v>106</v>
      </c>
      <c r="P311" t="s">
        <v>58</v>
      </c>
      <c r="Q311" t="s">
        <v>47</v>
      </c>
      <c r="R311" t="s">
        <v>48</v>
      </c>
      <c r="V311" t="s">
        <v>49</v>
      </c>
      <c r="X311" t="s">
        <v>49</v>
      </c>
      <c r="Y311" t="s">
        <v>59</v>
      </c>
      <c r="Z311" t="s">
        <v>598</v>
      </c>
      <c r="AA311" t="s">
        <v>598</v>
      </c>
    </row>
    <row r="312" spans="1:27" x14ac:dyDescent="0.35">
      <c r="A312" t="str">
        <f t="shared" si="9"/>
        <v>3102D2</v>
      </c>
      <c r="B312" t="str">
        <f t="shared" si="8"/>
        <v>3102</v>
      </c>
      <c r="C312" t="s">
        <v>599</v>
      </c>
      <c r="D312" t="s">
        <v>2</v>
      </c>
      <c r="E312" t="s">
        <v>62</v>
      </c>
      <c r="F312" t="s">
        <v>63</v>
      </c>
      <c r="G312" t="s">
        <v>104</v>
      </c>
      <c r="H312" t="s">
        <v>42</v>
      </c>
      <c r="I312" t="s">
        <v>43</v>
      </c>
      <c r="J312" t="s">
        <v>596</v>
      </c>
      <c r="K312" t="s">
        <v>56</v>
      </c>
      <c r="M312" t="s">
        <v>106</v>
      </c>
      <c r="P312" t="s">
        <v>58</v>
      </c>
      <c r="Q312" t="s">
        <v>47</v>
      </c>
      <c r="R312" t="s">
        <v>48</v>
      </c>
      <c r="V312" t="s">
        <v>49</v>
      </c>
      <c r="X312" t="s">
        <v>49</v>
      </c>
      <c r="Y312" t="s">
        <v>59</v>
      </c>
      <c r="Z312" t="s">
        <v>600</v>
      </c>
      <c r="AA312" t="s">
        <v>600</v>
      </c>
    </row>
    <row r="313" spans="1:27" x14ac:dyDescent="0.35">
      <c r="A313" t="str">
        <f t="shared" si="9"/>
        <v>3102F3</v>
      </c>
      <c r="B313" t="str">
        <f t="shared" si="8"/>
        <v>3102</v>
      </c>
      <c r="C313" t="s">
        <v>601</v>
      </c>
      <c r="D313" t="s">
        <v>5</v>
      </c>
      <c r="E313" t="s">
        <v>40</v>
      </c>
      <c r="F313" t="s">
        <v>73</v>
      </c>
      <c r="G313" t="s">
        <v>104</v>
      </c>
      <c r="H313" t="s">
        <v>42</v>
      </c>
      <c r="I313" t="s">
        <v>67</v>
      </c>
      <c r="J313" t="s">
        <v>596</v>
      </c>
      <c r="M313" t="s">
        <v>106</v>
      </c>
      <c r="P313" t="s">
        <v>46</v>
      </c>
      <c r="Q313" t="s">
        <v>47</v>
      </c>
      <c r="R313" t="s">
        <v>48</v>
      </c>
      <c r="V313" t="s">
        <v>49</v>
      </c>
      <c r="X313" t="s">
        <v>49</v>
      </c>
      <c r="Y313" t="s">
        <v>74</v>
      </c>
      <c r="Z313" t="s">
        <v>591</v>
      </c>
      <c r="AA313" t="s">
        <v>591</v>
      </c>
    </row>
    <row r="314" spans="1:27" x14ac:dyDescent="0.35">
      <c r="A314" t="str">
        <f t="shared" si="9"/>
        <v>3102C2</v>
      </c>
      <c r="B314" t="str">
        <f t="shared" si="8"/>
        <v>3102</v>
      </c>
      <c r="C314" t="s">
        <v>602</v>
      </c>
      <c r="D314" t="s">
        <v>1</v>
      </c>
      <c r="E314" t="s">
        <v>65</v>
      </c>
      <c r="F314" t="s">
        <v>66</v>
      </c>
      <c r="G314" t="s">
        <v>104</v>
      </c>
      <c r="H314" t="s">
        <v>42</v>
      </c>
      <c r="I314" t="s">
        <v>67</v>
      </c>
      <c r="J314" t="s">
        <v>596</v>
      </c>
      <c r="M314" t="s">
        <v>106</v>
      </c>
      <c r="P314" t="s">
        <v>69</v>
      </c>
      <c r="Q314" t="s">
        <v>47</v>
      </c>
      <c r="R314" t="s">
        <v>48</v>
      </c>
      <c r="V314" t="s">
        <v>49</v>
      </c>
      <c r="X314" t="s">
        <v>49</v>
      </c>
      <c r="Y314" t="s">
        <v>70</v>
      </c>
      <c r="Z314" t="s">
        <v>603</v>
      </c>
      <c r="AA314" t="s">
        <v>603</v>
      </c>
    </row>
    <row r="315" spans="1:27" x14ac:dyDescent="0.35">
      <c r="A315" t="str">
        <f t="shared" si="9"/>
        <v>3102D7</v>
      </c>
      <c r="B315" t="str">
        <f t="shared" si="8"/>
        <v>3102</v>
      </c>
      <c r="C315" t="s">
        <v>604</v>
      </c>
      <c r="D315" t="s">
        <v>6</v>
      </c>
      <c r="E315" t="s">
        <v>94</v>
      </c>
      <c r="F315" t="s">
        <v>111</v>
      </c>
      <c r="G315" t="s">
        <v>104</v>
      </c>
      <c r="H315" t="s">
        <v>42</v>
      </c>
      <c r="I315" t="s">
        <v>43</v>
      </c>
      <c r="J315" t="s">
        <v>596</v>
      </c>
      <c r="M315" t="s">
        <v>106</v>
      </c>
      <c r="P315" t="s">
        <v>46</v>
      </c>
      <c r="Q315" t="s">
        <v>47</v>
      </c>
      <c r="R315" t="s">
        <v>48</v>
      </c>
      <c r="V315" t="s">
        <v>49</v>
      </c>
      <c r="X315" t="s">
        <v>49</v>
      </c>
      <c r="Y315" t="s">
        <v>59</v>
      </c>
      <c r="Z315" t="s">
        <v>594</v>
      </c>
      <c r="AA315" t="s">
        <v>594</v>
      </c>
    </row>
    <row r="316" spans="1:27" x14ac:dyDescent="0.35">
      <c r="A316" t="str">
        <f t="shared" si="9"/>
        <v>3101F2</v>
      </c>
      <c r="B316" t="str">
        <f t="shared" si="8"/>
        <v>3101</v>
      </c>
      <c r="C316" t="s">
        <v>605</v>
      </c>
      <c r="D316" t="s">
        <v>4</v>
      </c>
      <c r="E316" t="s">
        <v>77</v>
      </c>
      <c r="F316" t="s">
        <v>78</v>
      </c>
      <c r="G316" t="s">
        <v>104</v>
      </c>
      <c r="H316" t="s">
        <v>42</v>
      </c>
      <c r="I316" t="s">
        <v>67</v>
      </c>
      <c r="J316" t="s">
        <v>606</v>
      </c>
      <c r="M316" t="s">
        <v>106</v>
      </c>
      <c r="P316" t="s">
        <v>138</v>
      </c>
      <c r="Q316" t="s">
        <v>47</v>
      </c>
      <c r="R316" t="s">
        <v>48</v>
      </c>
      <c r="V316" t="s">
        <v>49</v>
      </c>
      <c r="X316" t="s">
        <v>49</v>
      </c>
      <c r="Y316" t="s">
        <v>74</v>
      </c>
      <c r="Z316" t="s">
        <v>591</v>
      </c>
      <c r="AA316" t="s">
        <v>591</v>
      </c>
    </row>
    <row r="317" spans="1:27" x14ac:dyDescent="0.35">
      <c r="A317" t="str">
        <f t="shared" si="9"/>
        <v>3101D4</v>
      </c>
      <c r="B317" t="str">
        <f t="shared" si="8"/>
        <v>3101</v>
      </c>
      <c r="C317" t="s">
        <v>607</v>
      </c>
      <c r="D317" t="s">
        <v>3</v>
      </c>
      <c r="E317" t="s">
        <v>52</v>
      </c>
      <c r="F317" t="s">
        <v>53</v>
      </c>
      <c r="G317" t="s">
        <v>104</v>
      </c>
      <c r="H317" t="s">
        <v>42</v>
      </c>
      <c r="I317" t="s">
        <v>43</v>
      </c>
      <c r="J317" t="s">
        <v>606</v>
      </c>
      <c r="K317" t="s">
        <v>56</v>
      </c>
      <c r="M317" t="s">
        <v>106</v>
      </c>
      <c r="P317" t="s">
        <v>58</v>
      </c>
      <c r="Q317" t="s">
        <v>47</v>
      </c>
      <c r="R317" t="s">
        <v>48</v>
      </c>
      <c r="V317" t="s">
        <v>49</v>
      </c>
      <c r="X317" t="s">
        <v>49</v>
      </c>
      <c r="Y317" t="s">
        <v>59</v>
      </c>
      <c r="Z317" t="s">
        <v>489</v>
      </c>
      <c r="AA317" t="s">
        <v>489</v>
      </c>
    </row>
    <row r="318" spans="1:27" x14ac:dyDescent="0.35">
      <c r="A318" t="str">
        <f t="shared" si="9"/>
        <v>3101D2</v>
      </c>
      <c r="B318" t="str">
        <f t="shared" si="8"/>
        <v>3101</v>
      </c>
      <c r="C318" t="s">
        <v>608</v>
      </c>
      <c r="D318" t="s">
        <v>2</v>
      </c>
      <c r="E318" t="s">
        <v>62</v>
      </c>
      <c r="F318" t="s">
        <v>63</v>
      </c>
      <c r="G318" t="s">
        <v>104</v>
      </c>
      <c r="H318" t="s">
        <v>42</v>
      </c>
      <c r="I318" t="s">
        <v>43</v>
      </c>
      <c r="J318" t="s">
        <v>606</v>
      </c>
      <c r="K318" t="s">
        <v>56</v>
      </c>
      <c r="M318" t="s">
        <v>106</v>
      </c>
      <c r="P318" t="s">
        <v>58</v>
      </c>
      <c r="Q318" t="s">
        <v>47</v>
      </c>
      <c r="R318" t="s">
        <v>48</v>
      </c>
      <c r="V318" t="s">
        <v>49</v>
      </c>
      <c r="X318" t="s">
        <v>49</v>
      </c>
      <c r="Y318" t="s">
        <v>59</v>
      </c>
      <c r="Z318" t="s">
        <v>489</v>
      </c>
      <c r="AA318" t="s">
        <v>489</v>
      </c>
    </row>
    <row r="319" spans="1:27" x14ac:dyDescent="0.35">
      <c r="A319" t="str">
        <f t="shared" si="9"/>
        <v>3101F3</v>
      </c>
      <c r="B319" t="str">
        <f t="shared" si="8"/>
        <v>3101</v>
      </c>
      <c r="C319" t="s">
        <v>609</v>
      </c>
      <c r="D319" t="s">
        <v>5</v>
      </c>
      <c r="E319" t="s">
        <v>40</v>
      </c>
      <c r="F319" t="s">
        <v>73</v>
      </c>
      <c r="G319" t="s">
        <v>104</v>
      </c>
      <c r="H319" t="s">
        <v>42</v>
      </c>
      <c r="I319" t="s">
        <v>67</v>
      </c>
      <c r="J319" t="s">
        <v>606</v>
      </c>
      <c r="M319" t="s">
        <v>106</v>
      </c>
      <c r="P319" t="s">
        <v>46</v>
      </c>
      <c r="Q319" t="s">
        <v>47</v>
      </c>
      <c r="R319" t="s">
        <v>48</v>
      </c>
      <c r="V319" t="s">
        <v>49</v>
      </c>
      <c r="X319" t="s">
        <v>49</v>
      </c>
      <c r="Y319" t="s">
        <v>74</v>
      </c>
      <c r="Z319" t="s">
        <v>591</v>
      </c>
      <c r="AA319" t="s">
        <v>591</v>
      </c>
    </row>
    <row r="320" spans="1:27" x14ac:dyDescent="0.35">
      <c r="A320" t="str">
        <f t="shared" si="9"/>
        <v>3101C2</v>
      </c>
      <c r="B320" t="str">
        <f t="shared" si="8"/>
        <v>3101</v>
      </c>
      <c r="C320" t="s">
        <v>610</v>
      </c>
      <c r="D320" t="s">
        <v>1</v>
      </c>
      <c r="E320" t="s">
        <v>65</v>
      </c>
      <c r="F320" t="s">
        <v>66</v>
      </c>
      <c r="G320" t="s">
        <v>104</v>
      </c>
      <c r="H320" t="s">
        <v>42</v>
      </c>
      <c r="I320" t="s">
        <v>67</v>
      </c>
      <c r="J320" t="s">
        <v>606</v>
      </c>
      <c r="M320" t="s">
        <v>106</v>
      </c>
      <c r="P320" t="s">
        <v>69</v>
      </c>
      <c r="Q320" t="s">
        <v>47</v>
      </c>
      <c r="R320" t="s">
        <v>48</v>
      </c>
      <c r="V320" t="s">
        <v>49</v>
      </c>
      <c r="X320" t="s">
        <v>49</v>
      </c>
      <c r="Y320" t="s">
        <v>70</v>
      </c>
      <c r="Z320" t="s">
        <v>603</v>
      </c>
      <c r="AA320" t="s">
        <v>603</v>
      </c>
    </row>
    <row r="321" spans="1:27" x14ac:dyDescent="0.35">
      <c r="A321" t="str">
        <f t="shared" si="9"/>
        <v>3101D7</v>
      </c>
      <c r="B321" t="str">
        <f t="shared" si="8"/>
        <v>3101</v>
      </c>
      <c r="C321" t="s">
        <v>611</v>
      </c>
      <c r="D321" t="s">
        <v>6</v>
      </c>
      <c r="E321" t="s">
        <v>94</v>
      </c>
      <c r="F321" t="s">
        <v>111</v>
      </c>
      <c r="G321" t="s">
        <v>104</v>
      </c>
      <c r="H321" t="s">
        <v>42</v>
      </c>
      <c r="I321" t="s">
        <v>43</v>
      </c>
      <c r="J321" t="s">
        <v>606</v>
      </c>
      <c r="M321" t="s">
        <v>106</v>
      </c>
      <c r="P321" t="s">
        <v>46</v>
      </c>
      <c r="Q321" t="s">
        <v>47</v>
      </c>
      <c r="R321" t="s">
        <v>48</v>
      </c>
      <c r="V321" t="s">
        <v>49</v>
      </c>
      <c r="X321" t="s">
        <v>49</v>
      </c>
      <c r="Y321" t="s">
        <v>59</v>
      </c>
      <c r="Z321" t="s">
        <v>612</v>
      </c>
      <c r="AA321" t="s">
        <v>594</v>
      </c>
    </row>
    <row r="322" spans="1:27" x14ac:dyDescent="0.35">
      <c r="A322" t="str">
        <f t="shared" si="9"/>
        <v>3010F2</v>
      </c>
      <c r="B322" t="str">
        <f t="shared" ref="B322:B385" si="10">LEFT($J:$J,4)</f>
        <v>3010</v>
      </c>
      <c r="C322" t="s">
        <v>613</v>
      </c>
      <c r="D322" t="s">
        <v>4</v>
      </c>
      <c r="E322" t="s">
        <v>77</v>
      </c>
      <c r="F322" t="s">
        <v>78</v>
      </c>
      <c r="G322" t="s">
        <v>104</v>
      </c>
      <c r="H322" t="s">
        <v>42</v>
      </c>
      <c r="I322" t="s">
        <v>67</v>
      </c>
      <c r="J322" t="s">
        <v>614</v>
      </c>
      <c r="M322" t="s">
        <v>106</v>
      </c>
      <c r="P322" t="s">
        <v>79</v>
      </c>
      <c r="Q322" t="s">
        <v>47</v>
      </c>
      <c r="R322" t="s">
        <v>48</v>
      </c>
      <c r="V322" t="s">
        <v>49</v>
      </c>
      <c r="X322" t="s">
        <v>49</v>
      </c>
      <c r="Y322" t="s">
        <v>74</v>
      </c>
      <c r="Z322" t="s">
        <v>615</v>
      </c>
      <c r="AA322" t="s">
        <v>615</v>
      </c>
    </row>
    <row r="323" spans="1:27" x14ac:dyDescent="0.35">
      <c r="A323" t="str">
        <f t="shared" ref="A323:A386" si="11">B323&amp;D323</f>
        <v>3010D4</v>
      </c>
      <c r="B323" t="str">
        <f t="shared" si="10"/>
        <v>3010</v>
      </c>
      <c r="C323" t="s">
        <v>616</v>
      </c>
      <c r="D323" t="s">
        <v>3</v>
      </c>
      <c r="E323" t="s">
        <v>52</v>
      </c>
      <c r="F323" t="s">
        <v>53</v>
      </c>
      <c r="G323" t="s">
        <v>104</v>
      </c>
      <c r="H323" t="s">
        <v>42</v>
      </c>
      <c r="I323" t="s">
        <v>43</v>
      </c>
      <c r="J323" t="s">
        <v>614</v>
      </c>
      <c r="K323" t="s">
        <v>56</v>
      </c>
      <c r="M323" t="s">
        <v>106</v>
      </c>
      <c r="P323" t="s">
        <v>58</v>
      </c>
      <c r="Q323" t="s">
        <v>47</v>
      </c>
      <c r="R323" t="s">
        <v>48</v>
      </c>
      <c r="V323" t="s">
        <v>49</v>
      </c>
      <c r="X323" t="s">
        <v>49</v>
      </c>
      <c r="Y323" t="s">
        <v>59</v>
      </c>
      <c r="Z323" t="s">
        <v>617</v>
      </c>
      <c r="AA323" t="s">
        <v>617</v>
      </c>
    </row>
    <row r="324" spans="1:27" x14ac:dyDescent="0.35">
      <c r="A324" t="str">
        <f t="shared" si="11"/>
        <v>3010D2</v>
      </c>
      <c r="B324" t="str">
        <f t="shared" si="10"/>
        <v>3010</v>
      </c>
      <c r="C324" t="s">
        <v>618</v>
      </c>
      <c r="D324" t="s">
        <v>2</v>
      </c>
      <c r="E324" t="s">
        <v>62</v>
      </c>
      <c r="F324" t="s">
        <v>63</v>
      </c>
      <c r="G324" t="s">
        <v>104</v>
      </c>
      <c r="H324" t="s">
        <v>42</v>
      </c>
      <c r="I324" t="s">
        <v>43</v>
      </c>
      <c r="J324" t="s">
        <v>614</v>
      </c>
      <c r="K324" t="s">
        <v>56</v>
      </c>
      <c r="M324" t="s">
        <v>106</v>
      </c>
      <c r="P324" t="s">
        <v>58</v>
      </c>
      <c r="Q324" t="s">
        <v>47</v>
      </c>
      <c r="R324" t="s">
        <v>48</v>
      </c>
      <c r="V324" t="s">
        <v>49</v>
      </c>
      <c r="X324" t="s">
        <v>49</v>
      </c>
      <c r="Y324" t="s">
        <v>59</v>
      </c>
      <c r="Z324" t="s">
        <v>617</v>
      </c>
      <c r="AA324" t="s">
        <v>617</v>
      </c>
    </row>
    <row r="325" spans="1:27" x14ac:dyDescent="0.35">
      <c r="A325" t="str">
        <f t="shared" si="11"/>
        <v>3010F3</v>
      </c>
      <c r="B325" t="str">
        <f t="shared" si="10"/>
        <v>3010</v>
      </c>
      <c r="C325" t="s">
        <v>619</v>
      </c>
      <c r="D325" t="s">
        <v>5</v>
      </c>
      <c r="E325" t="s">
        <v>40</v>
      </c>
      <c r="F325" t="s">
        <v>73</v>
      </c>
      <c r="G325" t="s">
        <v>104</v>
      </c>
      <c r="H325" t="s">
        <v>42</v>
      </c>
      <c r="I325" t="s">
        <v>67</v>
      </c>
      <c r="J325" t="s">
        <v>614</v>
      </c>
      <c r="M325" t="s">
        <v>106</v>
      </c>
      <c r="P325" t="s">
        <v>46</v>
      </c>
      <c r="Q325" t="s">
        <v>47</v>
      </c>
      <c r="R325" t="s">
        <v>48</v>
      </c>
      <c r="V325" t="s">
        <v>49</v>
      </c>
      <c r="X325" t="s">
        <v>49</v>
      </c>
      <c r="Y325" t="s">
        <v>74</v>
      </c>
      <c r="Z325" t="s">
        <v>615</v>
      </c>
      <c r="AA325" t="s">
        <v>615</v>
      </c>
    </row>
    <row r="326" spans="1:27" x14ac:dyDescent="0.35">
      <c r="A326" t="str">
        <f t="shared" si="11"/>
        <v>3010C2</v>
      </c>
      <c r="B326" t="str">
        <f t="shared" si="10"/>
        <v>3010</v>
      </c>
      <c r="C326" t="s">
        <v>620</v>
      </c>
      <c r="D326" t="s">
        <v>1</v>
      </c>
      <c r="E326" t="s">
        <v>65</v>
      </c>
      <c r="F326" t="s">
        <v>66</v>
      </c>
      <c r="G326" t="s">
        <v>104</v>
      </c>
      <c r="H326" t="s">
        <v>42</v>
      </c>
      <c r="I326" t="s">
        <v>67</v>
      </c>
      <c r="J326" t="s">
        <v>614</v>
      </c>
      <c r="M326" t="s">
        <v>106</v>
      </c>
      <c r="P326" t="s">
        <v>69</v>
      </c>
      <c r="Q326" t="s">
        <v>47</v>
      </c>
      <c r="R326" t="s">
        <v>48</v>
      </c>
      <c r="V326" t="s">
        <v>49</v>
      </c>
      <c r="X326" t="s">
        <v>49</v>
      </c>
      <c r="Y326" t="s">
        <v>70</v>
      </c>
      <c r="Z326" t="s">
        <v>621</v>
      </c>
      <c r="AA326" t="s">
        <v>621</v>
      </c>
    </row>
    <row r="327" spans="1:27" x14ac:dyDescent="0.35">
      <c r="A327" t="str">
        <f t="shared" si="11"/>
        <v>3010D7</v>
      </c>
      <c r="B327" t="str">
        <f t="shared" si="10"/>
        <v>3010</v>
      </c>
      <c r="C327" t="s">
        <v>622</v>
      </c>
      <c r="D327" t="s">
        <v>6</v>
      </c>
      <c r="E327" t="s">
        <v>94</v>
      </c>
      <c r="F327" t="s">
        <v>111</v>
      </c>
      <c r="G327" t="s">
        <v>104</v>
      </c>
      <c r="H327" t="s">
        <v>42</v>
      </c>
      <c r="I327" t="s">
        <v>43</v>
      </c>
      <c r="J327" t="s">
        <v>614</v>
      </c>
      <c r="M327" t="s">
        <v>106</v>
      </c>
      <c r="P327" t="s">
        <v>46</v>
      </c>
      <c r="Q327" t="s">
        <v>47</v>
      </c>
      <c r="R327" t="s">
        <v>48</v>
      </c>
      <c r="V327" t="s">
        <v>49</v>
      </c>
      <c r="X327" t="s">
        <v>49</v>
      </c>
      <c r="Y327" t="s">
        <v>59</v>
      </c>
      <c r="Z327" t="s">
        <v>623</v>
      </c>
      <c r="AA327" t="s">
        <v>623</v>
      </c>
    </row>
    <row r="328" spans="1:27" x14ac:dyDescent="0.35">
      <c r="A328" t="str">
        <f t="shared" si="11"/>
        <v>3604F2</v>
      </c>
      <c r="B328" t="str">
        <f t="shared" si="10"/>
        <v>3604</v>
      </c>
      <c r="C328" t="s">
        <v>624</v>
      </c>
      <c r="D328" t="s">
        <v>4</v>
      </c>
      <c r="E328" t="s">
        <v>77</v>
      </c>
      <c r="F328" t="s">
        <v>78</v>
      </c>
      <c r="G328" t="s">
        <v>104</v>
      </c>
      <c r="H328" t="s">
        <v>42</v>
      </c>
      <c r="I328" t="s">
        <v>67</v>
      </c>
      <c r="J328" t="s">
        <v>625</v>
      </c>
      <c r="M328" t="s">
        <v>106</v>
      </c>
      <c r="P328" t="s">
        <v>138</v>
      </c>
      <c r="Q328" t="s">
        <v>47</v>
      </c>
      <c r="R328" t="s">
        <v>48</v>
      </c>
      <c r="V328" t="s">
        <v>49</v>
      </c>
      <c r="X328" t="s">
        <v>49</v>
      </c>
      <c r="Y328" t="s">
        <v>74</v>
      </c>
      <c r="Z328" t="s">
        <v>456</v>
      </c>
      <c r="AA328" t="s">
        <v>456</v>
      </c>
    </row>
    <row r="329" spans="1:27" x14ac:dyDescent="0.35">
      <c r="A329" t="str">
        <f t="shared" si="11"/>
        <v>3604D4</v>
      </c>
      <c r="B329" t="str">
        <f t="shared" si="10"/>
        <v>3604</v>
      </c>
      <c r="C329" t="s">
        <v>626</v>
      </c>
      <c r="D329" t="s">
        <v>3</v>
      </c>
      <c r="E329" t="s">
        <v>52</v>
      </c>
      <c r="F329" t="s">
        <v>53</v>
      </c>
      <c r="G329" t="s">
        <v>104</v>
      </c>
      <c r="H329" t="s">
        <v>42</v>
      </c>
      <c r="I329" t="s">
        <v>43</v>
      </c>
      <c r="J329" t="s">
        <v>625</v>
      </c>
      <c r="K329" t="s">
        <v>56</v>
      </c>
      <c r="M329" t="s">
        <v>106</v>
      </c>
      <c r="P329" t="s">
        <v>58</v>
      </c>
      <c r="Q329" t="s">
        <v>47</v>
      </c>
      <c r="R329" t="s">
        <v>48</v>
      </c>
      <c r="V329" t="s">
        <v>49</v>
      </c>
      <c r="X329" t="s">
        <v>49</v>
      </c>
      <c r="Y329" t="s">
        <v>59</v>
      </c>
      <c r="Z329" t="s">
        <v>3647</v>
      </c>
      <c r="AA329" t="s">
        <v>3646</v>
      </c>
    </row>
    <row r="330" spans="1:27" x14ac:dyDescent="0.35">
      <c r="A330" t="str">
        <f t="shared" si="11"/>
        <v>3604D2</v>
      </c>
      <c r="B330" t="str">
        <f t="shared" si="10"/>
        <v>3604</v>
      </c>
      <c r="C330" t="s">
        <v>627</v>
      </c>
      <c r="D330" t="s">
        <v>2</v>
      </c>
      <c r="E330" t="s">
        <v>62</v>
      </c>
      <c r="F330" t="s">
        <v>63</v>
      </c>
      <c r="G330" t="s">
        <v>104</v>
      </c>
      <c r="H330" t="s">
        <v>42</v>
      </c>
      <c r="I330" t="s">
        <v>43</v>
      </c>
      <c r="J330" t="s">
        <v>625</v>
      </c>
      <c r="K330" t="s">
        <v>56</v>
      </c>
      <c r="M330" t="s">
        <v>106</v>
      </c>
      <c r="P330" t="s">
        <v>58</v>
      </c>
      <c r="Q330" t="s">
        <v>47</v>
      </c>
      <c r="R330" t="s">
        <v>48</v>
      </c>
      <c r="V330" t="s">
        <v>49</v>
      </c>
      <c r="X330" t="s">
        <v>49</v>
      </c>
      <c r="Y330" t="s">
        <v>59</v>
      </c>
      <c r="Z330" t="s">
        <v>3645</v>
      </c>
      <c r="AA330" t="s">
        <v>3645</v>
      </c>
    </row>
    <row r="331" spans="1:27" x14ac:dyDescent="0.35">
      <c r="A331" t="str">
        <f t="shared" si="11"/>
        <v>3604F3</v>
      </c>
      <c r="B331" t="str">
        <f t="shared" si="10"/>
        <v>3604</v>
      </c>
      <c r="C331" t="s">
        <v>628</v>
      </c>
      <c r="D331" t="s">
        <v>5</v>
      </c>
      <c r="E331" t="s">
        <v>40</v>
      </c>
      <c r="F331" t="s">
        <v>73</v>
      </c>
      <c r="G331" t="s">
        <v>104</v>
      </c>
      <c r="H331" t="s">
        <v>42</v>
      </c>
      <c r="I331" t="s">
        <v>67</v>
      </c>
      <c r="J331" t="s">
        <v>625</v>
      </c>
      <c r="M331" t="s">
        <v>106</v>
      </c>
      <c r="P331" t="s">
        <v>46</v>
      </c>
      <c r="Q331" t="s">
        <v>47</v>
      </c>
      <c r="R331" t="s">
        <v>48</v>
      </c>
      <c r="V331" t="s">
        <v>49</v>
      </c>
      <c r="X331" t="s">
        <v>49</v>
      </c>
      <c r="Y331" t="s">
        <v>74</v>
      </c>
      <c r="Z331" t="s">
        <v>419</v>
      </c>
      <c r="AA331" t="s">
        <v>419</v>
      </c>
    </row>
    <row r="332" spans="1:27" x14ac:dyDescent="0.35">
      <c r="A332" t="str">
        <f t="shared" si="11"/>
        <v>3604C2</v>
      </c>
      <c r="B332" t="str">
        <f t="shared" si="10"/>
        <v>3604</v>
      </c>
      <c r="C332" t="s">
        <v>629</v>
      </c>
      <c r="D332" t="s">
        <v>1</v>
      </c>
      <c r="E332" t="s">
        <v>65</v>
      </c>
      <c r="F332" t="s">
        <v>66</v>
      </c>
      <c r="G332" t="s">
        <v>104</v>
      </c>
      <c r="H332" t="s">
        <v>42</v>
      </c>
      <c r="I332" t="s">
        <v>67</v>
      </c>
      <c r="J332" t="s">
        <v>625</v>
      </c>
      <c r="M332" t="s">
        <v>106</v>
      </c>
      <c r="P332" t="s">
        <v>69</v>
      </c>
      <c r="Q332" t="s">
        <v>47</v>
      </c>
      <c r="R332" t="s">
        <v>48</v>
      </c>
      <c r="V332" t="s">
        <v>49</v>
      </c>
      <c r="X332" t="s">
        <v>49</v>
      </c>
      <c r="Y332" t="s">
        <v>70</v>
      </c>
      <c r="Z332" t="s">
        <v>3648</v>
      </c>
      <c r="AA332" t="s">
        <v>3648</v>
      </c>
    </row>
    <row r="333" spans="1:27" x14ac:dyDescent="0.35">
      <c r="A333" t="str">
        <f t="shared" si="11"/>
        <v>3604D7</v>
      </c>
      <c r="B333" t="str">
        <f t="shared" si="10"/>
        <v>3604</v>
      </c>
      <c r="C333" t="s">
        <v>630</v>
      </c>
      <c r="D333" t="s">
        <v>6</v>
      </c>
      <c r="E333" t="s">
        <v>94</v>
      </c>
      <c r="F333" t="s">
        <v>111</v>
      </c>
      <c r="G333" t="s">
        <v>104</v>
      </c>
      <c r="H333" t="s">
        <v>42</v>
      </c>
      <c r="I333" t="s">
        <v>43</v>
      </c>
      <c r="J333" t="s">
        <v>625</v>
      </c>
      <c r="M333" t="s">
        <v>106</v>
      </c>
      <c r="P333" t="s">
        <v>46</v>
      </c>
      <c r="Q333" t="s">
        <v>47</v>
      </c>
      <c r="R333" t="s">
        <v>48</v>
      </c>
      <c r="V333" t="s">
        <v>49</v>
      </c>
      <c r="X333" t="s">
        <v>49</v>
      </c>
      <c r="Y333" t="s">
        <v>59</v>
      </c>
      <c r="Z333" t="s">
        <v>422</v>
      </c>
      <c r="AA333" t="s">
        <v>422</v>
      </c>
    </row>
    <row r="334" spans="1:27" x14ac:dyDescent="0.35">
      <c r="A334" t="str">
        <f t="shared" si="11"/>
        <v>3603F2</v>
      </c>
      <c r="B334" t="str">
        <f t="shared" si="10"/>
        <v>3603</v>
      </c>
      <c r="C334" t="s">
        <v>631</v>
      </c>
      <c r="D334" t="s">
        <v>4</v>
      </c>
      <c r="E334" t="s">
        <v>77</v>
      </c>
      <c r="F334" t="s">
        <v>78</v>
      </c>
      <c r="G334" t="s">
        <v>104</v>
      </c>
      <c r="H334" t="s">
        <v>42</v>
      </c>
      <c r="I334" t="s">
        <v>67</v>
      </c>
      <c r="J334" t="s">
        <v>632</v>
      </c>
      <c r="M334" t="s">
        <v>106</v>
      </c>
      <c r="P334" t="s">
        <v>91</v>
      </c>
      <c r="Q334" t="s">
        <v>47</v>
      </c>
      <c r="R334" t="s">
        <v>48</v>
      </c>
      <c r="V334" t="s">
        <v>49</v>
      </c>
      <c r="X334" t="s">
        <v>49</v>
      </c>
      <c r="Y334" t="s">
        <v>74</v>
      </c>
      <c r="Z334" t="s">
        <v>456</v>
      </c>
      <c r="AA334" t="s">
        <v>456</v>
      </c>
    </row>
    <row r="335" spans="1:27" x14ac:dyDescent="0.35">
      <c r="A335" t="str">
        <f t="shared" si="11"/>
        <v>3603D4</v>
      </c>
      <c r="B335" t="str">
        <f t="shared" si="10"/>
        <v>3603</v>
      </c>
      <c r="C335" t="s">
        <v>633</v>
      </c>
      <c r="D335" t="s">
        <v>3</v>
      </c>
      <c r="E335" t="s">
        <v>52</v>
      </c>
      <c r="F335" t="s">
        <v>53</v>
      </c>
      <c r="G335" t="s">
        <v>104</v>
      </c>
      <c r="H335" t="s">
        <v>42</v>
      </c>
      <c r="I335" t="s">
        <v>43</v>
      </c>
      <c r="J335" t="s">
        <v>632</v>
      </c>
      <c r="K335" t="s">
        <v>56</v>
      </c>
      <c r="M335" t="s">
        <v>106</v>
      </c>
      <c r="P335" t="s">
        <v>58</v>
      </c>
      <c r="Q335" t="s">
        <v>47</v>
      </c>
      <c r="R335" t="s">
        <v>48</v>
      </c>
      <c r="V335" t="s">
        <v>49</v>
      </c>
      <c r="X335" t="s">
        <v>49</v>
      </c>
      <c r="Y335" t="s">
        <v>59</v>
      </c>
      <c r="Z335" t="s">
        <v>3649</v>
      </c>
      <c r="AA335" t="s">
        <v>3649</v>
      </c>
    </row>
    <row r="336" spans="1:27" x14ac:dyDescent="0.35">
      <c r="A336" t="str">
        <f t="shared" si="11"/>
        <v>3603D2</v>
      </c>
      <c r="B336" t="str">
        <f t="shared" si="10"/>
        <v>3603</v>
      </c>
      <c r="C336" t="s">
        <v>634</v>
      </c>
      <c r="D336" t="s">
        <v>2</v>
      </c>
      <c r="E336" t="s">
        <v>62</v>
      </c>
      <c r="F336" t="s">
        <v>63</v>
      </c>
      <c r="G336" t="s">
        <v>104</v>
      </c>
      <c r="H336" t="s">
        <v>42</v>
      </c>
      <c r="I336" t="s">
        <v>43</v>
      </c>
      <c r="J336" t="s">
        <v>632</v>
      </c>
      <c r="K336" t="s">
        <v>56</v>
      </c>
      <c r="M336" t="s">
        <v>106</v>
      </c>
      <c r="P336" t="s">
        <v>58</v>
      </c>
      <c r="Q336" t="s">
        <v>47</v>
      </c>
      <c r="R336" t="s">
        <v>48</v>
      </c>
      <c r="V336" t="s">
        <v>49</v>
      </c>
      <c r="X336" t="s">
        <v>49</v>
      </c>
      <c r="Y336" t="s">
        <v>59</v>
      </c>
      <c r="Z336" t="s">
        <v>3650</v>
      </c>
      <c r="AA336" t="s">
        <v>3650</v>
      </c>
    </row>
    <row r="337" spans="1:27" x14ac:dyDescent="0.35">
      <c r="A337" t="str">
        <f t="shared" si="11"/>
        <v>3603F3</v>
      </c>
      <c r="B337" t="str">
        <f t="shared" si="10"/>
        <v>3603</v>
      </c>
      <c r="C337" t="s">
        <v>635</v>
      </c>
      <c r="D337" t="s">
        <v>5</v>
      </c>
      <c r="E337" t="s">
        <v>40</v>
      </c>
      <c r="F337" t="s">
        <v>73</v>
      </c>
      <c r="G337" t="s">
        <v>104</v>
      </c>
      <c r="H337" t="s">
        <v>42</v>
      </c>
      <c r="I337" t="s">
        <v>67</v>
      </c>
      <c r="J337" t="s">
        <v>632</v>
      </c>
      <c r="M337" t="s">
        <v>106</v>
      </c>
      <c r="P337" t="s">
        <v>46</v>
      </c>
      <c r="Q337" t="s">
        <v>47</v>
      </c>
      <c r="R337" t="s">
        <v>48</v>
      </c>
      <c r="V337" t="s">
        <v>49</v>
      </c>
      <c r="X337" t="s">
        <v>49</v>
      </c>
      <c r="Y337" t="s">
        <v>74</v>
      </c>
      <c r="Z337" t="s">
        <v>419</v>
      </c>
      <c r="AA337" t="s">
        <v>419</v>
      </c>
    </row>
    <row r="338" spans="1:27" x14ac:dyDescent="0.35">
      <c r="A338" t="str">
        <f t="shared" si="11"/>
        <v>3603C2</v>
      </c>
      <c r="B338" t="str">
        <f t="shared" si="10"/>
        <v>3603</v>
      </c>
      <c r="C338" t="s">
        <v>636</v>
      </c>
      <c r="D338" t="s">
        <v>1</v>
      </c>
      <c r="E338" t="s">
        <v>65</v>
      </c>
      <c r="F338" t="s">
        <v>66</v>
      </c>
      <c r="G338" t="s">
        <v>104</v>
      </c>
      <c r="H338" t="s">
        <v>42</v>
      </c>
      <c r="I338" t="s">
        <v>67</v>
      </c>
      <c r="J338" t="s">
        <v>632</v>
      </c>
      <c r="M338" t="s">
        <v>106</v>
      </c>
      <c r="P338" t="s">
        <v>69</v>
      </c>
      <c r="Q338" t="s">
        <v>47</v>
      </c>
      <c r="R338" t="s">
        <v>48</v>
      </c>
      <c r="V338" t="s">
        <v>49</v>
      </c>
      <c r="X338" t="s">
        <v>49</v>
      </c>
      <c r="Y338" t="s">
        <v>70</v>
      </c>
      <c r="Z338" t="s">
        <v>3650</v>
      </c>
      <c r="AA338" t="s">
        <v>3650</v>
      </c>
    </row>
    <row r="339" spans="1:27" x14ac:dyDescent="0.35">
      <c r="A339" t="str">
        <f t="shared" si="11"/>
        <v>3603D7</v>
      </c>
      <c r="B339" t="str">
        <f t="shared" si="10"/>
        <v>3603</v>
      </c>
      <c r="C339" t="s">
        <v>637</v>
      </c>
      <c r="D339" t="s">
        <v>6</v>
      </c>
      <c r="E339" t="s">
        <v>94</v>
      </c>
      <c r="F339" t="s">
        <v>111</v>
      </c>
      <c r="G339" t="s">
        <v>104</v>
      </c>
      <c r="H339" t="s">
        <v>42</v>
      </c>
      <c r="I339" t="s">
        <v>43</v>
      </c>
      <c r="J339" t="s">
        <v>632</v>
      </c>
      <c r="M339" t="s">
        <v>106</v>
      </c>
      <c r="P339" t="s">
        <v>46</v>
      </c>
      <c r="Q339" t="s">
        <v>47</v>
      </c>
      <c r="R339" t="s">
        <v>48</v>
      </c>
      <c r="V339" t="s">
        <v>49</v>
      </c>
      <c r="X339" t="s">
        <v>49</v>
      </c>
      <c r="Y339" t="s">
        <v>59</v>
      </c>
      <c r="Z339" t="s">
        <v>422</v>
      </c>
      <c r="AA339" t="s">
        <v>422</v>
      </c>
    </row>
    <row r="340" spans="1:27" x14ac:dyDescent="0.35">
      <c r="A340" t="str">
        <f t="shared" si="11"/>
        <v>3602F2</v>
      </c>
      <c r="B340" t="str">
        <f t="shared" si="10"/>
        <v>3602</v>
      </c>
      <c r="C340" t="s">
        <v>638</v>
      </c>
      <c r="D340" t="s">
        <v>4</v>
      </c>
      <c r="E340" t="s">
        <v>77</v>
      </c>
      <c r="F340" t="s">
        <v>78</v>
      </c>
      <c r="G340" t="s">
        <v>104</v>
      </c>
      <c r="H340" t="s">
        <v>42</v>
      </c>
      <c r="I340" t="s">
        <v>67</v>
      </c>
      <c r="J340" t="s">
        <v>639</v>
      </c>
      <c r="M340" t="s">
        <v>106</v>
      </c>
      <c r="P340" t="s">
        <v>91</v>
      </c>
      <c r="Q340" t="s">
        <v>47</v>
      </c>
      <c r="R340" t="s">
        <v>48</v>
      </c>
      <c r="V340" t="s">
        <v>49</v>
      </c>
      <c r="X340" t="s">
        <v>49</v>
      </c>
      <c r="Y340" t="s">
        <v>74</v>
      </c>
      <c r="Z340" t="s">
        <v>456</v>
      </c>
      <c r="AA340" t="s">
        <v>456</v>
      </c>
    </row>
    <row r="341" spans="1:27" x14ac:dyDescent="0.35">
      <c r="A341" t="str">
        <f t="shared" si="11"/>
        <v>3602D4</v>
      </c>
      <c r="B341" t="str">
        <f t="shared" si="10"/>
        <v>3602</v>
      </c>
      <c r="C341" t="s">
        <v>640</v>
      </c>
      <c r="D341" t="s">
        <v>3</v>
      </c>
      <c r="E341" t="s">
        <v>52</v>
      </c>
      <c r="F341" t="s">
        <v>53</v>
      </c>
      <c r="G341" t="s">
        <v>104</v>
      </c>
      <c r="H341" t="s">
        <v>42</v>
      </c>
      <c r="I341" t="s">
        <v>43</v>
      </c>
      <c r="J341" t="s">
        <v>639</v>
      </c>
      <c r="K341" t="s">
        <v>56</v>
      </c>
      <c r="M341" t="s">
        <v>106</v>
      </c>
      <c r="P341" t="s">
        <v>58</v>
      </c>
      <c r="Q341" t="s">
        <v>47</v>
      </c>
      <c r="R341" t="s">
        <v>48</v>
      </c>
      <c r="V341" t="s">
        <v>49</v>
      </c>
      <c r="X341" t="s">
        <v>49</v>
      </c>
      <c r="Y341" t="s">
        <v>59</v>
      </c>
      <c r="Z341" t="s">
        <v>3646</v>
      </c>
      <c r="AA341" t="s">
        <v>3646</v>
      </c>
    </row>
    <row r="342" spans="1:27" x14ac:dyDescent="0.35">
      <c r="A342" t="str">
        <f t="shared" si="11"/>
        <v>3602D2</v>
      </c>
      <c r="B342" t="str">
        <f t="shared" si="10"/>
        <v>3602</v>
      </c>
      <c r="C342" t="s">
        <v>641</v>
      </c>
      <c r="D342" t="s">
        <v>2</v>
      </c>
      <c r="E342" t="s">
        <v>62</v>
      </c>
      <c r="F342" t="s">
        <v>63</v>
      </c>
      <c r="G342" t="s">
        <v>104</v>
      </c>
      <c r="H342" t="s">
        <v>42</v>
      </c>
      <c r="I342" t="s">
        <v>43</v>
      </c>
      <c r="J342" t="s">
        <v>639</v>
      </c>
      <c r="K342" t="s">
        <v>56</v>
      </c>
      <c r="M342" t="s">
        <v>106</v>
      </c>
      <c r="P342" t="s">
        <v>58</v>
      </c>
      <c r="Q342" t="s">
        <v>47</v>
      </c>
      <c r="R342" t="s">
        <v>48</v>
      </c>
      <c r="V342" t="s">
        <v>49</v>
      </c>
      <c r="X342" t="s">
        <v>49</v>
      </c>
      <c r="Y342" t="s">
        <v>59</v>
      </c>
      <c r="Z342" t="s">
        <v>3645</v>
      </c>
      <c r="AA342" t="s">
        <v>3645</v>
      </c>
    </row>
    <row r="343" spans="1:27" x14ac:dyDescent="0.35">
      <c r="A343" t="str">
        <f t="shared" si="11"/>
        <v>3602F3</v>
      </c>
      <c r="B343" t="str">
        <f t="shared" si="10"/>
        <v>3602</v>
      </c>
      <c r="C343" t="s">
        <v>642</v>
      </c>
      <c r="D343" t="s">
        <v>5</v>
      </c>
      <c r="E343" t="s">
        <v>40</v>
      </c>
      <c r="F343" t="s">
        <v>73</v>
      </c>
      <c r="G343" t="s">
        <v>104</v>
      </c>
      <c r="H343" t="s">
        <v>42</v>
      </c>
      <c r="I343" t="s">
        <v>67</v>
      </c>
      <c r="J343" t="s">
        <v>639</v>
      </c>
      <c r="M343" t="s">
        <v>106</v>
      </c>
      <c r="P343" t="s">
        <v>46</v>
      </c>
      <c r="Q343" t="s">
        <v>47</v>
      </c>
      <c r="R343" t="s">
        <v>48</v>
      </c>
      <c r="V343" t="s">
        <v>49</v>
      </c>
      <c r="X343" t="s">
        <v>49</v>
      </c>
      <c r="Y343" t="s">
        <v>74</v>
      </c>
      <c r="Z343" t="s">
        <v>643</v>
      </c>
      <c r="AA343" t="s">
        <v>643</v>
      </c>
    </row>
    <row r="344" spans="1:27" x14ac:dyDescent="0.35">
      <c r="A344" t="str">
        <f t="shared" si="11"/>
        <v>3602C2</v>
      </c>
      <c r="B344" t="str">
        <f t="shared" si="10"/>
        <v>3602</v>
      </c>
      <c r="C344" t="s">
        <v>644</v>
      </c>
      <c r="D344" t="s">
        <v>1</v>
      </c>
      <c r="E344" t="s">
        <v>65</v>
      </c>
      <c r="F344" t="s">
        <v>66</v>
      </c>
      <c r="G344" t="s">
        <v>104</v>
      </c>
      <c r="H344" t="s">
        <v>42</v>
      </c>
      <c r="I344" t="s">
        <v>67</v>
      </c>
      <c r="J344" t="s">
        <v>639</v>
      </c>
      <c r="M344" t="s">
        <v>106</v>
      </c>
      <c r="P344" t="s">
        <v>69</v>
      </c>
      <c r="Q344" t="s">
        <v>47</v>
      </c>
      <c r="R344" t="s">
        <v>48</v>
      </c>
      <c r="V344" t="s">
        <v>49</v>
      </c>
      <c r="X344" t="s">
        <v>49</v>
      </c>
      <c r="Y344" t="s">
        <v>70</v>
      </c>
      <c r="Z344" t="s">
        <v>3648</v>
      </c>
      <c r="AA344" t="s">
        <v>3648</v>
      </c>
    </row>
    <row r="345" spans="1:27" x14ac:dyDescent="0.35">
      <c r="A345" t="str">
        <f t="shared" si="11"/>
        <v>3602D7</v>
      </c>
      <c r="B345" t="str">
        <f t="shared" si="10"/>
        <v>3602</v>
      </c>
      <c r="C345" t="s">
        <v>645</v>
      </c>
      <c r="D345" t="s">
        <v>6</v>
      </c>
      <c r="E345" t="s">
        <v>94</v>
      </c>
      <c r="F345" t="s">
        <v>111</v>
      </c>
      <c r="G345" t="s">
        <v>104</v>
      </c>
      <c r="H345" t="s">
        <v>42</v>
      </c>
      <c r="I345" t="s">
        <v>43</v>
      </c>
      <c r="J345" t="s">
        <v>639</v>
      </c>
      <c r="M345" t="s">
        <v>106</v>
      </c>
      <c r="P345" t="s">
        <v>46</v>
      </c>
      <c r="Q345" t="s">
        <v>47</v>
      </c>
      <c r="R345" t="s">
        <v>48</v>
      </c>
      <c r="V345" t="s">
        <v>49</v>
      </c>
      <c r="X345" t="s">
        <v>49</v>
      </c>
      <c r="Y345" t="s">
        <v>59</v>
      </c>
      <c r="Z345" t="s">
        <v>646</v>
      </c>
      <c r="AA345" t="s">
        <v>646</v>
      </c>
    </row>
    <row r="346" spans="1:27" x14ac:dyDescent="0.35">
      <c r="A346" t="str">
        <f t="shared" si="11"/>
        <v>3607F2</v>
      </c>
      <c r="B346" t="str">
        <f t="shared" si="10"/>
        <v>3607</v>
      </c>
      <c r="C346" t="s">
        <v>647</v>
      </c>
      <c r="D346" t="s">
        <v>4</v>
      </c>
      <c r="E346" t="s">
        <v>77</v>
      </c>
      <c r="F346" t="s">
        <v>78</v>
      </c>
      <c r="G346" t="s">
        <v>104</v>
      </c>
      <c r="H346" t="s">
        <v>42</v>
      </c>
      <c r="I346" t="s">
        <v>67</v>
      </c>
      <c r="J346" t="s">
        <v>648</v>
      </c>
      <c r="M346" t="s">
        <v>106</v>
      </c>
      <c r="P346" t="s">
        <v>79</v>
      </c>
      <c r="Q346" t="s">
        <v>47</v>
      </c>
      <c r="R346" t="s">
        <v>48</v>
      </c>
      <c r="V346" t="s">
        <v>49</v>
      </c>
      <c r="X346" t="s">
        <v>49</v>
      </c>
      <c r="Y346" t="s">
        <v>74</v>
      </c>
      <c r="Z346" t="s">
        <v>456</v>
      </c>
      <c r="AA346" t="s">
        <v>456</v>
      </c>
    </row>
    <row r="347" spans="1:27" x14ac:dyDescent="0.35">
      <c r="A347" t="str">
        <f t="shared" si="11"/>
        <v>3607D4</v>
      </c>
      <c r="B347" t="str">
        <f t="shared" si="10"/>
        <v>3607</v>
      </c>
      <c r="C347" t="s">
        <v>649</v>
      </c>
      <c r="D347" t="s">
        <v>3</v>
      </c>
      <c r="E347" t="s">
        <v>52</v>
      </c>
      <c r="F347" t="s">
        <v>53</v>
      </c>
      <c r="G347" t="s">
        <v>104</v>
      </c>
      <c r="H347" t="s">
        <v>42</v>
      </c>
      <c r="I347" t="s">
        <v>43</v>
      </c>
      <c r="J347" t="s">
        <v>648</v>
      </c>
      <c r="K347" t="s">
        <v>56</v>
      </c>
      <c r="M347" t="s">
        <v>106</v>
      </c>
      <c r="P347" t="s">
        <v>58</v>
      </c>
      <c r="Q347" t="s">
        <v>47</v>
      </c>
      <c r="R347" t="s">
        <v>48</v>
      </c>
      <c r="V347" t="s">
        <v>49</v>
      </c>
      <c r="X347" t="s">
        <v>49</v>
      </c>
      <c r="Y347" t="s">
        <v>59</v>
      </c>
      <c r="Z347" t="s">
        <v>3646</v>
      </c>
      <c r="AA347" t="s">
        <v>3646</v>
      </c>
    </row>
    <row r="348" spans="1:27" x14ac:dyDescent="0.35">
      <c r="A348" t="str">
        <f t="shared" si="11"/>
        <v>3607D2</v>
      </c>
      <c r="B348" t="str">
        <f t="shared" si="10"/>
        <v>3607</v>
      </c>
      <c r="C348" t="s">
        <v>650</v>
      </c>
      <c r="D348" t="s">
        <v>2</v>
      </c>
      <c r="E348" t="s">
        <v>62</v>
      </c>
      <c r="F348" t="s">
        <v>63</v>
      </c>
      <c r="G348" t="s">
        <v>104</v>
      </c>
      <c r="H348" t="s">
        <v>42</v>
      </c>
      <c r="I348" t="s">
        <v>43</v>
      </c>
      <c r="J348" t="s">
        <v>648</v>
      </c>
      <c r="K348" t="s">
        <v>56</v>
      </c>
      <c r="M348" t="s">
        <v>106</v>
      </c>
      <c r="P348" t="s">
        <v>58</v>
      </c>
      <c r="Q348" t="s">
        <v>47</v>
      </c>
      <c r="R348" t="s">
        <v>48</v>
      </c>
      <c r="V348" t="s">
        <v>49</v>
      </c>
      <c r="X348" t="s">
        <v>49</v>
      </c>
      <c r="Y348" t="s">
        <v>59</v>
      </c>
      <c r="Z348" t="s">
        <v>3645</v>
      </c>
      <c r="AA348" t="s">
        <v>3645</v>
      </c>
    </row>
    <row r="349" spans="1:27" x14ac:dyDescent="0.35">
      <c r="A349" t="str">
        <f t="shared" si="11"/>
        <v>3607F3</v>
      </c>
      <c r="B349" t="str">
        <f t="shared" si="10"/>
        <v>3607</v>
      </c>
      <c r="C349" t="s">
        <v>651</v>
      </c>
      <c r="D349" t="s">
        <v>5</v>
      </c>
      <c r="E349" t="s">
        <v>40</v>
      </c>
      <c r="F349" t="s">
        <v>73</v>
      </c>
      <c r="G349" t="s">
        <v>104</v>
      </c>
      <c r="H349" t="s">
        <v>42</v>
      </c>
      <c r="I349" t="s">
        <v>67</v>
      </c>
      <c r="J349" t="s">
        <v>648</v>
      </c>
      <c r="M349" t="s">
        <v>106</v>
      </c>
      <c r="P349" t="s">
        <v>46</v>
      </c>
      <c r="Q349" t="s">
        <v>47</v>
      </c>
      <c r="R349" t="s">
        <v>48</v>
      </c>
      <c r="V349" t="s">
        <v>49</v>
      </c>
      <c r="X349" t="s">
        <v>49</v>
      </c>
      <c r="Y349" t="s">
        <v>74</v>
      </c>
      <c r="Z349" t="s">
        <v>643</v>
      </c>
      <c r="AA349" t="s">
        <v>643</v>
      </c>
    </row>
    <row r="350" spans="1:27" x14ac:dyDescent="0.35">
      <c r="A350" t="str">
        <f t="shared" si="11"/>
        <v>3607C2</v>
      </c>
      <c r="B350" t="str">
        <f t="shared" si="10"/>
        <v>3607</v>
      </c>
      <c r="C350" t="s">
        <v>652</v>
      </c>
      <c r="D350" t="s">
        <v>1</v>
      </c>
      <c r="E350" t="s">
        <v>65</v>
      </c>
      <c r="F350" t="s">
        <v>66</v>
      </c>
      <c r="G350" t="s">
        <v>104</v>
      </c>
      <c r="H350" t="s">
        <v>42</v>
      </c>
      <c r="I350" t="s">
        <v>67</v>
      </c>
      <c r="J350" t="s">
        <v>648</v>
      </c>
      <c r="M350" t="s">
        <v>106</v>
      </c>
      <c r="P350" t="s">
        <v>69</v>
      </c>
      <c r="Q350" t="s">
        <v>47</v>
      </c>
      <c r="R350" t="s">
        <v>48</v>
      </c>
      <c r="V350" t="s">
        <v>49</v>
      </c>
      <c r="X350" t="s">
        <v>49</v>
      </c>
      <c r="Y350" t="s">
        <v>70</v>
      </c>
      <c r="Z350" t="s">
        <v>3648</v>
      </c>
      <c r="AA350" t="s">
        <v>3648</v>
      </c>
    </row>
    <row r="351" spans="1:27" x14ac:dyDescent="0.35">
      <c r="A351" t="str">
        <f t="shared" si="11"/>
        <v>3607D7</v>
      </c>
      <c r="B351" t="str">
        <f t="shared" si="10"/>
        <v>3607</v>
      </c>
      <c r="C351" t="s">
        <v>653</v>
      </c>
      <c r="D351" t="s">
        <v>6</v>
      </c>
      <c r="E351" t="s">
        <v>94</v>
      </c>
      <c r="F351" t="s">
        <v>111</v>
      </c>
      <c r="G351" t="s">
        <v>104</v>
      </c>
      <c r="H351" t="s">
        <v>42</v>
      </c>
      <c r="I351" t="s">
        <v>43</v>
      </c>
      <c r="J351" t="s">
        <v>648</v>
      </c>
      <c r="M351" t="s">
        <v>106</v>
      </c>
      <c r="P351" t="s">
        <v>46</v>
      </c>
      <c r="Q351" t="s">
        <v>47</v>
      </c>
      <c r="R351" t="s">
        <v>48</v>
      </c>
      <c r="V351" t="s">
        <v>49</v>
      </c>
      <c r="X351" t="s">
        <v>49</v>
      </c>
      <c r="Y351" t="s">
        <v>59</v>
      </c>
      <c r="Z351" t="s">
        <v>654</v>
      </c>
      <c r="AA351" t="s">
        <v>655</v>
      </c>
    </row>
    <row r="352" spans="1:27" x14ac:dyDescent="0.35">
      <c r="A352" t="str">
        <f t="shared" si="11"/>
        <v>3608F2</v>
      </c>
      <c r="B352" t="str">
        <f t="shared" si="10"/>
        <v>3608</v>
      </c>
      <c r="C352" t="s">
        <v>656</v>
      </c>
      <c r="D352" t="s">
        <v>4</v>
      </c>
      <c r="E352" t="s">
        <v>77</v>
      </c>
      <c r="F352" t="s">
        <v>78</v>
      </c>
      <c r="G352" t="s">
        <v>104</v>
      </c>
      <c r="H352" t="s">
        <v>42</v>
      </c>
      <c r="I352" t="s">
        <v>67</v>
      </c>
      <c r="J352" t="s">
        <v>657</v>
      </c>
      <c r="M352" t="s">
        <v>106</v>
      </c>
      <c r="P352" t="s">
        <v>189</v>
      </c>
      <c r="Q352" t="s">
        <v>47</v>
      </c>
      <c r="R352" t="s">
        <v>48</v>
      </c>
      <c r="V352" t="s">
        <v>49</v>
      </c>
      <c r="X352" t="s">
        <v>49</v>
      </c>
      <c r="Y352" t="s">
        <v>74</v>
      </c>
      <c r="Z352" t="s">
        <v>456</v>
      </c>
      <c r="AA352" t="s">
        <v>456</v>
      </c>
    </row>
    <row r="353" spans="1:27" x14ac:dyDescent="0.35">
      <c r="A353" t="str">
        <f t="shared" si="11"/>
        <v>3608D4</v>
      </c>
      <c r="B353" t="str">
        <f t="shared" si="10"/>
        <v>3608</v>
      </c>
      <c r="C353" t="s">
        <v>658</v>
      </c>
      <c r="D353" t="s">
        <v>3</v>
      </c>
      <c r="E353" t="s">
        <v>52</v>
      </c>
      <c r="F353" t="s">
        <v>53</v>
      </c>
      <c r="G353" t="s">
        <v>104</v>
      </c>
      <c r="H353" t="s">
        <v>42</v>
      </c>
      <c r="I353" t="s">
        <v>43</v>
      </c>
      <c r="J353" t="s">
        <v>657</v>
      </c>
      <c r="K353" t="s">
        <v>56</v>
      </c>
      <c r="M353" t="s">
        <v>106</v>
      </c>
      <c r="P353" t="s">
        <v>58</v>
      </c>
      <c r="Q353" t="s">
        <v>47</v>
      </c>
      <c r="R353" t="s">
        <v>48</v>
      </c>
      <c r="V353" t="s">
        <v>49</v>
      </c>
      <c r="X353" t="s">
        <v>49</v>
      </c>
      <c r="Y353" t="s">
        <v>59</v>
      </c>
      <c r="Z353" t="s">
        <v>3646</v>
      </c>
      <c r="AA353" t="s">
        <v>3646</v>
      </c>
    </row>
    <row r="354" spans="1:27" x14ac:dyDescent="0.35">
      <c r="A354" t="str">
        <f t="shared" si="11"/>
        <v>3608D2</v>
      </c>
      <c r="B354" t="str">
        <f t="shared" si="10"/>
        <v>3608</v>
      </c>
      <c r="C354" t="s">
        <v>659</v>
      </c>
      <c r="D354" t="s">
        <v>2</v>
      </c>
      <c r="E354" t="s">
        <v>62</v>
      </c>
      <c r="F354" t="s">
        <v>63</v>
      </c>
      <c r="G354" t="s">
        <v>104</v>
      </c>
      <c r="H354" t="s">
        <v>42</v>
      </c>
      <c r="I354" t="s">
        <v>43</v>
      </c>
      <c r="J354" t="s">
        <v>657</v>
      </c>
      <c r="K354" t="s">
        <v>56</v>
      </c>
      <c r="M354" t="s">
        <v>106</v>
      </c>
      <c r="P354" t="s">
        <v>58</v>
      </c>
      <c r="Q354" t="s">
        <v>47</v>
      </c>
      <c r="R354" t="s">
        <v>48</v>
      </c>
      <c r="V354" t="s">
        <v>49</v>
      </c>
      <c r="X354" t="s">
        <v>49</v>
      </c>
      <c r="Y354" t="s">
        <v>59</v>
      </c>
      <c r="Z354" t="s">
        <v>3645</v>
      </c>
      <c r="AA354" t="s">
        <v>3645</v>
      </c>
    </row>
    <row r="355" spans="1:27" x14ac:dyDescent="0.35">
      <c r="A355" t="str">
        <f t="shared" si="11"/>
        <v>3608F3</v>
      </c>
      <c r="B355" t="str">
        <f t="shared" si="10"/>
        <v>3608</v>
      </c>
      <c r="C355" t="s">
        <v>660</v>
      </c>
      <c r="D355" t="s">
        <v>5</v>
      </c>
      <c r="E355" t="s">
        <v>40</v>
      </c>
      <c r="F355" t="s">
        <v>73</v>
      </c>
      <c r="G355" t="s">
        <v>104</v>
      </c>
      <c r="H355" t="s">
        <v>42</v>
      </c>
      <c r="I355" t="s">
        <v>67</v>
      </c>
      <c r="J355" t="s">
        <v>657</v>
      </c>
      <c r="M355" t="s">
        <v>106</v>
      </c>
      <c r="P355" t="s">
        <v>46</v>
      </c>
      <c r="Q355" t="s">
        <v>47</v>
      </c>
      <c r="R355" t="s">
        <v>48</v>
      </c>
      <c r="V355" t="s">
        <v>49</v>
      </c>
      <c r="X355" t="s">
        <v>49</v>
      </c>
      <c r="Y355" t="s">
        <v>74</v>
      </c>
      <c r="Z355" t="s">
        <v>643</v>
      </c>
      <c r="AA355" t="s">
        <v>643</v>
      </c>
    </row>
    <row r="356" spans="1:27" x14ac:dyDescent="0.35">
      <c r="A356" t="str">
        <f t="shared" si="11"/>
        <v>3608C2</v>
      </c>
      <c r="B356" t="str">
        <f t="shared" si="10"/>
        <v>3608</v>
      </c>
      <c r="C356" t="s">
        <v>661</v>
      </c>
      <c r="D356" t="s">
        <v>1</v>
      </c>
      <c r="E356" t="s">
        <v>65</v>
      </c>
      <c r="F356" t="s">
        <v>66</v>
      </c>
      <c r="G356" t="s">
        <v>104</v>
      </c>
      <c r="H356" t="s">
        <v>42</v>
      </c>
      <c r="I356" t="s">
        <v>67</v>
      </c>
      <c r="J356" t="s">
        <v>657</v>
      </c>
      <c r="M356" t="s">
        <v>106</v>
      </c>
      <c r="P356" t="s">
        <v>69</v>
      </c>
      <c r="Q356" t="s">
        <v>47</v>
      </c>
      <c r="R356" t="s">
        <v>48</v>
      </c>
      <c r="V356" t="s">
        <v>49</v>
      </c>
      <c r="X356" t="s">
        <v>49</v>
      </c>
      <c r="Y356" t="s">
        <v>70</v>
      </c>
      <c r="Z356" t="s">
        <v>3645</v>
      </c>
      <c r="AA356" t="s">
        <v>3645</v>
      </c>
    </row>
    <row r="357" spans="1:27" x14ac:dyDescent="0.35">
      <c r="A357" t="str">
        <f t="shared" si="11"/>
        <v>3608D7</v>
      </c>
      <c r="B357" t="str">
        <f t="shared" si="10"/>
        <v>3608</v>
      </c>
      <c r="C357" t="s">
        <v>662</v>
      </c>
      <c r="D357" t="s">
        <v>6</v>
      </c>
      <c r="E357" t="s">
        <v>94</v>
      </c>
      <c r="F357" t="s">
        <v>111</v>
      </c>
      <c r="G357" t="s">
        <v>104</v>
      </c>
      <c r="H357" t="s">
        <v>42</v>
      </c>
      <c r="I357" t="s">
        <v>43</v>
      </c>
      <c r="J357" t="s">
        <v>657</v>
      </c>
      <c r="M357" t="s">
        <v>106</v>
      </c>
      <c r="P357" t="s">
        <v>46</v>
      </c>
      <c r="Q357" t="s">
        <v>47</v>
      </c>
      <c r="R357" t="s">
        <v>48</v>
      </c>
      <c r="V357" t="s">
        <v>49</v>
      </c>
      <c r="X357" t="s">
        <v>49</v>
      </c>
      <c r="Y357" t="s">
        <v>59</v>
      </c>
      <c r="Z357" t="s">
        <v>655</v>
      </c>
      <c r="AA357" t="s">
        <v>655</v>
      </c>
    </row>
    <row r="358" spans="1:27" x14ac:dyDescent="0.35">
      <c r="A358" t="str">
        <f t="shared" si="11"/>
        <v>3609F2</v>
      </c>
      <c r="B358" t="str">
        <f t="shared" si="10"/>
        <v>3609</v>
      </c>
      <c r="C358" t="s">
        <v>663</v>
      </c>
      <c r="D358" t="s">
        <v>4</v>
      </c>
      <c r="E358" t="s">
        <v>77</v>
      </c>
      <c r="F358" t="s">
        <v>78</v>
      </c>
      <c r="G358" t="s">
        <v>104</v>
      </c>
      <c r="H358" t="s">
        <v>42</v>
      </c>
      <c r="I358" t="s">
        <v>67</v>
      </c>
      <c r="J358" t="s">
        <v>664</v>
      </c>
      <c r="M358" t="s">
        <v>106</v>
      </c>
      <c r="P358" t="s">
        <v>304</v>
      </c>
      <c r="Q358" t="s">
        <v>47</v>
      </c>
      <c r="R358" t="s">
        <v>48</v>
      </c>
      <c r="V358" t="s">
        <v>49</v>
      </c>
      <c r="X358" t="s">
        <v>49</v>
      </c>
      <c r="Y358" t="s">
        <v>74</v>
      </c>
      <c r="Z358" t="s">
        <v>665</v>
      </c>
      <c r="AA358" t="s">
        <v>665</v>
      </c>
    </row>
    <row r="359" spans="1:27" x14ac:dyDescent="0.35">
      <c r="A359" t="str">
        <f t="shared" si="11"/>
        <v>3609D4</v>
      </c>
      <c r="B359" t="str">
        <f t="shared" si="10"/>
        <v>3609</v>
      </c>
      <c r="C359" t="s">
        <v>666</v>
      </c>
      <c r="D359" t="s">
        <v>3</v>
      </c>
      <c r="E359" t="s">
        <v>52</v>
      </c>
      <c r="F359" t="s">
        <v>53</v>
      </c>
      <c r="G359" t="s">
        <v>104</v>
      </c>
      <c r="H359" t="s">
        <v>42</v>
      </c>
      <c r="I359" t="s">
        <v>43</v>
      </c>
      <c r="J359" t="s">
        <v>664</v>
      </c>
      <c r="K359" t="s">
        <v>56</v>
      </c>
      <c r="M359" t="s">
        <v>106</v>
      </c>
      <c r="P359" t="s">
        <v>58</v>
      </c>
      <c r="Q359" t="s">
        <v>47</v>
      </c>
      <c r="R359" t="s">
        <v>48</v>
      </c>
      <c r="V359" t="s">
        <v>49</v>
      </c>
      <c r="X359" t="s">
        <v>49</v>
      </c>
      <c r="Y359" t="s">
        <v>59</v>
      </c>
      <c r="Z359" t="s">
        <v>3646</v>
      </c>
      <c r="AA359" t="s">
        <v>3646</v>
      </c>
    </row>
    <row r="360" spans="1:27" x14ac:dyDescent="0.35">
      <c r="A360" t="str">
        <f t="shared" si="11"/>
        <v>3609D2</v>
      </c>
      <c r="B360" t="str">
        <f t="shared" si="10"/>
        <v>3609</v>
      </c>
      <c r="C360" t="s">
        <v>667</v>
      </c>
      <c r="D360" t="s">
        <v>2</v>
      </c>
      <c r="E360" t="s">
        <v>62</v>
      </c>
      <c r="F360" t="s">
        <v>63</v>
      </c>
      <c r="G360" t="s">
        <v>104</v>
      </c>
      <c r="H360" t="s">
        <v>42</v>
      </c>
      <c r="I360" t="s">
        <v>43</v>
      </c>
      <c r="J360" t="s">
        <v>664</v>
      </c>
      <c r="K360" t="s">
        <v>56</v>
      </c>
      <c r="M360" t="s">
        <v>106</v>
      </c>
      <c r="P360" t="s">
        <v>58</v>
      </c>
      <c r="Q360" t="s">
        <v>47</v>
      </c>
      <c r="R360" t="s">
        <v>48</v>
      </c>
      <c r="V360" t="s">
        <v>49</v>
      </c>
      <c r="X360" t="s">
        <v>49</v>
      </c>
      <c r="Y360" t="s">
        <v>59</v>
      </c>
      <c r="Z360" t="s">
        <v>3651</v>
      </c>
      <c r="AA360" t="s">
        <v>3651</v>
      </c>
    </row>
    <row r="361" spans="1:27" x14ac:dyDescent="0.35">
      <c r="A361" t="str">
        <f t="shared" si="11"/>
        <v>3609F3</v>
      </c>
      <c r="B361" t="str">
        <f t="shared" si="10"/>
        <v>3609</v>
      </c>
      <c r="C361" t="s">
        <v>668</v>
      </c>
      <c r="D361" t="s">
        <v>5</v>
      </c>
      <c r="E361" t="s">
        <v>40</v>
      </c>
      <c r="F361" t="s">
        <v>73</v>
      </c>
      <c r="G361" t="s">
        <v>104</v>
      </c>
      <c r="H361" t="s">
        <v>42</v>
      </c>
      <c r="I361" t="s">
        <v>67</v>
      </c>
      <c r="J361" t="s">
        <v>664</v>
      </c>
      <c r="M361" t="s">
        <v>106</v>
      </c>
      <c r="P361" t="s">
        <v>46</v>
      </c>
      <c r="Q361" t="s">
        <v>47</v>
      </c>
      <c r="R361" t="s">
        <v>48</v>
      </c>
      <c r="V361" t="s">
        <v>49</v>
      </c>
      <c r="X361" t="s">
        <v>49</v>
      </c>
      <c r="Y361" t="s">
        <v>74</v>
      </c>
      <c r="Z361" t="s">
        <v>643</v>
      </c>
      <c r="AA361" t="s">
        <v>643</v>
      </c>
    </row>
    <row r="362" spans="1:27" x14ac:dyDescent="0.35">
      <c r="A362" t="str">
        <f t="shared" si="11"/>
        <v>3609C2</v>
      </c>
      <c r="B362" t="str">
        <f t="shared" si="10"/>
        <v>3609</v>
      </c>
      <c r="C362" t="s">
        <v>669</v>
      </c>
      <c r="D362" t="s">
        <v>1</v>
      </c>
      <c r="E362" t="s">
        <v>65</v>
      </c>
      <c r="F362" t="s">
        <v>66</v>
      </c>
      <c r="G362" t="s">
        <v>104</v>
      </c>
      <c r="H362" t="s">
        <v>42</v>
      </c>
      <c r="I362" t="s">
        <v>67</v>
      </c>
      <c r="J362" t="s">
        <v>664</v>
      </c>
      <c r="M362" t="s">
        <v>106</v>
      </c>
      <c r="P362" t="s">
        <v>69</v>
      </c>
      <c r="Q362" t="s">
        <v>47</v>
      </c>
      <c r="R362" t="s">
        <v>48</v>
      </c>
      <c r="V362" t="s">
        <v>49</v>
      </c>
      <c r="X362" t="s">
        <v>49</v>
      </c>
      <c r="Y362" t="s">
        <v>70</v>
      </c>
      <c r="Z362" t="s">
        <v>3648</v>
      </c>
      <c r="AA362" t="s">
        <v>3648</v>
      </c>
    </row>
    <row r="363" spans="1:27" x14ac:dyDescent="0.35">
      <c r="A363" t="str">
        <f t="shared" si="11"/>
        <v>3609D7</v>
      </c>
      <c r="B363" t="str">
        <f t="shared" si="10"/>
        <v>3609</v>
      </c>
      <c r="C363" t="s">
        <v>670</v>
      </c>
      <c r="D363" t="s">
        <v>6</v>
      </c>
      <c r="E363" t="s">
        <v>94</v>
      </c>
      <c r="F363" t="s">
        <v>111</v>
      </c>
      <c r="G363" t="s">
        <v>104</v>
      </c>
      <c r="H363" t="s">
        <v>42</v>
      </c>
      <c r="I363" t="s">
        <v>43</v>
      </c>
      <c r="J363" t="s">
        <v>664</v>
      </c>
      <c r="M363" t="s">
        <v>106</v>
      </c>
      <c r="P363" t="s">
        <v>273</v>
      </c>
      <c r="Q363" t="s">
        <v>47</v>
      </c>
      <c r="R363" t="s">
        <v>48</v>
      </c>
      <c r="V363" t="s">
        <v>49</v>
      </c>
      <c r="X363" t="s">
        <v>49</v>
      </c>
      <c r="Y363" t="s">
        <v>59</v>
      </c>
      <c r="Z363" t="s">
        <v>671</v>
      </c>
      <c r="AA363" t="s">
        <v>672</v>
      </c>
    </row>
    <row r="364" spans="1:27" x14ac:dyDescent="0.35">
      <c r="A364" t="str">
        <f t="shared" si="11"/>
        <v>3610F2</v>
      </c>
      <c r="B364" t="str">
        <f t="shared" si="10"/>
        <v>3610</v>
      </c>
      <c r="C364" t="s">
        <v>673</v>
      </c>
      <c r="D364" t="s">
        <v>4</v>
      </c>
      <c r="E364" t="s">
        <v>77</v>
      </c>
      <c r="F364" t="s">
        <v>78</v>
      </c>
      <c r="G364" t="s">
        <v>104</v>
      </c>
      <c r="H364" t="s">
        <v>42</v>
      </c>
      <c r="I364" t="s">
        <v>67</v>
      </c>
      <c r="J364" t="s">
        <v>674</v>
      </c>
      <c r="M364" t="s">
        <v>106</v>
      </c>
      <c r="P364" t="s">
        <v>79</v>
      </c>
      <c r="Q364" t="s">
        <v>47</v>
      </c>
      <c r="R364" t="s">
        <v>48</v>
      </c>
      <c r="V364" t="s">
        <v>49</v>
      </c>
      <c r="X364" t="s">
        <v>49</v>
      </c>
      <c r="Y364" t="s">
        <v>74</v>
      </c>
      <c r="Z364" t="s">
        <v>675</v>
      </c>
      <c r="AA364" t="s">
        <v>675</v>
      </c>
    </row>
    <row r="365" spans="1:27" x14ac:dyDescent="0.35">
      <c r="A365" t="str">
        <f t="shared" si="11"/>
        <v>3610D4</v>
      </c>
      <c r="B365" t="str">
        <f t="shared" si="10"/>
        <v>3610</v>
      </c>
      <c r="C365" t="s">
        <v>676</v>
      </c>
      <c r="D365" t="s">
        <v>3</v>
      </c>
      <c r="E365" t="s">
        <v>52</v>
      </c>
      <c r="F365" t="s">
        <v>53</v>
      </c>
      <c r="G365" t="s">
        <v>104</v>
      </c>
      <c r="H365" t="s">
        <v>42</v>
      </c>
      <c r="I365" t="s">
        <v>43</v>
      </c>
      <c r="J365" t="s">
        <v>674</v>
      </c>
      <c r="K365" t="s">
        <v>56</v>
      </c>
      <c r="M365" t="s">
        <v>106</v>
      </c>
      <c r="P365" t="s">
        <v>58</v>
      </c>
      <c r="Q365" t="s">
        <v>47</v>
      </c>
      <c r="R365" t="s">
        <v>48</v>
      </c>
      <c r="V365" t="s">
        <v>49</v>
      </c>
      <c r="X365" t="s">
        <v>49</v>
      </c>
      <c r="Y365" t="s">
        <v>59</v>
      </c>
      <c r="Z365" t="s">
        <v>3847</v>
      </c>
      <c r="AA365" t="s">
        <v>3847</v>
      </c>
    </row>
    <row r="366" spans="1:27" x14ac:dyDescent="0.35">
      <c r="A366" t="str">
        <f t="shared" si="11"/>
        <v>3610D2</v>
      </c>
      <c r="B366" t="str">
        <f t="shared" si="10"/>
        <v>3610</v>
      </c>
      <c r="C366" t="s">
        <v>677</v>
      </c>
      <c r="D366" t="s">
        <v>2</v>
      </c>
      <c r="E366" t="s">
        <v>62</v>
      </c>
      <c r="F366" t="s">
        <v>63</v>
      </c>
      <c r="G366" t="s">
        <v>104</v>
      </c>
      <c r="H366" t="s">
        <v>42</v>
      </c>
      <c r="I366" t="s">
        <v>43</v>
      </c>
      <c r="J366" t="s">
        <v>674</v>
      </c>
      <c r="K366" t="s">
        <v>56</v>
      </c>
      <c r="M366" t="s">
        <v>106</v>
      </c>
      <c r="P366" t="s">
        <v>58</v>
      </c>
      <c r="Q366" t="s">
        <v>47</v>
      </c>
      <c r="R366" t="s">
        <v>48</v>
      </c>
      <c r="V366" t="s">
        <v>49</v>
      </c>
      <c r="X366" t="s">
        <v>49</v>
      </c>
      <c r="Y366" t="s">
        <v>59</v>
      </c>
      <c r="Z366" t="s">
        <v>3652</v>
      </c>
      <c r="AA366" t="s">
        <v>3652</v>
      </c>
    </row>
    <row r="367" spans="1:27" x14ac:dyDescent="0.35">
      <c r="A367" t="str">
        <f t="shared" si="11"/>
        <v>3610F3</v>
      </c>
      <c r="B367" t="str">
        <f t="shared" si="10"/>
        <v>3610</v>
      </c>
      <c r="C367" t="s">
        <v>678</v>
      </c>
      <c r="D367" t="s">
        <v>5</v>
      </c>
      <c r="E367" t="s">
        <v>40</v>
      </c>
      <c r="F367" t="s">
        <v>73</v>
      </c>
      <c r="G367" t="s">
        <v>104</v>
      </c>
      <c r="H367" t="s">
        <v>42</v>
      </c>
      <c r="I367" t="s">
        <v>67</v>
      </c>
      <c r="J367" t="s">
        <v>674</v>
      </c>
      <c r="M367" t="s">
        <v>106</v>
      </c>
      <c r="P367" t="s">
        <v>46</v>
      </c>
      <c r="Q367" t="s">
        <v>47</v>
      </c>
      <c r="R367" t="s">
        <v>48</v>
      </c>
      <c r="V367" t="s">
        <v>49</v>
      </c>
      <c r="X367" t="s">
        <v>49</v>
      </c>
      <c r="Y367" t="s">
        <v>74</v>
      </c>
      <c r="Z367" t="s">
        <v>643</v>
      </c>
      <c r="AA367" t="s">
        <v>643</v>
      </c>
    </row>
    <row r="368" spans="1:27" x14ac:dyDescent="0.35">
      <c r="A368" t="str">
        <f t="shared" si="11"/>
        <v>3610C2</v>
      </c>
      <c r="B368" t="str">
        <f t="shared" si="10"/>
        <v>3610</v>
      </c>
      <c r="C368" t="s">
        <v>679</v>
      </c>
      <c r="D368" t="s">
        <v>1</v>
      </c>
      <c r="E368" t="s">
        <v>65</v>
      </c>
      <c r="F368" t="s">
        <v>66</v>
      </c>
      <c r="G368" t="s">
        <v>104</v>
      </c>
      <c r="H368" t="s">
        <v>42</v>
      </c>
      <c r="I368" t="s">
        <v>67</v>
      </c>
      <c r="J368" t="s">
        <v>674</v>
      </c>
      <c r="M368" t="s">
        <v>106</v>
      </c>
      <c r="P368" t="s">
        <v>69</v>
      </c>
      <c r="Q368" t="s">
        <v>47</v>
      </c>
      <c r="R368" t="s">
        <v>48</v>
      </c>
      <c r="V368" t="s">
        <v>49</v>
      </c>
      <c r="X368" t="s">
        <v>49</v>
      </c>
      <c r="Y368" t="s">
        <v>70</v>
      </c>
      <c r="Z368" t="s">
        <v>3648</v>
      </c>
      <c r="AA368" t="s">
        <v>3648</v>
      </c>
    </row>
    <row r="369" spans="1:27" x14ac:dyDescent="0.35">
      <c r="A369" t="str">
        <f t="shared" si="11"/>
        <v>3610D7</v>
      </c>
      <c r="B369" t="str">
        <f t="shared" si="10"/>
        <v>3610</v>
      </c>
      <c r="C369" t="s">
        <v>680</v>
      </c>
      <c r="D369" t="s">
        <v>6</v>
      </c>
      <c r="E369" t="s">
        <v>94</v>
      </c>
      <c r="F369" t="s">
        <v>111</v>
      </c>
      <c r="G369" t="s">
        <v>104</v>
      </c>
      <c r="H369" t="s">
        <v>42</v>
      </c>
      <c r="I369" t="s">
        <v>43</v>
      </c>
      <c r="J369" t="s">
        <v>674</v>
      </c>
      <c r="M369" t="s">
        <v>106</v>
      </c>
      <c r="P369" t="s">
        <v>46</v>
      </c>
      <c r="Q369" t="s">
        <v>47</v>
      </c>
      <c r="R369" t="s">
        <v>48</v>
      </c>
      <c r="V369" t="s">
        <v>49</v>
      </c>
      <c r="X369" t="s">
        <v>49</v>
      </c>
      <c r="Y369" t="s">
        <v>59</v>
      </c>
      <c r="Z369" t="s">
        <v>681</v>
      </c>
      <c r="AA369" t="s">
        <v>681</v>
      </c>
    </row>
    <row r="370" spans="1:27" x14ac:dyDescent="0.35">
      <c r="A370" t="str">
        <f t="shared" si="11"/>
        <v>3701F2</v>
      </c>
      <c r="B370" t="str">
        <f t="shared" si="10"/>
        <v>3701</v>
      </c>
      <c r="C370" t="s">
        <v>682</v>
      </c>
      <c r="D370" t="s">
        <v>4</v>
      </c>
      <c r="E370" t="s">
        <v>77</v>
      </c>
      <c r="F370" t="s">
        <v>78</v>
      </c>
      <c r="G370" t="s">
        <v>104</v>
      </c>
      <c r="H370" t="s">
        <v>42</v>
      </c>
      <c r="I370" t="s">
        <v>67</v>
      </c>
      <c r="J370" t="s">
        <v>683</v>
      </c>
      <c r="M370" t="s">
        <v>106</v>
      </c>
      <c r="P370" t="s">
        <v>138</v>
      </c>
      <c r="Q370" t="s">
        <v>47</v>
      </c>
      <c r="R370" t="s">
        <v>48</v>
      </c>
      <c r="V370" t="s">
        <v>49</v>
      </c>
      <c r="X370" t="s">
        <v>49</v>
      </c>
      <c r="Y370" t="s">
        <v>74</v>
      </c>
      <c r="Z370" t="s">
        <v>665</v>
      </c>
      <c r="AA370" t="s">
        <v>665</v>
      </c>
    </row>
    <row r="371" spans="1:27" x14ac:dyDescent="0.35">
      <c r="A371" t="str">
        <f t="shared" si="11"/>
        <v>3701D4</v>
      </c>
      <c r="B371" t="str">
        <f t="shared" si="10"/>
        <v>3701</v>
      </c>
      <c r="C371" t="s">
        <v>684</v>
      </c>
      <c r="D371" t="s">
        <v>3</v>
      </c>
      <c r="E371" t="s">
        <v>52</v>
      </c>
      <c r="F371" t="s">
        <v>53</v>
      </c>
      <c r="G371" t="s">
        <v>104</v>
      </c>
      <c r="H371" t="s">
        <v>42</v>
      </c>
      <c r="I371" t="s">
        <v>43</v>
      </c>
      <c r="J371" t="s">
        <v>683</v>
      </c>
      <c r="K371" t="s">
        <v>56</v>
      </c>
      <c r="M371" t="s">
        <v>106</v>
      </c>
      <c r="P371" t="s">
        <v>58</v>
      </c>
      <c r="Q371" t="s">
        <v>47</v>
      </c>
      <c r="R371" t="s">
        <v>48</v>
      </c>
      <c r="V371" t="s">
        <v>49</v>
      </c>
      <c r="X371" t="s">
        <v>49</v>
      </c>
      <c r="Y371" t="s">
        <v>59</v>
      </c>
      <c r="Z371" t="s">
        <v>3653</v>
      </c>
      <c r="AA371" t="s">
        <v>3653</v>
      </c>
    </row>
    <row r="372" spans="1:27" x14ac:dyDescent="0.35">
      <c r="A372" t="str">
        <f t="shared" si="11"/>
        <v>3701D2</v>
      </c>
      <c r="B372" t="str">
        <f t="shared" si="10"/>
        <v>3701</v>
      </c>
      <c r="C372" t="s">
        <v>685</v>
      </c>
      <c r="D372" t="s">
        <v>2</v>
      </c>
      <c r="E372" t="s">
        <v>62</v>
      </c>
      <c r="F372" t="s">
        <v>63</v>
      </c>
      <c r="G372" t="s">
        <v>104</v>
      </c>
      <c r="H372" t="s">
        <v>42</v>
      </c>
      <c r="I372" t="s">
        <v>43</v>
      </c>
      <c r="J372" t="s">
        <v>683</v>
      </c>
      <c r="K372" t="s">
        <v>56</v>
      </c>
      <c r="M372" t="s">
        <v>106</v>
      </c>
      <c r="P372" t="s">
        <v>58</v>
      </c>
      <c r="Q372" t="s">
        <v>47</v>
      </c>
      <c r="R372" t="s">
        <v>48</v>
      </c>
      <c r="V372" t="s">
        <v>49</v>
      </c>
      <c r="X372" t="s">
        <v>49</v>
      </c>
      <c r="Y372" t="s">
        <v>59</v>
      </c>
      <c r="Z372" t="s">
        <v>3652</v>
      </c>
      <c r="AA372" t="s">
        <v>3652</v>
      </c>
    </row>
    <row r="373" spans="1:27" x14ac:dyDescent="0.35">
      <c r="A373" t="str">
        <f t="shared" si="11"/>
        <v>3701F3</v>
      </c>
      <c r="B373" t="str">
        <f t="shared" si="10"/>
        <v>3701</v>
      </c>
      <c r="C373" t="s">
        <v>686</v>
      </c>
      <c r="D373" t="s">
        <v>5</v>
      </c>
      <c r="E373" t="s">
        <v>40</v>
      </c>
      <c r="F373" t="s">
        <v>73</v>
      </c>
      <c r="G373" t="s">
        <v>104</v>
      </c>
      <c r="H373" t="s">
        <v>42</v>
      </c>
      <c r="I373" t="s">
        <v>67</v>
      </c>
      <c r="J373" t="s">
        <v>683</v>
      </c>
      <c r="M373" t="s">
        <v>106</v>
      </c>
      <c r="P373" t="s">
        <v>46</v>
      </c>
      <c r="Q373" t="s">
        <v>47</v>
      </c>
      <c r="R373" t="s">
        <v>48</v>
      </c>
      <c r="V373" t="s">
        <v>49</v>
      </c>
      <c r="X373" t="s">
        <v>49</v>
      </c>
      <c r="Y373" t="s">
        <v>74</v>
      </c>
      <c r="Z373" t="s">
        <v>687</v>
      </c>
      <c r="AA373" t="s">
        <v>687</v>
      </c>
    </row>
    <row r="374" spans="1:27" x14ac:dyDescent="0.35">
      <c r="A374" t="str">
        <f t="shared" si="11"/>
        <v>3701C2</v>
      </c>
      <c r="B374" t="str">
        <f t="shared" si="10"/>
        <v>3701</v>
      </c>
      <c r="C374" t="s">
        <v>688</v>
      </c>
      <c r="D374" t="s">
        <v>1</v>
      </c>
      <c r="E374" t="s">
        <v>65</v>
      </c>
      <c r="F374" t="s">
        <v>66</v>
      </c>
      <c r="G374" t="s">
        <v>104</v>
      </c>
      <c r="H374" t="s">
        <v>42</v>
      </c>
      <c r="I374" t="s">
        <v>67</v>
      </c>
      <c r="J374" t="s">
        <v>683</v>
      </c>
      <c r="M374" t="s">
        <v>106</v>
      </c>
      <c r="P374" t="s">
        <v>69</v>
      </c>
      <c r="Q374" t="s">
        <v>47</v>
      </c>
      <c r="R374" t="s">
        <v>48</v>
      </c>
      <c r="V374" t="s">
        <v>49</v>
      </c>
      <c r="X374" t="s">
        <v>49</v>
      </c>
      <c r="Y374" t="s">
        <v>70</v>
      </c>
      <c r="Z374" t="s">
        <v>3648</v>
      </c>
      <c r="AA374" t="s">
        <v>3648</v>
      </c>
    </row>
    <row r="375" spans="1:27" x14ac:dyDescent="0.35">
      <c r="A375" t="str">
        <f t="shared" si="11"/>
        <v>3701D7</v>
      </c>
      <c r="B375" t="str">
        <f t="shared" si="10"/>
        <v>3701</v>
      </c>
      <c r="C375" t="s">
        <v>689</v>
      </c>
      <c r="D375" t="s">
        <v>6</v>
      </c>
      <c r="E375" t="s">
        <v>94</v>
      </c>
      <c r="F375" t="s">
        <v>111</v>
      </c>
      <c r="G375" t="s">
        <v>104</v>
      </c>
      <c r="H375" t="s">
        <v>42</v>
      </c>
      <c r="I375" t="s">
        <v>43</v>
      </c>
      <c r="J375" t="s">
        <v>683</v>
      </c>
      <c r="M375" t="s">
        <v>106</v>
      </c>
      <c r="P375" t="s">
        <v>46</v>
      </c>
      <c r="Q375" t="s">
        <v>47</v>
      </c>
      <c r="R375" t="s">
        <v>48</v>
      </c>
      <c r="V375" t="s">
        <v>49</v>
      </c>
      <c r="X375" t="s">
        <v>49</v>
      </c>
      <c r="Y375" t="s">
        <v>59</v>
      </c>
      <c r="Z375" t="s">
        <v>690</v>
      </c>
      <c r="AA375" t="s">
        <v>690</v>
      </c>
    </row>
    <row r="376" spans="1:27" x14ac:dyDescent="0.35">
      <c r="A376" t="str">
        <f t="shared" si="11"/>
        <v>3702F2</v>
      </c>
      <c r="B376" t="str">
        <f t="shared" si="10"/>
        <v>3702</v>
      </c>
      <c r="C376" t="s">
        <v>691</v>
      </c>
      <c r="D376" t="s">
        <v>4</v>
      </c>
      <c r="E376" t="s">
        <v>77</v>
      </c>
      <c r="F376" t="s">
        <v>78</v>
      </c>
      <c r="G376" t="s">
        <v>104</v>
      </c>
      <c r="H376" t="s">
        <v>42</v>
      </c>
      <c r="I376" t="s">
        <v>67</v>
      </c>
      <c r="J376" t="s">
        <v>692</v>
      </c>
      <c r="M376" t="s">
        <v>106</v>
      </c>
      <c r="P376" t="s">
        <v>138</v>
      </c>
      <c r="Q376" t="s">
        <v>47</v>
      </c>
      <c r="R376" t="s">
        <v>48</v>
      </c>
      <c r="V376" t="s">
        <v>49</v>
      </c>
      <c r="X376" t="s">
        <v>49</v>
      </c>
      <c r="Y376" t="s">
        <v>74</v>
      </c>
      <c r="Z376" t="s">
        <v>675</v>
      </c>
      <c r="AA376" t="s">
        <v>675</v>
      </c>
    </row>
    <row r="377" spans="1:27" x14ac:dyDescent="0.35">
      <c r="A377" t="str">
        <f t="shared" si="11"/>
        <v>3702D4</v>
      </c>
      <c r="B377" t="str">
        <f t="shared" si="10"/>
        <v>3702</v>
      </c>
      <c r="C377" t="s">
        <v>693</v>
      </c>
      <c r="D377" t="s">
        <v>3</v>
      </c>
      <c r="E377" t="s">
        <v>52</v>
      </c>
      <c r="F377" t="s">
        <v>53</v>
      </c>
      <c r="G377" t="s">
        <v>104</v>
      </c>
      <c r="H377" t="s">
        <v>42</v>
      </c>
      <c r="I377" t="s">
        <v>43</v>
      </c>
      <c r="J377" t="s">
        <v>692</v>
      </c>
      <c r="K377" t="s">
        <v>56</v>
      </c>
      <c r="M377" t="s">
        <v>106</v>
      </c>
      <c r="P377" t="s">
        <v>58</v>
      </c>
      <c r="Q377" t="s">
        <v>47</v>
      </c>
      <c r="R377" t="s">
        <v>48</v>
      </c>
      <c r="V377" t="s">
        <v>49</v>
      </c>
      <c r="X377" t="s">
        <v>49</v>
      </c>
      <c r="Y377" t="s">
        <v>59</v>
      </c>
      <c r="Z377" t="s">
        <v>3653</v>
      </c>
      <c r="AA377" t="s">
        <v>3653</v>
      </c>
    </row>
    <row r="378" spans="1:27" x14ac:dyDescent="0.35">
      <c r="A378" t="str">
        <f t="shared" si="11"/>
        <v>3702D2</v>
      </c>
      <c r="B378" t="str">
        <f t="shared" si="10"/>
        <v>3702</v>
      </c>
      <c r="C378" t="s">
        <v>694</v>
      </c>
      <c r="D378" t="s">
        <v>2</v>
      </c>
      <c r="E378" t="s">
        <v>62</v>
      </c>
      <c r="F378" t="s">
        <v>63</v>
      </c>
      <c r="G378" t="s">
        <v>104</v>
      </c>
      <c r="H378" t="s">
        <v>42</v>
      </c>
      <c r="I378" t="s">
        <v>43</v>
      </c>
      <c r="J378" t="s">
        <v>692</v>
      </c>
      <c r="K378" t="s">
        <v>56</v>
      </c>
      <c r="M378" t="s">
        <v>106</v>
      </c>
      <c r="P378" t="s">
        <v>58</v>
      </c>
      <c r="Q378" t="s">
        <v>47</v>
      </c>
      <c r="R378" t="s">
        <v>48</v>
      </c>
      <c r="V378" t="s">
        <v>49</v>
      </c>
      <c r="X378" t="s">
        <v>49</v>
      </c>
      <c r="Y378" t="s">
        <v>59</v>
      </c>
      <c r="Z378" t="s">
        <v>3652</v>
      </c>
      <c r="AA378" t="s">
        <v>3652</v>
      </c>
    </row>
    <row r="379" spans="1:27" x14ac:dyDescent="0.35">
      <c r="A379" t="str">
        <f t="shared" si="11"/>
        <v>3702F3</v>
      </c>
      <c r="B379" t="str">
        <f t="shared" si="10"/>
        <v>3702</v>
      </c>
      <c r="C379" t="s">
        <v>695</v>
      </c>
      <c r="D379" t="s">
        <v>5</v>
      </c>
      <c r="E379" t="s">
        <v>40</v>
      </c>
      <c r="F379" t="s">
        <v>73</v>
      </c>
      <c r="G379" t="s">
        <v>104</v>
      </c>
      <c r="H379" t="s">
        <v>42</v>
      </c>
      <c r="I379" t="s">
        <v>67</v>
      </c>
      <c r="J379" t="s">
        <v>692</v>
      </c>
      <c r="M379" t="s">
        <v>106</v>
      </c>
      <c r="P379" t="s">
        <v>46</v>
      </c>
      <c r="Q379" t="s">
        <v>47</v>
      </c>
      <c r="R379" t="s">
        <v>48</v>
      </c>
      <c r="V379" t="s">
        <v>49</v>
      </c>
      <c r="X379" t="s">
        <v>49</v>
      </c>
      <c r="Y379" t="s">
        <v>74</v>
      </c>
      <c r="Z379" t="s">
        <v>696</v>
      </c>
      <c r="AA379" t="s">
        <v>696</v>
      </c>
    </row>
    <row r="380" spans="1:27" x14ac:dyDescent="0.35">
      <c r="A380" t="str">
        <f t="shared" si="11"/>
        <v>3702C2</v>
      </c>
      <c r="B380" t="str">
        <f t="shared" si="10"/>
        <v>3702</v>
      </c>
      <c r="C380" t="s">
        <v>697</v>
      </c>
      <c r="D380" t="s">
        <v>1</v>
      </c>
      <c r="E380" t="s">
        <v>65</v>
      </c>
      <c r="F380" t="s">
        <v>66</v>
      </c>
      <c r="G380" t="s">
        <v>104</v>
      </c>
      <c r="H380" t="s">
        <v>42</v>
      </c>
      <c r="I380" t="s">
        <v>67</v>
      </c>
      <c r="J380" t="s">
        <v>692</v>
      </c>
      <c r="M380" t="s">
        <v>106</v>
      </c>
      <c r="P380" t="s">
        <v>69</v>
      </c>
      <c r="Q380" t="s">
        <v>47</v>
      </c>
      <c r="R380" t="s">
        <v>48</v>
      </c>
      <c r="V380" t="s">
        <v>49</v>
      </c>
      <c r="X380" t="s">
        <v>49</v>
      </c>
      <c r="Y380" t="s">
        <v>70</v>
      </c>
      <c r="Z380" t="s">
        <v>3654</v>
      </c>
      <c r="AA380" t="s">
        <v>3654</v>
      </c>
    </row>
    <row r="381" spans="1:27" x14ac:dyDescent="0.35">
      <c r="A381" t="str">
        <f t="shared" si="11"/>
        <v>3702D7</v>
      </c>
      <c r="B381" t="str">
        <f t="shared" si="10"/>
        <v>3702</v>
      </c>
      <c r="C381" t="s">
        <v>698</v>
      </c>
      <c r="D381" t="s">
        <v>6</v>
      </c>
      <c r="E381" t="s">
        <v>94</v>
      </c>
      <c r="F381" t="s">
        <v>111</v>
      </c>
      <c r="G381" t="s">
        <v>104</v>
      </c>
      <c r="H381" t="s">
        <v>42</v>
      </c>
      <c r="I381" t="s">
        <v>43</v>
      </c>
      <c r="J381" t="s">
        <v>692</v>
      </c>
      <c r="M381" t="s">
        <v>106</v>
      </c>
      <c r="P381" t="s">
        <v>46</v>
      </c>
      <c r="Q381" t="s">
        <v>47</v>
      </c>
      <c r="R381" t="s">
        <v>48</v>
      </c>
      <c r="V381" t="s">
        <v>49</v>
      </c>
      <c r="X381" t="s">
        <v>49</v>
      </c>
      <c r="Y381" t="s">
        <v>59</v>
      </c>
      <c r="Z381" t="s">
        <v>699</v>
      </c>
      <c r="AA381" t="s">
        <v>699</v>
      </c>
    </row>
    <row r="382" spans="1:27" x14ac:dyDescent="0.35">
      <c r="A382" t="str">
        <f t="shared" si="11"/>
        <v>3703F2</v>
      </c>
      <c r="B382" t="str">
        <f t="shared" si="10"/>
        <v>3703</v>
      </c>
      <c r="C382" t="s">
        <v>700</v>
      </c>
      <c r="D382" t="s">
        <v>4</v>
      </c>
      <c r="E382" t="s">
        <v>77</v>
      </c>
      <c r="F382" t="s">
        <v>78</v>
      </c>
      <c r="G382" t="s">
        <v>104</v>
      </c>
      <c r="H382" t="s">
        <v>42</v>
      </c>
      <c r="I382" t="s">
        <v>67</v>
      </c>
      <c r="J382" t="s">
        <v>701</v>
      </c>
      <c r="M382" t="s">
        <v>106</v>
      </c>
      <c r="P382" t="s">
        <v>91</v>
      </c>
      <c r="Q382" t="s">
        <v>47</v>
      </c>
      <c r="R382" t="s">
        <v>48</v>
      </c>
      <c r="V382" t="s">
        <v>49</v>
      </c>
      <c r="X382" t="s">
        <v>49</v>
      </c>
      <c r="Y382" t="s">
        <v>74</v>
      </c>
      <c r="Z382" t="s">
        <v>702</v>
      </c>
      <c r="AA382" t="s">
        <v>702</v>
      </c>
    </row>
    <row r="383" spans="1:27" x14ac:dyDescent="0.35">
      <c r="A383" t="str">
        <f t="shared" si="11"/>
        <v>3703D4</v>
      </c>
      <c r="B383" t="str">
        <f t="shared" si="10"/>
        <v>3703</v>
      </c>
      <c r="C383" t="s">
        <v>703</v>
      </c>
      <c r="D383" t="s">
        <v>3</v>
      </c>
      <c r="E383" t="s">
        <v>52</v>
      </c>
      <c r="F383" t="s">
        <v>53</v>
      </c>
      <c r="G383" t="s">
        <v>104</v>
      </c>
      <c r="H383" t="s">
        <v>42</v>
      </c>
      <c r="I383" t="s">
        <v>43</v>
      </c>
      <c r="J383" t="s">
        <v>701</v>
      </c>
      <c r="K383" t="s">
        <v>56</v>
      </c>
      <c r="M383" t="s">
        <v>106</v>
      </c>
      <c r="P383" t="s">
        <v>58</v>
      </c>
      <c r="Q383" t="s">
        <v>47</v>
      </c>
      <c r="R383" t="s">
        <v>48</v>
      </c>
      <c r="V383" t="s">
        <v>49</v>
      </c>
      <c r="X383" t="s">
        <v>49</v>
      </c>
      <c r="Y383" t="s">
        <v>59</v>
      </c>
      <c r="Z383" t="s">
        <v>3653</v>
      </c>
      <c r="AA383" t="s">
        <v>3653</v>
      </c>
    </row>
    <row r="384" spans="1:27" x14ac:dyDescent="0.35">
      <c r="A384" t="str">
        <f t="shared" si="11"/>
        <v>3703D2</v>
      </c>
      <c r="B384" t="str">
        <f t="shared" si="10"/>
        <v>3703</v>
      </c>
      <c r="C384" t="s">
        <v>704</v>
      </c>
      <c r="D384" t="s">
        <v>2</v>
      </c>
      <c r="E384" t="s">
        <v>62</v>
      </c>
      <c r="F384" t="s">
        <v>63</v>
      </c>
      <c r="G384" t="s">
        <v>104</v>
      </c>
      <c r="H384" t="s">
        <v>42</v>
      </c>
      <c r="I384" t="s">
        <v>43</v>
      </c>
      <c r="J384" t="s">
        <v>701</v>
      </c>
      <c r="K384" t="s">
        <v>56</v>
      </c>
      <c r="M384" t="s">
        <v>106</v>
      </c>
      <c r="P384" t="s">
        <v>58</v>
      </c>
      <c r="Q384" t="s">
        <v>47</v>
      </c>
      <c r="R384" t="s">
        <v>48</v>
      </c>
      <c r="V384" t="s">
        <v>49</v>
      </c>
      <c r="X384" t="s">
        <v>49</v>
      </c>
      <c r="Y384" t="s">
        <v>59</v>
      </c>
      <c r="Z384" t="s">
        <v>3655</v>
      </c>
      <c r="AA384" t="s">
        <v>3655</v>
      </c>
    </row>
    <row r="385" spans="1:27" x14ac:dyDescent="0.35">
      <c r="A385" t="str">
        <f t="shared" si="11"/>
        <v>3703F3</v>
      </c>
      <c r="B385" t="str">
        <f t="shared" si="10"/>
        <v>3703</v>
      </c>
      <c r="C385" t="s">
        <v>705</v>
      </c>
      <c r="D385" t="s">
        <v>5</v>
      </c>
      <c r="E385" t="s">
        <v>40</v>
      </c>
      <c r="F385" t="s">
        <v>73</v>
      </c>
      <c r="G385" t="s">
        <v>104</v>
      </c>
      <c r="H385" t="s">
        <v>42</v>
      </c>
      <c r="I385" t="s">
        <v>67</v>
      </c>
      <c r="J385" t="s">
        <v>701</v>
      </c>
      <c r="M385" t="s">
        <v>106</v>
      </c>
      <c r="P385" t="s">
        <v>46</v>
      </c>
      <c r="Q385" t="s">
        <v>47</v>
      </c>
      <c r="R385" t="s">
        <v>48</v>
      </c>
      <c r="V385" t="s">
        <v>49</v>
      </c>
      <c r="X385" t="s">
        <v>49</v>
      </c>
      <c r="Y385" t="s">
        <v>74</v>
      </c>
      <c r="Z385" t="s">
        <v>696</v>
      </c>
      <c r="AA385" t="s">
        <v>696</v>
      </c>
    </row>
    <row r="386" spans="1:27" x14ac:dyDescent="0.35">
      <c r="A386" t="str">
        <f t="shared" si="11"/>
        <v>3703C2</v>
      </c>
      <c r="B386" t="str">
        <f t="shared" ref="B386:B449" si="12">LEFT($J:$J,4)</f>
        <v>3703</v>
      </c>
      <c r="C386" t="s">
        <v>706</v>
      </c>
      <c r="D386" t="s">
        <v>1</v>
      </c>
      <c r="E386" t="s">
        <v>65</v>
      </c>
      <c r="F386" t="s">
        <v>66</v>
      </c>
      <c r="G386" t="s">
        <v>104</v>
      </c>
      <c r="H386" t="s">
        <v>42</v>
      </c>
      <c r="I386" t="s">
        <v>67</v>
      </c>
      <c r="J386" t="s">
        <v>701</v>
      </c>
      <c r="M386" t="s">
        <v>106</v>
      </c>
      <c r="P386" t="s">
        <v>69</v>
      </c>
      <c r="Q386" t="s">
        <v>47</v>
      </c>
      <c r="R386" t="s">
        <v>48</v>
      </c>
      <c r="V386" t="s">
        <v>49</v>
      </c>
      <c r="X386" t="s">
        <v>49</v>
      </c>
      <c r="Y386" t="s">
        <v>70</v>
      </c>
      <c r="Z386" t="s">
        <v>3654</v>
      </c>
      <c r="AA386" t="s">
        <v>3654</v>
      </c>
    </row>
    <row r="387" spans="1:27" x14ac:dyDescent="0.35">
      <c r="A387" t="str">
        <f t="shared" ref="A387:A450" si="13">B387&amp;D387</f>
        <v>3703D7</v>
      </c>
      <c r="B387" t="str">
        <f t="shared" si="12"/>
        <v>3703</v>
      </c>
      <c r="C387" t="s">
        <v>707</v>
      </c>
      <c r="D387" t="s">
        <v>6</v>
      </c>
      <c r="E387" t="s">
        <v>94</v>
      </c>
      <c r="F387" t="s">
        <v>111</v>
      </c>
      <c r="G387" t="s">
        <v>104</v>
      </c>
      <c r="H387" t="s">
        <v>42</v>
      </c>
      <c r="I387" t="s">
        <v>43</v>
      </c>
      <c r="J387" t="s">
        <v>701</v>
      </c>
      <c r="M387" t="s">
        <v>106</v>
      </c>
      <c r="P387" t="s">
        <v>46</v>
      </c>
      <c r="Q387" t="s">
        <v>47</v>
      </c>
      <c r="R387" t="s">
        <v>48</v>
      </c>
      <c r="V387" t="s">
        <v>49</v>
      </c>
      <c r="X387" t="s">
        <v>49</v>
      </c>
      <c r="Y387" t="s">
        <v>59</v>
      </c>
      <c r="Z387" t="s">
        <v>699</v>
      </c>
      <c r="AA387" t="s">
        <v>699</v>
      </c>
    </row>
    <row r="388" spans="1:27" x14ac:dyDescent="0.35">
      <c r="A388" t="str">
        <f t="shared" si="13"/>
        <v>3704F2</v>
      </c>
      <c r="B388" t="str">
        <f t="shared" si="12"/>
        <v>3704</v>
      </c>
      <c r="C388" t="s">
        <v>708</v>
      </c>
      <c r="D388" t="s">
        <v>4</v>
      </c>
      <c r="E388" t="s">
        <v>77</v>
      </c>
      <c r="F388" t="s">
        <v>78</v>
      </c>
      <c r="G388" t="s">
        <v>104</v>
      </c>
      <c r="H388" t="s">
        <v>42</v>
      </c>
      <c r="I388" t="s">
        <v>67</v>
      </c>
      <c r="J388" t="s">
        <v>709</v>
      </c>
      <c r="M388" t="s">
        <v>106</v>
      </c>
      <c r="P388" t="s">
        <v>710</v>
      </c>
      <c r="Q388" t="s">
        <v>47</v>
      </c>
      <c r="R388" t="s">
        <v>48</v>
      </c>
      <c r="V388" t="s">
        <v>49</v>
      </c>
      <c r="X388" t="s">
        <v>49</v>
      </c>
      <c r="Y388" t="s">
        <v>74</v>
      </c>
      <c r="Z388" t="s">
        <v>702</v>
      </c>
      <c r="AA388" t="s">
        <v>702</v>
      </c>
    </row>
    <row r="389" spans="1:27" x14ac:dyDescent="0.35">
      <c r="A389" t="str">
        <f t="shared" si="13"/>
        <v>3704D4</v>
      </c>
      <c r="B389" t="str">
        <f t="shared" si="12"/>
        <v>3704</v>
      </c>
      <c r="C389" t="s">
        <v>711</v>
      </c>
      <c r="D389" t="s">
        <v>3</v>
      </c>
      <c r="E389" t="s">
        <v>52</v>
      </c>
      <c r="F389" t="s">
        <v>53</v>
      </c>
      <c r="G389" t="s">
        <v>104</v>
      </c>
      <c r="H389" t="s">
        <v>42</v>
      </c>
      <c r="I389" t="s">
        <v>43</v>
      </c>
      <c r="J389" t="s">
        <v>709</v>
      </c>
      <c r="K389" t="s">
        <v>56</v>
      </c>
      <c r="M389" t="s">
        <v>106</v>
      </c>
      <c r="P389" t="s">
        <v>58</v>
      </c>
      <c r="Q389" t="s">
        <v>47</v>
      </c>
      <c r="R389" t="s">
        <v>48</v>
      </c>
      <c r="V389" t="s">
        <v>49</v>
      </c>
      <c r="X389" t="s">
        <v>49</v>
      </c>
      <c r="Y389" t="s">
        <v>59</v>
      </c>
      <c r="Z389" t="s">
        <v>3656</v>
      </c>
      <c r="AA389" t="s">
        <v>3656</v>
      </c>
    </row>
    <row r="390" spans="1:27" x14ac:dyDescent="0.35">
      <c r="A390" t="str">
        <f t="shared" si="13"/>
        <v>3704D2</v>
      </c>
      <c r="B390" t="str">
        <f t="shared" si="12"/>
        <v>3704</v>
      </c>
      <c r="C390" t="s">
        <v>712</v>
      </c>
      <c r="D390" t="s">
        <v>2</v>
      </c>
      <c r="E390" t="s">
        <v>62</v>
      </c>
      <c r="F390" t="s">
        <v>63</v>
      </c>
      <c r="G390" t="s">
        <v>104</v>
      </c>
      <c r="H390" t="s">
        <v>42</v>
      </c>
      <c r="I390" t="s">
        <v>43</v>
      </c>
      <c r="J390" t="s">
        <v>709</v>
      </c>
      <c r="K390" t="s">
        <v>56</v>
      </c>
      <c r="M390" t="s">
        <v>106</v>
      </c>
      <c r="P390" t="s">
        <v>58</v>
      </c>
      <c r="Q390" t="s">
        <v>47</v>
      </c>
      <c r="R390" t="s">
        <v>48</v>
      </c>
      <c r="V390" t="s">
        <v>49</v>
      </c>
      <c r="X390" t="s">
        <v>49</v>
      </c>
      <c r="Y390" t="s">
        <v>59</v>
      </c>
      <c r="Z390" t="s">
        <v>3655</v>
      </c>
      <c r="AA390" t="s">
        <v>3655</v>
      </c>
    </row>
    <row r="391" spans="1:27" x14ac:dyDescent="0.35">
      <c r="A391" t="str">
        <f t="shared" si="13"/>
        <v>3704F3</v>
      </c>
      <c r="B391" t="str">
        <f t="shared" si="12"/>
        <v>3704</v>
      </c>
      <c r="C391" t="s">
        <v>713</v>
      </c>
      <c r="D391" t="s">
        <v>5</v>
      </c>
      <c r="E391" t="s">
        <v>40</v>
      </c>
      <c r="F391" t="s">
        <v>73</v>
      </c>
      <c r="G391" t="s">
        <v>104</v>
      </c>
      <c r="H391" t="s">
        <v>42</v>
      </c>
      <c r="I391" t="s">
        <v>67</v>
      </c>
      <c r="J391" t="s">
        <v>709</v>
      </c>
      <c r="M391" t="s">
        <v>106</v>
      </c>
      <c r="P391" t="s">
        <v>46</v>
      </c>
      <c r="Q391" t="s">
        <v>47</v>
      </c>
      <c r="R391" t="s">
        <v>48</v>
      </c>
      <c r="V391" t="s">
        <v>49</v>
      </c>
      <c r="X391" t="s">
        <v>49</v>
      </c>
      <c r="Y391" t="s">
        <v>74</v>
      </c>
      <c r="Z391" t="s">
        <v>696</v>
      </c>
      <c r="AA391" t="s">
        <v>696</v>
      </c>
    </row>
    <row r="392" spans="1:27" x14ac:dyDescent="0.35">
      <c r="A392" t="str">
        <f t="shared" si="13"/>
        <v>3704C2</v>
      </c>
      <c r="B392" t="str">
        <f t="shared" si="12"/>
        <v>3704</v>
      </c>
      <c r="C392" t="s">
        <v>714</v>
      </c>
      <c r="D392" t="s">
        <v>1</v>
      </c>
      <c r="E392" t="s">
        <v>65</v>
      </c>
      <c r="F392" t="s">
        <v>66</v>
      </c>
      <c r="G392" t="s">
        <v>104</v>
      </c>
      <c r="H392" t="s">
        <v>42</v>
      </c>
      <c r="I392" t="s">
        <v>67</v>
      </c>
      <c r="J392" t="s">
        <v>709</v>
      </c>
      <c r="M392" t="s">
        <v>106</v>
      </c>
      <c r="P392" t="s">
        <v>69</v>
      </c>
      <c r="Q392" t="s">
        <v>47</v>
      </c>
      <c r="R392" t="s">
        <v>48</v>
      </c>
      <c r="V392" t="s">
        <v>49</v>
      </c>
      <c r="X392" t="s">
        <v>49</v>
      </c>
      <c r="Y392" t="s">
        <v>70</v>
      </c>
      <c r="Z392" t="s">
        <v>3654</v>
      </c>
      <c r="AA392" t="s">
        <v>3654</v>
      </c>
    </row>
    <row r="393" spans="1:27" x14ac:dyDescent="0.35">
      <c r="A393" t="str">
        <f t="shared" si="13"/>
        <v>3704D7</v>
      </c>
      <c r="B393" t="str">
        <f t="shared" si="12"/>
        <v>3704</v>
      </c>
      <c r="C393" t="s">
        <v>715</v>
      </c>
      <c r="D393" t="s">
        <v>6</v>
      </c>
      <c r="E393" t="s">
        <v>94</v>
      </c>
      <c r="F393" t="s">
        <v>111</v>
      </c>
      <c r="G393" t="s">
        <v>104</v>
      </c>
      <c r="H393" t="s">
        <v>42</v>
      </c>
      <c r="I393" t="s">
        <v>43</v>
      </c>
      <c r="J393" t="s">
        <v>709</v>
      </c>
      <c r="M393" t="s">
        <v>106</v>
      </c>
      <c r="P393" t="s">
        <v>46</v>
      </c>
      <c r="Q393" t="s">
        <v>47</v>
      </c>
      <c r="R393" t="s">
        <v>48</v>
      </c>
      <c r="V393" t="s">
        <v>49</v>
      </c>
      <c r="X393" t="s">
        <v>49</v>
      </c>
      <c r="Y393" t="s">
        <v>59</v>
      </c>
      <c r="Z393" t="s">
        <v>699</v>
      </c>
      <c r="AA393" t="s">
        <v>699</v>
      </c>
    </row>
    <row r="394" spans="1:27" x14ac:dyDescent="0.35">
      <c r="A394" t="str">
        <f t="shared" si="13"/>
        <v>3705F2</v>
      </c>
      <c r="B394" t="str">
        <f t="shared" si="12"/>
        <v>3705</v>
      </c>
      <c r="C394" t="s">
        <v>716</v>
      </c>
      <c r="D394" t="s">
        <v>4</v>
      </c>
      <c r="E394" t="s">
        <v>77</v>
      </c>
      <c r="F394" t="s">
        <v>78</v>
      </c>
      <c r="G394" t="s">
        <v>104</v>
      </c>
      <c r="H394" t="s">
        <v>42</v>
      </c>
      <c r="I394" t="s">
        <v>67</v>
      </c>
      <c r="J394" t="s">
        <v>717</v>
      </c>
      <c r="M394" t="s">
        <v>106</v>
      </c>
      <c r="P394" t="s">
        <v>91</v>
      </c>
      <c r="Q394" t="s">
        <v>47</v>
      </c>
      <c r="R394" t="s">
        <v>48</v>
      </c>
      <c r="V394" t="s">
        <v>49</v>
      </c>
      <c r="X394" t="s">
        <v>49</v>
      </c>
      <c r="Y394" t="s">
        <v>74</v>
      </c>
      <c r="Z394" t="s">
        <v>696</v>
      </c>
      <c r="AA394" t="s">
        <v>696</v>
      </c>
    </row>
    <row r="395" spans="1:27" x14ac:dyDescent="0.35">
      <c r="A395" t="str">
        <f t="shared" si="13"/>
        <v>3705D4</v>
      </c>
      <c r="B395" t="str">
        <f t="shared" si="12"/>
        <v>3705</v>
      </c>
      <c r="C395" t="s">
        <v>718</v>
      </c>
      <c r="D395" t="s">
        <v>3</v>
      </c>
      <c r="E395" t="s">
        <v>52</v>
      </c>
      <c r="F395" t="s">
        <v>53</v>
      </c>
      <c r="G395" t="s">
        <v>104</v>
      </c>
      <c r="H395" t="s">
        <v>42</v>
      </c>
      <c r="I395" t="s">
        <v>43</v>
      </c>
      <c r="J395" t="s">
        <v>717</v>
      </c>
      <c r="K395" t="s">
        <v>56</v>
      </c>
      <c r="M395" t="s">
        <v>106</v>
      </c>
      <c r="P395" t="s">
        <v>58</v>
      </c>
      <c r="Q395" t="s">
        <v>47</v>
      </c>
      <c r="R395" t="s">
        <v>48</v>
      </c>
      <c r="V395" t="s">
        <v>49</v>
      </c>
      <c r="X395" t="s">
        <v>49</v>
      </c>
      <c r="Y395" t="s">
        <v>59</v>
      </c>
      <c r="Z395" t="s">
        <v>3656</v>
      </c>
      <c r="AA395" t="s">
        <v>3656</v>
      </c>
    </row>
    <row r="396" spans="1:27" x14ac:dyDescent="0.35">
      <c r="A396" t="str">
        <f t="shared" si="13"/>
        <v>3705D2</v>
      </c>
      <c r="B396" t="str">
        <f t="shared" si="12"/>
        <v>3705</v>
      </c>
      <c r="C396" t="s">
        <v>719</v>
      </c>
      <c r="D396" t="s">
        <v>2</v>
      </c>
      <c r="E396" t="s">
        <v>62</v>
      </c>
      <c r="F396" t="s">
        <v>63</v>
      </c>
      <c r="G396" t="s">
        <v>104</v>
      </c>
      <c r="H396" t="s">
        <v>42</v>
      </c>
      <c r="I396" t="s">
        <v>43</v>
      </c>
      <c r="J396" t="s">
        <v>717</v>
      </c>
      <c r="K396" t="s">
        <v>56</v>
      </c>
      <c r="M396" t="s">
        <v>106</v>
      </c>
      <c r="P396" t="s">
        <v>58</v>
      </c>
      <c r="Q396" t="s">
        <v>47</v>
      </c>
      <c r="R396" t="s">
        <v>48</v>
      </c>
      <c r="V396" t="s">
        <v>49</v>
      </c>
      <c r="X396" t="s">
        <v>49</v>
      </c>
      <c r="Y396" t="s">
        <v>59</v>
      </c>
      <c r="Z396" t="s">
        <v>3655</v>
      </c>
      <c r="AA396" t="s">
        <v>3655</v>
      </c>
    </row>
    <row r="397" spans="1:27" x14ac:dyDescent="0.35">
      <c r="A397" t="str">
        <f t="shared" si="13"/>
        <v>3705F3</v>
      </c>
      <c r="B397" t="str">
        <f t="shared" si="12"/>
        <v>3705</v>
      </c>
      <c r="C397" t="s">
        <v>720</v>
      </c>
      <c r="D397" t="s">
        <v>5</v>
      </c>
      <c r="E397" t="s">
        <v>40</v>
      </c>
      <c r="F397" t="s">
        <v>73</v>
      </c>
      <c r="G397" t="s">
        <v>104</v>
      </c>
      <c r="H397" t="s">
        <v>42</v>
      </c>
      <c r="I397" t="s">
        <v>67</v>
      </c>
      <c r="J397" t="s">
        <v>717</v>
      </c>
      <c r="M397" t="s">
        <v>106</v>
      </c>
      <c r="P397" t="s">
        <v>46</v>
      </c>
      <c r="Q397" t="s">
        <v>47</v>
      </c>
      <c r="R397" t="s">
        <v>48</v>
      </c>
      <c r="V397" t="s">
        <v>49</v>
      </c>
      <c r="X397" t="s">
        <v>49</v>
      </c>
      <c r="Y397" t="s">
        <v>74</v>
      </c>
      <c r="Z397" t="s">
        <v>696</v>
      </c>
      <c r="AA397" t="s">
        <v>696</v>
      </c>
    </row>
    <row r="398" spans="1:27" x14ac:dyDescent="0.35">
      <c r="A398" t="str">
        <f t="shared" si="13"/>
        <v>3705C2</v>
      </c>
      <c r="B398" t="str">
        <f t="shared" si="12"/>
        <v>3705</v>
      </c>
      <c r="C398" t="s">
        <v>721</v>
      </c>
      <c r="D398" t="s">
        <v>1</v>
      </c>
      <c r="E398" t="s">
        <v>65</v>
      </c>
      <c r="F398" t="s">
        <v>66</v>
      </c>
      <c r="G398" t="s">
        <v>104</v>
      </c>
      <c r="H398" t="s">
        <v>42</v>
      </c>
      <c r="I398" t="s">
        <v>67</v>
      </c>
      <c r="J398" t="s">
        <v>717</v>
      </c>
      <c r="M398" t="s">
        <v>106</v>
      </c>
      <c r="P398" t="s">
        <v>69</v>
      </c>
      <c r="Q398" t="s">
        <v>47</v>
      </c>
      <c r="R398" t="s">
        <v>48</v>
      </c>
      <c r="V398" t="s">
        <v>49</v>
      </c>
      <c r="X398" t="s">
        <v>49</v>
      </c>
      <c r="Y398" t="s">
        <v>70</v>
      </c>
      <c r="Z398" t="s">
        <v>3654</v>
      </c>
      <c r="AA398" t="s">
        <v>3654</v>
      </c>
    </row>
    <row r="399" spans="1:27" x14ac:dyDescent="0.35">
      <c r="A399" t="str">
        <f t="shared" si="13"/>
        <v>3705D7</v>
      </c>
      <c r="B399" t="str">
        <f t="shared" si="12"/>
        <v>3705</v>
      </c>
      <c r="C399" t="s">
        <v>722</v>
      </c>
      <c r="D399" t="s">
        <v>6</v>
      </c>
      <c r="E399" t="s">
        <v>94</v>
      </c>
      <c r="F399" t="s">
        <v>111</v>
      </c>
      <c r="G399" t="s">
        <v>104</v>
      </c>
      <c r="H399" t="s">
        <v>42</v>
      </c>
      <c r="I399" t="s">
        <v>43</v>
      </c>
      <c r="J399" t="s">
        <v>717</v>
      </c>
      <c r="M399" t="s">
        <v>106</v>
      </c>
      <c r="P399" t="s">
        <v>46</v>
      </c>
      <c r="Q399" t="s">
        <v>47</v>
      </c>
      <c r="R399" t="s">
        <v>48</v>
      </c>
      <c r="V399" t="s">
        <v>49</v>
      </c>
      <c r="X399" t="s">
        <v>49</v>
      </c>
      <c r="Y399" t="s">
        <v>59</v>
      </c>
      <c r="Z399" t="s">
        <v>723</v>
      </c>
      <c r="AA399" t="s">
        <v>723</v>
      </c>
    </row>
    <row r="400" spans="1:27" x14ac:dyDescent="0.35">
      <c r="A400" t="str">
        <f t="shared" si="13"/>
        <v>3706F2</v>
      </c>
      <c r="B400" t="str">
        <f t="shared" si="12"/>
        <v>3706</v>
      </c>
      <c r="C400" t="s">
        <v>724</v>
      </c>
      <c r="D400" t="s">
        <v>4</v>
      </c>
      <c r="E400" t="s">
        <v>77</v>
      </c>
      <c r="F400" t="s">
        <v>78</v>
      </c>
      <c r="G400" t="s">
        <v>104</v>
      </c>
      <c r="H400" t="s">
        <v>42</v>
      </c>
      <c r="I400" t="s">
        <v>67</v>
      </c>
      <c r="J400" t="s">
        <v>725</v>
      </c>
      <c r="M400" t="s">
        <v>106</v>
      </c>
      <c r="P400" t="s">
        <v>189</v>
      </c>
      <c r="Q400" t="s">
        <v>47</v>
      </c>
      <c r="R400" t="s">
        <v>48</v>
      </c>
      <c r="V400" t="s">
        <v>49</v>
      </c>
      <c r="X400" t="s">
        <v>49</v>
      </c>
      <c r="Y400" t="s">
        <v>74</v>
      </c>
      <c r="Z400" t="s">
        <v>702</v>
      </c>
      <c r="AA400" t="s">
        <v>702</v>
      </c>
    </row>
    <row r="401" spans="1:27" x14ac:dyDescent="0.35">
      <c r="A401" t="str">
        <f t="shared" si="13"/>
        <v>3706D4</v>
      </c>
      <c r="B401" t="str">
        <f t="shared" si="12"/>
        <v>3706</v>
      </c>
      <c r="C401" t="s">
        <v>726</v>
      </c>
      <c r="D401" t="s">
        <v>3</v>
      </c>
      <c r="E401" t="s">
        <v>52</v>
      </c>
      <c r="F401" t="s">
        <v>53</v>
      </c>
      <c r="G401" t="s">
        <v>104</v>
      </c>
      <c r="H401" t="s">
        <v>42</v>
      </c>
      <c r="I401" t="s">
        <v>43</v>
      </c>
      <c r="J401" t="s">
        <v>725</v>
      </c>
      <c r="K401" t="s">
        <v>56</v>
      </c>
      <c r="M401" t="s">
        <v>106</v>
      </c>
      <c r="P401" t="s">
        <v>58</v>
      </c>
      <c r="Q401" t="s">
        <v>47</v>
      </c>
      <c r="R401" t="s">
        <v>48</v>
      </c>
      <c r="V401" t="s">
        <v>49</v>
      </c>
      <c r="X401" t="s">
        <v>49</v>
      </c>
      <c r="Y401" t="s">
        <v>59</v>
      </c>
      <c r="Z401" t="s">
        <v>3656</v>
      </c>
      <c r="AA401" t="s">
        <v>3656</v>
      </c>
    </row>
    <row r="402" spans="1:27" x14ac:dyDescent="0.35">
      <c r="A402" t="str">
        <f t="shared" si="13"/>
        <v>3706D2</v>
      </c>
      <c r="B402" t="str">
        <f t="shared" si="12"/>
        <v>3706</v>
      </c>
      <c r="C402" t="s">
        <v>727</v>
      </c>
      <c r="D402" t="s">
        <v>2</v>
      </c>
      <c r="E402" t="s">
        <v>62</v>
      </c>
      <c r="F402" t="s">
        <v>63</v>
      </c>
      <c r="G402" t="s">
        <v>104</v>
      </c>
      <c r="H402" t="s">
        <v>42</v>
      </c>
      <c r="I402" t="s">
        <v>43</v>
      </c>
      <c r="J402" t="s">
        <v>725</v>
      </c>
      <c r="K402" t="s">
        <v>56</v>
      </c>
      <c r="M402" t="s">
        <v>106</v>
      </c>
      <c r="P402" t="s">
        <v>58</v>
      </c>
      <c r="Q402" t="s">
        <v>47</v>
      </c>
      <c r="R402" t="s">
        <v>48</v>
      </c>
      <c r="V402" t="s">
        <v>49</v>
      </c>
      <c r="X402" t="s">
        <v>49</v>
      </c>
      <c r="Y402" t="s">
        <v>59</v>
      </c>
      <c r="Z402" t="s">
        <v>3655</v>
      </c>
      <c r="AA402" t="s">
        <v>3655</v>
      </c>
    </row>
    <row r="403" spans="1:27" x14ac:dyDescent="0.35">
      <c r="A403" t="str">
        <f t="shared" si="13"/>
        <v>3706F3</v>
      </c>
      <c r="B403" t="str">
        <f t="shared" si="12"/>
        <v>3706</v>
      </c>
      <c r="C403" t="s">
        <v>728</v>
      </c>
      <c r="D403" t="s">
        <v>5</v>
      </c>
      <c r="E403" t="s">
        <v>40</v>
      </c>
      <c r="F403" t="s">
        <v>73</v>
      </c>
      <c r="G403" t="s">
        <v>104</v>
      </c>
      <c r="H403" t="s">
        <v>42</v>
      </c>
      <c r="I403" t="s">
        <v>67</v>
      </c>
      <c r="J403" t="s">
        <v>725</v>
      </c>
      <c r="M403" t="s">
        <v>106</v>
      </c>
      <c r="P403" t="s">
        <v>46</v>
      </c>
      <c r="Q403" t="s">
        <v>47</v>
      </c>
      <c r="R403" t="s">
        <v>48</v>
      </c>
      <c r="V403" t="s">
        <v>49</v>
      </c>
      <c r="X403" t="s">
        <v>49</v>
      </c>
      <c r="Y403" t="s">
        <v>74</v>
      </c>
      <c r="Z403" t="s">
        <v>696</v>
      </c>
      <c r="AA403" t="s">
        <v>696</v>
      </c>
    </row>
    <row r="404" spans="1:27" x14ac:dyDescent="0.35">
      <c r="A404" t="str">
        <f t="shared" si="13"/>
        <v>3706C2</v>
      </c>
      <c r="B404" t="str">
        <f t="shared" si="12"/>
        <v>3706</v>
      </c>
      <c r="C404" t="s">
        <v>729</v>
      </c>
      <c r="D404" t="s">
        <v>1</v>
      </c>
      <c r="E404" t="s">
        <v>65</v>
      </c>
      <c r="F404" t="s">
        <v>66</v>
      </c>
      <c r="G404" t="s">
        <v>104</v>
      </c>
      <c r="H404" t="s">
        <v>42</v>
      </c>
      <c r="I404" t="s">
        <v>67</v>
      </c>
      <c r="J404" t="s">
        <v>725</v>
      </c>
      <c r="M404" t="s">
        <v>106</v>
      </c>
      <c r="P404" t="s">
        <v>69</v>
      </c>
      <c r="Q404" t="s">
        <v>47</v>
      </c>
      <c r="R404" t="s">
        <v>48</v>
      </c>
      <c r="V404" t="s">
        <v>49</v>
      </c>
      <c r="X404" t="s">
        <v>49</v>
      </c>
      <c r="Y404" t="s">
        <v>70</v>
      </c>
      <c r="Z404" t="s">
        <v>3654</v>
      </c>
      <c r="AA404" t="s">
        <v>3654</v>
      </c>
    </row>
    <row r="405" spans="1:27" x14ac:dyDescent="0.35">
      <c r="A405" t="str">
        <f t="shared" si="13"/>
        <v>3706D7</v>
      </c>
      <c r="B405" t="str">
        <f t="shared" si="12"/>
        <v>3706</v>
      </c>
      <c r="C405" t="s">
        <v>730</v>
      </c>
      <c r="D405" t="s">
        <v>6</v>
      </c>
      <c r="E405" t="s">
        <v>94</v>
      </c>
      <c r="F405" t="s">
        <v>111</v>
      </c>
      <c r="G405" t="s">
        <v>104</v>
      </c>
      <c r="H405" t="s">
        <v>42</v>
      </c>
      <c r="I405" t="s">
        <v>43</v>
      </c>
      <c r="J405" t="s">
        <v>725</v>
      </c>
      <c r="M405" t="s">
        <v>106</v>
      </c>
      <c r="P405" t="s">
        <v>46</v>
      </c>
      <c r="Q405" t="s">
        <v>47</v>
      </c>
      <c r="R405" t="s">
        <v>48</v>
      </c>
      <c r="V405" t="s">
        <v>49</v>
      </c>
      <c r="X405" t="s">
        <v>49</v>
      </c>
      <c r="Y405" t="s">
        <v>59</v>
      </c>
      <c r="Z405" t="s">
        <v>723</v>
      </c>
      <c r="AA405" t="s">
        <v>723</v>
      </c>
    </row>
    <row r="406" spans="1:27" x14ac:dyDescent="0.35">
      <c r="A406" t="str">
        <f t="shared" si="13"/>
        <v>3707F2</v>
      </c>
      <c r="B406" t="str">
        <f t="shared" si="12"/>
        <v>3707</v>
      </c>
      <c r="C406" t="s">
        <v>731</v>
      </c>
      <c r="D406" t="s">
        <v>4</v>
      </c>
      <c r="E406" t="s">
        <v>77</v>
      </c>
      <c r="F406" t="s">
        <v>78</v>
      </c>
      <c r="G406" t="s">
        <v>104</v>
      </c>
      <c r="H406" t="s">
        <v>42</v>
      </c>
      <c r="I406" t="s">
        <v>67</v>
      </c>
      <c r="J406" t="s">
        <v>732</v>
      </c>
      <c r="M406" t="s">
        <v>106</v>
      </c>
      <c r="P406" t="s">
        <v>79</v>
      </c>
      <c r="Q406" t="s">
        <v>47</v>
      </c>
      <c r="R406" t="s">
        <v>48</v>
      </c>
      <c r="V406" t="s">
        <v>49</v>
      </c>
      <c r="X406" t="s">
        <v>49</v>
      </c>
      <c r="Y406" t="s">
        <v>74</v>
      </c>
      <c r="Z406" t="s">
        <v>733</v>
      </c>
      <c r="AA406" t="s">
        <v>733</v>
      </c>
    </row>
    <row r="407" spans="1:27" x14ac:dyDescent="0.35">
      <c r="A407" t="str">
        <f t="shared" si="13"/>
        <v>3707D4</v>
      </c>
      <c r="B407" t="str">
        <f t="shared" si="12"/>
        <v>3707</v>
      </c>
      <c r="C407" t="s">
        <v>734</v>
      </c>
      <c r="D407" t="s">
        <v>3</v>
      </c>
      <c r="E407" t="s">
        <v>52</v>
      </c>
      <c r="F407" t="s">
        <v>53</v>
      </c>
      <c r="G407" t="s">
        <v>104</v>
      </c>
      <c r="H407" t="s">
        <v>42</v>
      </c>
      <c r="I407" t="s">
        <v>43</v>
      </c>
      <c r="J407" t="s">
        <v>732</v>
      </c>
      <c r="K407" t="s">
        <v>56</v>
      </c>
      <c r="M407" t="s">
        <v>106</v>
      </c>
      <c r="P407" t="s">
        <v>58</v>
      </c>
      <c r="Q407" t="s">
        <v>47</v>
      </c>
      <c r="R407" t="s">
        <v>48</v>
      </c>
      <c r="V407" t="s">
        <v>49</v>
      </c>
      <c r="X407" t="s">
        <v>49</v>
      </c>
      <c r="Y407" t="s">
        <v>59</v>
      </c>
      <c r="Z407" t="s">
        <v>3656</v>
      </c>
      <c r="AA407" t="s">
        <v>3656</v>
      </c>
    </row>
    <row r="408" spans="1:27" x14ac:dyDescent="0.35">
      <c r="A408" t="str">
        <f t="shared" si="13"/>
        <v>3707D2</v>
      </c>
      <c r="B408" t="str">
        <f t="shared" si="12"/>
        <v>3707</v>
      </c>
      <c r="C408" t="s">
        <v>735</v>
      </c>
      <c r="D408" t="s">
        <v>2</v>
      </c>
      <c r="E408" t="s">
        <v>62</v>
      </c>
      <c r="F408" t="s">
        <v>63</v>
      </c>
      <c r="G408" t="s">
        <v>104</v>
      </c>
      <c r="H408" t="s">
        <v>42</v>
      </c>
      <c r="I408" t="s">
        <v>43</v>
      </c>
      <c r="J408" t="s">
        <v>732</v>
      </c>
      <c r="K408" t="s">
        <v>56</v>
      </c>
      <c r="M408" t="s">
        <v>106</v>
      </c>
      <c r="P408" t="s">
        <v>58</v>
      </c>
      <c r="Q408" t="s">
        <v>47</v>
      </c>
      <c r="R408" t="s">
        <v>48</v>
      </c>
      <c r="V408" t="s">
        <v>49</v>
      </c>
      <c r="X408" t="s">
        <v>49</v>
      </c>
      <c r="Y408" t="s">
        <v>59</v>
      </c>
      <c r="Z408" t="s">
        <v>3657</v>
      </c>
      <c r="AA408" t="s">
        <v>3657</v>
      </c>
    </row>
    <row r="409" spans="1:27" x14ac:dyDescent="0.35">
      <c r="A409" t="str">
        <f t="shared" si="13"/>
        <v>3707F3</v>
      </c>
      <c r="B409" t="str">
        <f t="shared" si="12"/>
        <v>3707</v>
      </c>
      <c r="C409" t="s">
        <v>736</v>
      </c>
      <c r="D409" t="s">
        <v>5</v>
      </c>
      <c r="E409" t="s">
        <v>40</v>
      </c>
      <c r="F409" t="s">
        <v>73</v>
      </c>
      <c r="G409" t="s">
        <v>104</v>
      </c>
      <c r="H409" t="s">
        <v>42</v>
      </c>
      <c r="I409" t="s">
        <v>67</v>
      </c>
      <c r="J409" t="s">
        <v>732</v>
      </c>
      <c r="M409" t="s">
        <v>106</v>
      </c>
      <c r="P409" t="s">
        <v>46</v>
      </c>
      <c r="Q409" t="s">
        <v>47</v>
      </c>
      <c r="R409" t="s">
        <v>48</v>
      </c>
      <c r="V409" t="s">
        <v>49</v>
      </c>
      <c r="X409" t="s">
        <v>49</v>
      </c>
      <c r="Y409" t="s">
        <v>74</v>
      </c>
      <c r="Z409" t="s">
        <v>696</v>
      </c>
      <c r="AA409" t="s">
        <v>696</v>
      </c>
    </row>
    <row r="410" spans="1:27" x14ac:dyDescent="0.35">
      <c r="A410" t="str">
        <f t="shared" si="13"/>
        <v>3707C2</v>
      </c>
      <c r="B410" t="str">
        <f t="shared" si="12"/>
        <v>3707</v>
      </c>
      <c r="C410" t="s">
        <v>737</v>
      </c>
      <c r="D410" t="s">
        <v>1</v>
      </c>
      <c r="E410" t="s">
        <v>65</v>
      </c>
      <c r="F410" t="s">
        <v>66</v>
      </c>
      <c r="G410" t="s">
        <v>104</v>
      </c>
      <c r="H410" t="s">
        <v>42</v>
      </c>
      <c r="I410" t="s">
        <v>67</v>
      </c>
      <c r="J410" t="s">
        <v>732</v>
      </c>
      <c r="M410" t="s">
        <v>106</v>
      </c>
      <c r="P410" t="s">
        <v>69</v>
      </c>
      <c r="Q410" t="s">
        <v>47</v>
      </c>
      <c r="R410" t="s">
        <v>48</v>
      </c>
      <c r="V410" t="s">
        <v>49</v>
      </c>
      <c r="X410" t="s">
        <v>49</v>
      </c>
      <c r="Y410" t="s">
        <v>70</v>
      </c>
      <c r="Z410" t="s">
        <v>3994</v>
      </c>
      <c r="AA410" t="s">
        <v>3654</v>
      </c>
    </row>
    <row r="411" spans="1:27" x14ac:dyDescent="0.35">
      <c r="A411" t="str">
        <f t="shared" si="13"/>
        <v>3707D7</v>
      </c>
      <c r="B411" t="str">
        <f t="shared" si="12"/>
        <v>3707</v>
      </c>
      <c r="C411" t="s">
        <v>738</v>
      </c>
      <c r="D411" t="s">
        <v>6</v>
      </c>
      <c r="E411" t="s">
        <v>94</v>
      </c>
      <c r="F411" t="s">
        <v>111</v>
      </c>
      <c r="G411" t="s">
        <v>104</v>
      </c>
      <c r="H411" t="s">
        <v>42</v>
      </c>
      <c r="I411" t="s">
        <v>43</v>
      </c>
      <c r="J411" t="s">
        <v>732</v>
      </c>
      <c r="M411" t="s">
        <v>106</v>
      </c>
      <c r="P411" t="s">
        <v>46</v>
      </c>
      <c r="Q411" t="s">
        <v>47</v>
      </c>
      <c r="R411" t="s">
        <v>48</v>
      </c>
      <c r="V411" t="s">
        <v>49</v>
      </c>
      <c r="X411" t="s">
        <v>49</v>
      </c>
      <c r="Y411" t="s">
        <v>59</v>
      </c>
      <c r="Z411" t="s">
        <v>723</v>
      </c>
      <c r="AA411" t="s">
        <v>723</v>
      </c>
    </row>
    <row r="412" spans="1:27" x14ac:dyDescent="0.35">
      <c r="A412" t="str">
        <f t="shared" si="13"/>
        <v>3708F2</v>
      </c>
      <c r="B412" t="str">
        <f t="shared" si="12"/>
        <v>3708</v>
      </c>
      <c r="C412" t="s">
        <v>739</v>
      </c>
      <c r="D412" t="s">
        <v>4</v>
      </c>
      <c r="E412" t="s">
        <v>77</v>
      </c>
      <c r="F412" t="s">
        <v>78</v>
      </c>
      <c r="G412" t="s">
        <v>104</v>
      </c>
      <c r="H412" t="s">
        <v>42</v>
      </c>
      <c r="I412" t="s">
        <v>67</v>
      </c>
      <c r="J412" t="s">
        <v>740</v>
      </c>
      <c r="M412" t="s">
        <v>106</v>
      </c>
      <c r="P412" t="s">
        <v>189</v>
      </c>
      <c r="Q412" t="s">
        <v>47</v>
      </c>
      <c r="R412" t="s">
        <v>48</v>
      </c>
      <c r="V412" t="s">
        <v>49</v>
      </c>
      <c r="X412" t="s">
        <v>49</v>
      </c>
      <c r="Y412" t="s">
        <v>74</v>
      </c>
      <c r="Z412" t="s">
        <v>92</v>
      </c>
      <c r="AA412" t="s">
        <v>92</v>
      </c>
    </row>
    <row r="413" spans="1:27" x14ac:dyDescent="0.35">
      <c r="A413" t="str">
        <f t="shared" si="13"/>
        <v>3708D4</v>
      </c>
      <c r="B413" t="str">
        <f t="shared" si="12"/>
        <v>3708</v>
      </c>
      <c r="C413" t="s">
        <v>741</v>
      </c>
      <c r="D413" t="s">
        <v>3</v>
      </c>
      <c r="E413" t="s">
        <v>52</v>
      </c>
      <c r="F413" t="s">
        <v>53</v>
      </c>
      <c r="G413" t="s">
        <v>104</v>
      </c>
      <c r="H413" t="s">
        <v>42</v>
      </c>
      <c r="I413" t="s">
        <v>43</v>
      </c>
      <c r="J413" t="s">
        <v>740</v>
      </c>
      <c r="K413" t="s">
        <v>56</v>
      </c>
      <c r="M413" t="s">
        <v>106</v>
      </c>
      <c r="P413" t="s">
        <v>58</v>
      </c>
      <c r="Q413" t="s">
        <v>47</v>
      </c>
      <c r="R413" t="s">
        <v>48</v>
      </c>
      <c r="V413" t="s">
        <v>49</v>
      </c>
      <c r="X413" t="s">
        <v>49</v>
      </c>
      <c r="Y413" t="s">
        <v>59</v>
      </c>
      <c r="Z413" t="s">
        <v>3656</v>
      </c>
      <c r="AA413" t="s">
        <v>3656</v>
      </c>
    </row>
    <row r="414" spans="1:27" x14ac:dyDescent="0.35">
      <c r="A414" t="str">
        <f t="shared" si="13"/>
        <v>3708D2</v>
      </c>
      <c r="B414" t="str">
        <f t="shared" si="12"/>
        <v>3708</v>
      </c>
      <c r="C414" t="s">
        <v>742</v>
      </c>
      <c r="D414" t="s">
        <v>2</v>
      </c>
      <c r="E414" t="s">
        <v>62</v>
      </c>
      <c r="F414" t="s">
        <v>63</v>
      </c>
      <c r="G414" t="s">
        <v>104</v>
      </c>
      <c r="H414" t="s">
        <v>42</v>
      </c>
      <c r="I414" t="s">
        <v>43</v>
      </c>
      <c r="J414" t="s">
        <v>740</v>
      </c>
      <c r="K414" t="s">
        <v>56</v>
      </c>
      <c r="M414" t="s">
        <v>106</v>
      </c>
      <c r="P414" t="s">
        <v>58</v>
      </c>
      <c r="Q414" t="s">
        <v>47</v>
      </c>
      <c r="R414" t="s">
        <v>48</v>
      </c>
      <c r="V414" t="s">
        <v>49</v>
      </c>
      <c r="X414" t="s">
        <v>49</v>
      </c>
      <c r="Y414" t="s">
        <v>59</v>
      </c>
      <c r="Z414" t="s">
        <v>3657</v>
      </c>
      <c r="AA414" t="s">
        <v>3657</v>
      </c>
    </row>
    <row r="415" spans="1:27" x14ac:dyDescent="0.35">
      <c r="A415" t="str">
        <f t="shared" si="13"/>
        <v>3708F3</v>
      </c>
      <c r="B415" t="str">
        <f t="shared" si="12"/>
        <v>3708</v>
      </c>
      <c r="C415" t="s">
        <v>743</v>
      </c>
      <c r="D415" t="s">
        <v>5</v>
      </c>
      <c r="E415" t="s">
        <v>40</v>
      </c>
      <c r="F415" t="s">
        <v>73</v>
      </c>
      <c r="G415" t="s">
        <v>104</v>
      </c>
      <c r="H415" t="s">
        <v>42</v>
      </c>
      <c r="I415" t="s">
        <v>67</v>
      </c>
      <c r="J415" t="s">
        <v>740</v>
      </c>
      <c r="M415" t="s">
        <v>106</v>
      </c>
      <c r="P415" t="s">
        <v>46</v>
      </c>
      <c r="Q415" t="s">
        <v>47</v>
      </c>
      <c r="R415" t="s">
        <v>48</v>
      </c>
      <c r="V415" t="s">
        <v>49</v>
      </c>
      <c r="X415" t="s">
        <v>49</v>
      </c>
      <c r="Y415" t="s">
        <v>74</v>
      </c>
      <c r="Z415" t="s">
        <v>89</v>
      </c>
      <c r="AA415" t="s">
        <v>89</v>
      </c>
    </row>
    <row r="416" spans="1:27" x14ac:dyDescent="0.35">
      <c r="A416" t="str">
        <f t="shared" si="13"/>
        <v>3708C2</v>
      </c>
      <c r="B416" t="str">
        <f t="shared" si="12"/>
        <v>3708</v>
      </c>
      <c r="C416" t="s">
        <v>744</v>
      </c>
      <c r="D416" t="s">
        <v>1</v>
      </c>
      <c r="E416" t="s">
        <v>65</v>
      </c>
      <c r="F416" t="s">
        <v>66</v>
      </c>
      <c r="G416" t="s">
        <v>104</v>
      </c>
      <c r="H416" t="s">
        <v>42</v>
      </c>
      <c r="I416" t="s">
        <v>67</v>
      </c>
      <c r="J416" t="s">
        <v>740</v>
      </c>
      <c r="M416" t="s">
        <v>106</v>
      </c>
      <c r="P416" t="s">
        <v>69</v>
      </c>
      <c r="Q416" t="s">
        <v>47</v>
      </c>
      <c r="R416" t="s">
        <v>48</v>
      </c>
      <c r="V416" t="s">
        <v>49</v>
      </c>
      <c r="X416" t="s">
        <v>49</v>
      </c>
      <c r="Y416" t="s">
        <v>70</v>
      </c>
      <c r="Z416" t="s">
        <v>3654</v>
      </c>
      <c r="AA416" t="s">
        <v>3654</v>
      </c>
    </row>
    <row r="417" spans="1:27" x14ac:dyDescent="0.35">
      <c r="A417" t="str">
        <f t="shared" si="13"/>
        <v>3708D7</v>
      </c>
      <c r="B417" t="str">
        <f t="shared" si="12"/>
        <v>3708</v>
      </c>
      <c r="C417" t="s">
        <v>745</v>
      </c>
      <c r="D417" t="s">
        <v>6</v>
      </c>
      <c r="E417" t="s">
        <v>94</v>
      </c>
      <c r="F417" t="s">
        <v>111</v>
      </c>
      <c r="G417" t="s">
        <v>104</v>
      </c>
      <c r="H417" t="s">
        <v>42</v>
      </c>
      <c r="I417" t="s">
        <v>43</v>
      </c>
      <c r="J417" t="s">
        <v>740</v>
      </c>
      <c r="M417" t="s">
        <v>106</v>
      </c>
      <c r="P417" t="s">
        <v>46</v>
      </c>
      <c r="Q417" t="s">
        <v>47</v>
      </c>
      <c r="R417" t="s">
        <v>48</v>
      </c>
      <c r="V417" t="s">
        <v>49</v>
      </c>
      <c r="X417" t="s">
        <v>49</v>
      </c>
      <c r="Y417" t="s">
        <v>59</v>
      </c>
      <c r="Z417" t="s">
        <v>746</v>
      </c>
      <c r="AA417" t="s">
        <v>746</v>
      </c>
    </row>
    <row r="418" spans="1:27" x14ac:dyDescent="0.35">
      <c r="A418" t="str">
        <f t="shared" si="13"/>
        <v>3709F2</v>
      </c>
      <c r="B418" t="str">
        <f t="shared" si="12"/>
        <v>3709</v>
      </c>
      <c r="C418" t="s">
        <v>747</v>
      </c>
      <c r="D418" t="s">
        <v>4</v>
      </c>
      <c r="E418" t="s">
        <v>77</v>
      </c>
      <c r="F418" t="s">
        <v>78</v>
      </c>
      <c r="G418" t="s">
        <v>104</v>
      </c>
      <c r="H418" t="s">
        <v>42</v>
      </c>
      <c r="I418" t="s">
        <v>67</v>
      </c>
      <c r="J418" t="s">
        <v>748</v>
      </c>
      <c r="M418" t="s">
        <v>106</v>
      </c>
      <c r="P418" t="s">
        <v>189</v>
      </c>
      <c r="Q418" t="s">
        <v>47</v>
      </c>
      <c r="R418" t="s">
        <v>48</v>
      </c>
      <c r="V418" t="s">
        <v>49</v>
      </c>
      <c r="X418" t="s">
        <v>49</v>
      </c>
      <c r="Y418" t="s">
        <v>74</v>
      </c>
      <c r="Z418" t="s">
        <v>92</v>
      </c>
      <c r="AA418" t="s">
        <v>92</v>
      </c>
    </row>
    <row r="419" spans="1:27" x14ac:dyDescent="0.35">
      <c r="A419" t="str">
        <f t="shared" si="13"/>
        <v>3709D4</v>
      </c>
      <c r="B419" t="str">
        <f t="shared" si="12"/>
        <v>3709</v>
      </c>
      <c r="C419" t="s">
        <v>749</v>
      </c>
      <c r="D419" t="s">
        <v>3</v>
      </c>
      <c r="E419" t="s">
        <v>52</v>
      </c>
      <c r="F419" t="s">
        <v>53</v>
      </c>
      <c r="G419" t="s">
        <v>104</v>
      </c>
      <c r="H419" t="s">
        <v>42</v>
      </c>
      <c r="I419" t="s">
        <v>43</v>
      </c>
      <c r="J419" t="s">
        <v>748</v>
      </c>
      <c r="K419" t="s">
        <v>56</v>
      </c>
      <c r="M419" t="s">
        <v>106</v>
      </c>
      <c r="P419" t="s">
        <v>58</v>
      </c>
      <c r="Q419" t="s">
        <v>47</v>
      </c>
      <c r="R419" t="s">
        <v>48</v>
      </c>
      <c r="V419" t="s">
        <v>49</v>
      </c>
      <c r="X419" t="s">
        <v>49</v>
      </c>
      <c r="Y419" t="s">
        <v>59</v>
      </c>
      <c r="Z419" t="s">
        <v>3643</v>
      </c>
      <c r="AA419" t="s">
        <v>3643</v>
      </c>
    </row>
    <row r="420" spans="1:27" x14ac:dyDescent="0.35">
      <c r="A420" t="str">
        <f t="shared" si="13"/>
        <v>3709D2</v>
      </c>
      <c r="B420" t="str">
        <f t="shared" si="12"/>
        <v>3709</v>
      </c>
      <c r="C420" t="s">
        <v>750</v>
      </c>
      <c r="D420" t="s">
        <v>2</v>
      </c>
      <c r="E420" t="s">
        <v>62</v>
      </c>
      <c r="F420" t="s">
        <v>63</v>
      </c>
      <c r="G420" t="s">
        <v>104</v>
      </c>
      <c r="H420" t="s">
        <v>42</v>
      </c>
      <c r="I420" t="s">
        <v>43</v>
      </c>
      <c r="J420" t="s">
        <v>748</v>
      </c>
      <c r="K420" t="s">
        <v>56</v>
      </c>
      <c r="M420" t="s">
        <v>106</v>
      </c>
      <c r="P420" t="s">
        <v>58</v>
      </c>
      <c r="Q420" t="s">
        <v>47</v>
      </c>
      <c r="R420" t="s">
        <v>48</v>
      </c>
      <c r="V420" t="s">
        <v>49</v>
      </c>
      <c r="X420" t="s">
        <v>49</v>
      </c>
      <c r="Y420" t="s">
        <v>59</v>
      </c>
      <c r="Z420" t="s">
        <v>3657</v>
      </c>
      <c r="AA420" t="s">
        <v>3657</v>
      </c>
    </row>
    <row r="421" spans="1:27" x14ac:dyDescent="0.35">
      <c r="A421" t="str">
        <f t="shared" si="13"/>
        <v>3709F3</v>
      </c>
      <c r="B421" t="str">
        <f t="shared" si="12"/>
        <v>3709</v>
      </c>
      <c r="C421" t="s">
        <v>751</v>
      </c>
      <c r="D421" t="s">
        <v>5</v>
      </c>
      <c r="E421" t="s">
        <v>40</v>
      </c>
      <c r="F421" t="s">
        <v>73</v>
      </c>
      <c r="G421" t="s">
        <v>104</v>
      </c>
      <c r="H421" t="s">
        <v>42</v>
      </c>
      <c r="I421" t="s">
        <v>67</v>
      </c>
      <c r="J421" t="s">
        <v>748</v>
      </c>
      <c r="M421" t="s">
        <v>106</v>
      </c>
      <c r="P421" t="s">
        <v>46</v>
      </c>
      <c r="Q421" t="s">
        <v>47</v>
      </c>
      <c r="R421" t="s">
        <v>48</v>
      </c>
      <c r="V421" t="s">
        <v>49</v>
      </c>
      <c r="X421" t="s">
        <v>49</v>
      </c>
      <c r="Y421" t="s">
        <v>74</v>
      </c>
      <c r="Z421" t="s">
        <v>752</v>
      </c>
      <c r="AA421" t="s">
        <v>752</v>
      </c>
    </row>
    <row r="422" spans="1:27" x14ac:dyDescent="0.35">
      <c r="A422" t="str">
        <f t="shared" si="13"/>
        <v>3709C2</v>
      </c>
      <c r="B422" t="str">
        <f t="shared" si="12"/>
        <v>3709</v>
      </c>
      <c r="C422" t="s">
        <v>753</v>
      </c>
      <c r="D422" t="s">
        <v>1</v>
      </c>
      <c r="E422" t="s">
        <v>65</v>
      </c>
      <c r="F422" t="s">
        <v>66</v>
      </c>
      <c r="G422" t="s">
        <v>104</v>
      </c>
      <c r="H422" t="s">
        <v>42</v>
      </c>
      <c r="I422" t="s">
        <v>67</v>
      </c>
      <c r="J422" t="s">
        <v>748</v>
      </c>
      <c r="M422" t="s">
        <v>106</v>
      </c>
      <c r="P422" t="s">
        <v>69</v>
      </c>
      <c r="Q422" t="s">
        <v>47</v>
      </c>
      <c r="R422" t="s">
        <v>48</v>
      </c>
      <c r="V422" t="s">
        <v>49</v>
      </c>
      <c r="X422" t="s">
        <v>49</v>
      </c>
      <c r="Y422" t="s">
        <v>70</v>
      </c>
      <c r="Z422" t="s">
        <v>3658</v>
      </c>
      <c r="AA422" t="s">
        <v>3658</v>
      </c>
    </row>
    <row r="423" spans="1:27" x14ac:dyDescent="0.35">
      <c r="A423" t="str">
        <f t="shared" si="13"/>
        <v>3709D7</v>
      </c>
      <c r="B423" t="str">
        <f t="shared" si="12"/>
        <v>3709</v>
      </c>
      <c r="C423" t="s">
        <v>754</v>
      </c>
      <c r="D423" t="s">
        <v>6</v>
      </c>
      <c r="E423" t="s">
        <v>94</v>
      </c>
      <c r="F423" t="s">
        <v>111</v>
      </c>
      <c r="G423" t="s">
        <v>104</v>
      </c>
      <c r="H423" t="s">
        <v>42</v>
      </c>
      <c r="I423" t="s">
        <v>43</v>
      </c>
      <c r="J423" t="s">
        <v>748</v>
      </c>
      <c r="M423" t="s">
        <v>106</v>
      </c>
      <c r="P423" t="s">
        <v>46</v>
      </c>
      <c r="Q423" t="s">
        <v>47</v>
      </c>
      <c r="R423" t="s">
        <v>48</v>
      </c>
      <c r="V423" t="s">
        <v>49</v>
      </c>
      <c r="X423" t="s">
        <v>49</v>
      </c>
      <c r="Y423" t="s">
        <v>59</v>
      </c>
      <c r="Z423" t="s">
        <v>755</v>
      </c>
      <c r="AA423" t="s">
        <v>746</v>
      </c>
    </row>
    <row r="424" spans="1:27" x14ac:dyDescent="0.35">
      <c r="A424" t="str">
        <f t="shared" si="13"/>
        <v>3009F2</v>
      </c>
      <c r="B424" t="str">
        <f t="shared" si="12"/>
        <v>3009</v>
      </c>
      <c r="C424" t="s">
        <v>756</v>
      </c>
      <c r="D424" t="s">
        <v>4</v>
      </c>
      <c r="E424" t="s">
        <v>77</v>
      </c>
      <c r="F424" t="s">
        <v>78</v>
      </c>
      <c r="G424" t="s">
        <v>757</v>
      </c>
      <c r="H424" t="s">
        <v>42</v>
      </c>
      <c r="I424" t="s">
        <v>67</v>
      </c>
      <c r="J424" t="s">
        <v>758</v>
      </c>
      <c r="M424" t="s">
        <v>106</v>
      </c>
      <c r="P424" t="s">
        <v>304</v>
      </c>
      <c r="Q424" t="s">
        <v>47</v>
      </c>
      <c r="R424" t="s">
        <v>48</v>
      </c>
      <c r="V424" t="s">
        <v>49</v>
      </c>
      <c r="X424" t="s">
        <v>49</v>
      </c>
      <c r="Y424" t="s">
        <v>74</v>
      </c>
      <c r="Z424" t="s">
        <v>759</v>
      </c>
      <c r="AA424" t="s">
        <v>759</v>
      </c>
    </row>
    <row r="425" spans="1:27" x14ac:dyDescent="0.35">
      <c r="A425" t="str">
        <f t="shared" si="13"/>
        <v>3009D4</v>
      </c>
      <c r="B425" t="str">
        <f t="shared" si="12"/>
        <v>3009</v>
      </c>
      <c r="C425" t="s">
        <v>760</v>
      </c>
      <c r="D425" t="s">
        <v>3</v>
      </c>
      <c r="E425" t="s">
        <v>52</v>
      </c>
      <c r="F425" t="s">
        <v>53</v>
      </c>
      <c r="G425" t="s">
        <v>757</v>
      </c>
      <c r="H425" t="s">
        <v>42</v>
      </c>
      <c r="I425" t="s">
        <v>43</v>
      </c>
      <c r="J425" t="s">
        <v>758</v>
      </c>
      <c r="K425" t="s">
        <v>56</v>
      </c>
      <c r="M425" t="s">
        <v>106</v>
      </c>
      <c r="P425" t="s">
        <v>58</v>
      </c>
      <c r="Q425" t="s">
        <v>47</v>
      </c>
      <c r="R425" t="s">
        <v>48</v>
      </c>
      <c r="V425" t="s">
        <v>49</v>
      </c>
      <c r="X425" t="s">
        <v>49</v>
      </c>
      <c r="Y425" t="s">
        <v>59</v>
      </c>
      <c r="Z425" t="s">
        <v>761</v>
      </c>
      <c r="AA425" t="s">
        <v>761</v>
      </c>
    </row>
    <row r="426" spans="1:27" x14ac:dyDescent="0.35">
      <c r="A426" t="str">
        <f t="shared" si="13"/>
        <v>3009D2</v>
      </c>
      <c r="B426" t="str">
        <f t="shared" si="12"/>
        <v>3009</v>
      </c>
      <c r="C426" t="s">
        <v>762</v>
      </c>
      <c r="D426" t="s">
        <v>2</v>
      </c>
      <c r="E426" t="s">
        <v>62</v>
      </c>
      <c r="F426" t="s">
        <v>63</v>
      </c>
      <c r="G426" t="s">
        <v>757</v>
      </c>
      <c r="H426" t="s">
        <v>42</v>
      </c>
      <c r="I426" t="s">
        <v>43</v>
      </c>
      <c r="J426" t="s">
        <v>758</v>
      </c>
      <c r="K426" t="s">
        <v>56</v>
      </c>
      <c r="M426" t="s">
        <v>106</v>
      </c>
      <c r="P426" t="s">
        <v>58</v>
      </c>
      <c r="Q426" t="s">
        <v>47</v>
      </c>
      <c r="R426" t="s">
        <v>48</v>
      </c>
      <c r="V426" t="s">
        <v>49</v>
      </c>
      <c r="X426" t="s">
        <v>49</v>
      </c>
      <c r="Y426" t="s">
        <v>59</v>
      </c>
      <c r="Z426" t="s">
        <v>763</v>
      </c>
      <c r="AA426" t="s">
        <v>763</v>
      </c>
    </row>
    <row r="427" spans="1:27" x14ac:dyDescent="0.35">
      <c r="A427" t="str">
        <f t="shared" si="13"/>
        <v>3009F3</v>
      </c>
      <c r="B427" t="str">
        <f t="shared" si="12"/>
        <v>3009</v>
      </c>
      <c r="C427" t="s">
        <v>764</v>
      </c>
      <c r="D427" t="s">
        <v>5</v>
      </c>
      <c r="E427" t="s">
        <v>40</v>
      </c>
      <c r="F427" t="s">
        <v>73</v>
      </c>
      <c r="G427" t="s">
        <v>757</v>
      </c>
      <c r="H427" t="s">
        <v>42</v>
      </c>
      <c r="I427" t="s">
        <v>67</v>
      </c>
      <c r="J427" t="s">
        <v>758</v>
      </c>
      <c r="M427" t="s">
        <v>106</v>
      </c>
      <c r="P427" t="s">
        <v>46</v>
      </c>
      <c r="Q427" t="s">
        <v>47</v>
      </c>
      <c r="R427" t="s">
        <v>48</v>
      </c>
      <c r="V427" t="s">
        <v>49</v>
      </c>
      <c r="X427" t="s">
        <v>49</v>
      </c>
      <c r="Y427" t="s">
        <v>74</v>
      </c>
      <c r="Z427" t="s">
        <v>759</v>
      </c>
      <c r="AA427" t="s">
        <v>759</v>
      </c>
    </row>
    <row r="428" spans="1:27" x14ac:dyDescent="0.35">
      <c r="A428" t="str">
        <f t="shared" si="13"/>
        <v>3009C2</v>
      </c>
      <c r="B428" t="str">
        <f t="shared" si="12"/>
        <v>3009</v>
      </c>
      <c r="C428" t="s">
        <v>765</v>
      </c>
      <c r="D428" t="s">
        <v>1</v>
      </c>
      <c r="E428" t="s">
        <v>65</v>
      </c>
      <c r="F428" t="s">
        <v>66</v>
      </c>
      <c r="G428" t="s">
        <v>757</v>
      </c>
      <c r="H428" t="s">
        <v>42</v>
      </c>
      <c r="I428" t="s">
        <v>67</v>
      </c>
      <c r="J428" t="s">
        <v>758</v>
      </c>
      <c r="M428" t="s">
        <v>106</v>
      </c>
      <c r="P428" t="s">
        <v>69</v>
      </c>
      <c r="Q428" t="s">
        <v>47</v>
      </c>
      <c r="R428" t="s">
        <v>48</v>
      </c>
      <c r="V428" t="s">
        <v>49</v>
      </c>
      <c r="X428" t="s">
        <v>49</v>
      </c>
      <c r="Y428" t="s">
        <v>70</v>
      </c>
      <c r="Z428" t="s">
        <v>763</v>
      </c>
      <c r="AA428" t="s">
        <v>763</v>
      </c>
    </row>
    <row r="429" spans="1:27" x14ac:dyDescent="0.35">
      <c r="A429" t="str">
        <f t="shared" si="13"/>
        <v>3009D7</v>
      </c>
      <c r="B429" t="str">
        <f t="shared" si="12"/>
        <v>3009</v>
      </c>
      <c r="C429" t="s">
        <v>766</v>
      </c>
      <c r="D429" t="s">
        <v>6</v>
      </c>
      <c r="E429" t="s">
        <v>94</v>
      </c>
      <c r="F429" t="s">
        <v>111</v>
      </c>
      <c r="G429" t="s">
        <v>757</v>
      </c>
      <c r="H429" t="s">
        <v>42</v>
      </c>
      <c r="I429" t="s">
        <v>43</v>
      </c>
      <c r="J429" t="s">
        <v>758</v>
      </c>
      <c r="M429" t="s">
        <v>106</v>
      </c>
      <c r="P429" t="s">
        <v>273</v>
      </c>
      <c r="Q429" t="s">
        <v>47</v>
      </c>
      <c r="R429" t="s">
        <v>48</v>
      </c>
      <c r="V429" t="s">
        <v>49</v>
      </c>
      <c r="X429" t="s">
        <v>49</v>
      </c>
      <c r="Y429" t="s">
        <v>59</v>
      </c>
      <c r="Z429" t="s">
        <v>623</v>
      </c>
      <c r="AA429" t="s">
        <v>623</v>
      </c>
    </row>
    <row r="430" spans="1:27" x14ac:dyDescent="0.35">
      <c r="A430" t="str">
        <f t="shared" si="13"/>
        <v>3008F2</v>
      </c>
      <c r="B430" t="str">
        <f t="shared" si="12"/>
        <v>3008</v>
      </c>
      <c r="C430" t="s">
        <v>767</v>
      </c>
      <c r="D430" t="s">
        <v>4</v>
      </c>
      <c r="E430" t="s">
        <v>77</v>
      </c>
      <c r="F430" t="s">
        <v>78</v>
      </c>
      <c r="G430" t="s">
        <v>757</v>
      </c>
      <c r="H430" t="s">
        <v>42</v>
      </c>
      <c r="I430" t="s">
        <v>67</v>
      </c>
      <c r="J430" t="s">
        <v>768</v>
      </c>
      <c r="M430" t="s">
        <v>106</v>
      </c>
      <c r="P430" t="s">
        <v>189</v>
      </c>
      <c r="Q430" t="s">
        <v>47</v>
      </c>
      <c r="R430" t="s">
        <v>48</v>
      </c>
      <c r="V430" t="s">
        <v>49</v>
      </c>
      <c r="X430" t="s">
        <v>49</v>
      </c>
      <c r="Y430" t="s">
        <v>74</v>
      </c>
      <c r="Z430" t="s">
        <v>769</v>
      </c>
      <c r="AA430" t="s">
        <v>769</v>
      </c>
    </row>
    <row r="431" spans="1:27" x14ac:dyDescent="0.35">
      <c r="A431" t="str">
        <f t="shared" si="13"/>
        <v>3008D4</v>
      </c>
      <c r="B431" t="str">
        <f t="shared" si="12"/>
        <v>3008</v>
      </c>
      <c r="C431" t="s">
        <v>770</v>
      </c>
      <c r="D431" t="s">
        <v>3</v>
      </c>
      <c r="E431" t="s">
        <v>52</v>
      </c>
      <c r="F431" t="s">
        <v>53</v>
      </c>
      <c r="G431" t="s">
        <v>757</v>
      </c>
      <c r="H431" t="s">
        <v>42</v>
      </c>
      <c r="I431" t="s">
        <v>43</v>
      </c>
      <c r="J431" t="s">
        <v>768</v>
      </c>
      <c r="K431" t="s">
        <v>56</v>
      </c>
      <c r="M431" t="s">
        <v>106</v>
      </c>
      <c r="P431" t="s">
        <v>69</v>
      </c>
      <c r="Q431" t="s">
        <v>47</v>
      </c>
      <c r="R431" t="s">
        <v>48</v>
      </c>
      <c r="V431" t="s">
        <v>49</v>
      </c>
      <c r="X431" t="s">
        <v>49</v>
      </c>
      <c r="Y431" t="s">
        <v>59</v>
      </c>
      <c r="Z431" t="s">
        <v>771</v>
      </c>
      <c r="AA431" t="s">
        <v>772</v>
      </c>
    </row>
    <row r="432" spans="1:27" x14ac:dyDescent="0.35">
      <c r="A432" t="str">
        <f t="shared" si="13"/>
        <v>3008D2</v>
      </c>
      <c r="B432" t="str">
        <f t="shared" si="12"/>
        <v>3008</v>
      </c>
      <c r="C432" t="s">
        <v>773</v>
      </c>
      <c r="D432" t="s">
        <v>2</v>
      </c>
      <c r="E432" t="s">
        <v>62</v>
      </c>
      <c r="F432" t="s">
        <v>63</v>
      </c>
      <c r="G432" t="s">
        <v>757</v>
      </c>
      <c r="H432" t="s">
        <v>42</v>
      </c>
      <c r="I432" t="s">
        <v>43</v>
      </c>
      <c r="J432" t="s">
        <v>768</v>
      </c>
      <c r="K432" t="s">
        <v>56</v>
      </c>
      <c r="M432" t="s">
        <v>106</v>
      </c>
      <c r="P432" t="s">
        <v>69</v>
      </c>
      <c r="Q432" t="s">
        <v>47</v>
      </c>
      <c r="R432" t="s">
        <v>48</v>
      </c>
      <c r="V432" t="s">
        <v>49</v>
      </c>
      <c r="X432" t="s">
        <v>49</v>
      </c>
      <c r="Y432" t="s">
        <v>59</v>
      </c>
      <c r="Z432" t="s">
        <v>771</v>
      </c>
      <c r="AA432" t="s">
        <v>774</v>
      </c>
    </row>
    <row r="433" spans="1:27" x14ac:dyDescent="0.35">
      <c r="A433" t="str">
        <f t="shared" si="13"/>
        <v>3008F3</v>
      </c>
      <c r="B433" t="str">
        <f t="shared" si="12"/>
        <v>3008</v>
      </c>
      <c r="C433" t="s">
        <v>775</v>
      </c>
      <c r="D433" t="s">
        <v>5</v>
      </c>
      <c r="E433" t="s">
        <v>40</v>
      </c>
      <c r="F433" t="s">
        <v>73</v>
      </c>
      <c r="G433" t="s">
        <v>757</v>
      </c>
      <c r="H433" t="s">
        <v>42</v>
      </c>
      <c r="I433" t="s">
        <v>67</v>
      </c>
      <c r="J433" t="s">
        <v>768</v>
      </c>
      <c r="M433" t="s">
        <v>106</v>
      </c>
      <c r="P433" t="s">
        <v>46</v>
      </c>
      <c r="Q433" t="s">
        <v>47</v>
      </c>
      <c r="R433" t="s">
        <v>48</v>
      </c>
      <c r="V433" t="s">
        <v>49</v>
      </c>
      <c r="X433" t="s">
        <v>49</v>
      </c>
      <c r="Y433" t="s">
        <v>74</v>
      </c>
      <c r="Z433" t="s">
        <v>769</v>
      </c>
      <c r="AA433" t="s">
        <v>769</v>
      </c>
    </row>
    <row r="434" spans="1:27" x14ac:dyDescent="0.35">
      <c r="A434" t="str">
        <f t="shared" si="13"/>
        <v>3008C2</v>
      </c>
      <c r="B434" t="str">
        <f t="shared" si="12"/>
        <v>3008</v>
      </c>
      <c r="C434" t="s">
        <v>776</v>
      </c>
      <c r="D434" t="s">
        <v>1</v>
      </c>
      <c r="E434" t="s">
        <v>65</v>
      </c>
      <c r="F434" t="s">
        <v>66</v>
      </c>
      <c r="G434" t="s">
        <v>757</v>
      </c>
      <c r="H434" t="s">
        <v>42</v>
      </c>
      <c r="I434" t="s">
        <v>67</v>
      </c>
      <c r="J434" t="s">
        <v>768</v>
      </c>
      <c r="M434" t="s">
        <v>106</v>
      </c>
      <c r="P434" t="s">
        <v>69</v>
      </c>
      <c r="Q434" t="s">
        <v>47</v>
      </c>
      <c r="R434" t="s">
        <v>48</v>
      </c>
      <c r="V434" t="s">
        <v>49</v>
      </c>
      <c r="X434" t="s">
        <v>49</v>
      </c>
      <c r="Y434" t="s">
        <v>70</v>
      </c>
      <c r="Z434" t="s">
        <v>774</v>
      </c>
      <c r="AA434" t="s">
        <v>774</v>
      </c>
    </row>
    <row r="435" spans="1:27" x14ac:dyDescent="0.35">
      <c r="A435" t="str">
        <f t="shared" si="13"/>
        <v>3008D7</v>
      </c>
      <c r="B435" t="str">
        <f t="shared" si="12"/>
        <v>3008</v>
      </c>
      <c r="C435" t="s">
        <v>777</v>
      </c>
      <c r="D435" t="s">
        <v>6</v>
      </c>
      <c r="E435" t="s">
        <v>94</v>
      </c>
      <c r="F435" t="s">
        <v>111</v>
      </c>
      <c r="G435" t="s">
        <v>757</v>
      </c>
      <c r="H435" t="s">
        <v>42</v>
      </c>
      <c r="I435" t="s">
        <v>43</v>
      </c>
      <c r="J435" t="s">
        <v>768</v>
      </c>
      <c r="M435" t="s">
        <v>106</v>
      </c>
      <c r="P435" t="s">
        <v>46</v>
      </c>
      <c r="Q435" t="s">
        <v>47</v>
      </c>
      <c r="R435" t="s">
        <v>48</v>
      </c>
      <c r="V435" t="s">
        <v>49</v>
      </c>
      <c r="X435" t="s">
        <v>49</v>
      </c>
      <c r="Y435" t="s">
        <v>59</v>
      </c>
      <c r="Z435" t="s">
        <v>623</v>
      </c>
      <c r="AA435" t="s">
        <v>623</v>
      </c>
    </row>
    <row r="436" spans="1:27" x14ac:dyDescent="0.35">
      <c r="A436" t="str">
        <f t="shared" si="13"/>
        <v>3007F2</v>
      </c>
      <c r="B436" t="str">
        <f t="shared" si="12"/>
        <v>3007</v>
      </c>
      <c r="C436" t="s">
        <v>778</v>
      </c>
      <c r="D436" t="s">
        <v>4</v>
      </c>
      <c r="E436" t="s">
        <v>77</v>
      </c>
      <c r="F436" t="s">
        <v>78</v>
      </c>
      <c r="G436" t="s">
        <v>757</v>
      </c>
      <c r="H436" t="s">
        <v>42</v>
      </c>
      <c r="I436" t="s">
        <v>67</v>
      </c>
      <c r="J436" t="s">
        <v>779</v>
      </c>
      <c r="M436" t="s">
        <v>106</v>
      </c>
      <c r="P436" t="s">
        <v>79</v>
      </c>
      <c r="Q436" t="s">
        <v>47</v>
      </c>
      <c r="R436" t="s">
        <v>48</v>
      </c>
      <c r="V436" t="s">
        <v>49</v>
      </c>
      <c r="X436" t="s">
        <v>49</v>
      </c>
      <c r="Y436" t="s">
        <v>74</v>
      </c>
      <c r="Z436" t="s">
        <v>769</v>
      </c>
      <c r="AA436" t="s">
        <v>769</v>
      </c>
    </row>
    <row r="437" spans="1:27" x14ac:dyDescent="0.35">
      <c r="A437" t="str">
        <f t="shared" si="13"/>
        <v>3007D4</v>
      </c>
      <c r="B437" t="str">
        <f t="shared" si="12"/>
        <v>3007</v>
      </c>
      <c r="C437" t="s">
        <v>780</v>
      </c>
      <c r="D437" t="s">
        <v>3</v>
      </c>
      <c r="E437" t="s">
        <v>52</v>
      </c>
      <c r="F437" t="s">
        <v>53</v>
      </c>
      <c r="G437" t="s">
        <v>757</v>
      </c>
      <c r="H437" t="s">
        <v>42</v>
      </c>
      <c r="I437" t="s">
        <v>43</v>
      </c>
      <c r="J437" t="s">
        <v>779</v>
      </c>
      <c r="K437" t="s">
        <v>56</v>
      </c>
      <c r="M437" t="s">
        <v>106</v>
      </c>
      <c r="P437" t="s">
        <v>58</v>
      </c>
      <c r="Q437" t="s">
        <v>47</v>
      </c>
      <c r="R437" t="s">
        <v>48</v>
      </c>
      <c r="V437" t="s">
        <v>49</v>
      </c>
      <c r="X437" t="s">
        <v>49</v>
      </c>
      <c r="Y437" t="s">
        <v>59</v>
      </c>
      <c r="Z437" t="s">
        <v>781</v>
      </c>
      <c r="AA437" t="s">
        <v>781</v>
      </c>
    </row>
    <row r="438" spans="1:27" x14ac:dyDescent="0.35">
      <c r="A438" t="str">
        <f t="shared" si="13"/>
        <v>3007D2</v>
      </c>
      <c r="B438" t="str">
        <f t="shared" si="12"/>
        <v>3007</v>
      </c>
      <c r="C438" t="s">
        <v>782</v>
      </c>
      <c r="D438" t="s">
        <v>2</v>
      </c>
      <c r="E438" t="s">
        <v>62</v>
      </c>
      <c r="F438" t="s">
        <v>63</v>
      </c>
      <c r="G438" t="s">
        <v>757</v>
      </c>
      <c r="H438" t="s">
        <v>42</v>
      </c>
      <c r="I438" t="s">
        <v>43</v>
      </c>
      <c r="J438" t="s">
        <v>779</v>
      </c>
      <c r="K438" t="s">
        <v>56</v>
      </c>
      <c r="M438" t="s">
        <v>106</v>
      </c>
      <c r="P438" t="s">
        <v>58</v>
      </c>
      <c r="Q438" t="s">
        <v>47</v>
      </c>
      <c r="R438" t="s">
        <v>48</v>
      </c>
      <c r="V438" t="s">
        <v>49</v>
      </c>
      <c r="X438" t="s">
        <v>49</v>
      </c>
      <c r="Y438" t="s">
        <v>59</v>
      </c>
      <c r="Z438" t="s">
        <v>71</v>
      </c>
      <c r="AA438" t="s">
        <v>71</v>
      </c>
    </row>
    <row r="439" spans="1:27" x14ac:dyDescent="0.35">
      <c r="A439" t="str">
        <f t="shared" si="13"/>
        <v>3007F3</v>
      </c>
      <c r="B439" t="str">
        <f t="shared" si="12"/>
        <v>3007</v>
      </c>
      <c r="C439" t="s">
        <v>783</v>
      </c>
      <c r="D439" t="s">
        <v>5</v>
      </c>
      <c r="E439" t="s">
        <v>40</v>
      </c>
      <c r="F439" t="s">
        <v>73</v>
      </c>
      <c r="G439" t="s">
        <v>757</v>
      </c>
      <c r="H439" t="s">
        <v>42</v>
      </c>
      <c r="I439" t="s">
        <v>67</v>
      </c>
      <c r="J439" t="s">
        <v>779</v>
      </c>
      <c r="M439" t="s">
        <v>106</v>
      </c>
      <c r="P439" t="s">
        <v>46</v>
      </c>
      <c r="Q439" t="s">
        <v>47</v>
      </c>
      <c r="R439" t="s">
        <v>48</v>
      </c>
      <c r="V439" t="s">
        <v>49</v>
      </c>
      <c r="X439" t="s">
        <v>49</v>
      </c>
      <c r="Y439" t="s">
        <v>74</v>
      </c>
      <c r="Z439" t="s">
        <v>784</v>
      </c>
      <c r="AA439" t="s">
        <v>784</v>
      </c>
    </row>
    <row r="440" spans="1:27" x14ac:dyDescent="0.35">
      <c r="A440" t="str">
        <f t="shared" si="13"/>
        <v>3007C2</v>
      </c>
      <c r="B440" t="str">
        <f t="shared" si="12"/>
        <v>3007</v>
      </c>
      <c r="C440" t="s">
        <v>785</v>
      </c>
      <c r="D440" t="s">
        <v>1</v>
      </c>
      <c r="E440" t="s">
        <v>65</v>
      </c>
      <c r="F440" t="s">
        <v>66</v>
      </c>
      <c r="G440" t="s">
        <v>757</v>
      </c>
      <c r="H440" t="s">
        <v>42</v>
      </c>
      <c r="I440" t="s">
        <v>67</v>
      </c>
      <c r="J440" t="s">
        <v>779</v>
      </c>
      <c r="M440" t="s">
        <v>106</v>
      </c>
      <c r="P440" t="s">
        <v>69</v>
      </c>
      <c r="Q440" t="s">
        <v>47</v>
      </c>
      <c r="R440" t="s">
        <v>48</v>
      </c>
      <c r="V440" t="s">
        <v>49</v>
      </c>
      <c r="X440" t="s">
        <v>49</v>
      </c>
      <c r="Y440" t="s">
        <v>70</v>
      </c>
      <c r="Z440" t="s">
        <v>71</v>
      </c>
      <c r="AA440" t="s">
        <v>71</v>
      </c>
    </row>
    <row r="441" spans="1:27" x14ac:dyDescent="0.35">
      <c r="A441" t="str">
        <f t="shared" si="13"/>
        <v>3007D7</v>
      </c>
      <c r="B441" t="str">
        <f t="shared" si="12"/>
        <v>3007</v>
      </c>
      <c r="C441" t="s">
        <v>786</v>
      </c>
      <c r="D441" t="s">
        <v>6</v>
      </c>
      <c r="E441" t="s">
        <v>94</v>
      </c>
      <c r="F441" t="s">
        <v>111</v>
      </c>
      <c r="G441" t="s">
        <v>757</v>
      </c>
      <c r="H441" t="s">
        <v>42</v>
      </c>
      <c r="I441" t="s">
        <v>43</v>
      </c>
      <c r="J441" t="s">
        <v>779</v>
      </c>
      <c r="M441" t="s">
        <v>106</v>
      </c>
      <c r="P441" t="s">
        <v>46</v>
      </c>
      <c r="Q441" t="s">
        <v>47</v>
      </c>
      <c r="R441" t="s">
        <v>48</v>
      </c>
      <c r="V441" t="s">
        <v>49</v>
      </c>
      <c r="X441" t="s">
        <v>49</v>
      </c>
      <c r="Y441" t="s">
        <v>59</v>
      </c>
      <c r="Z441" t="s">
        <v>787</v>
      </c>
      <c r="AA441" t="s">
        <v>787</v>
      </c>
    </row>
    <row r="442" spans="1:27" x14ac:dyDescent="0.35">
      <c r="A442" t="str">
        <f t="shared" si="13"/>
        <v>3006F2</v>
      </c>
      <c r="B442" t="str">
        <f t="shared" si="12"/>
        <v>3006</v>
      </c>
      <c r="C442" t="s">
        <v>788</v>
      </c>
      <c r="D442" t="s">
        <v>4</v>
      </c>
      <c r="E442" t="s">
        <v>77</v>
      </c>
      <c r="F442" t="s">
        <v>78</v>
      </c>
      <c r="G442" t="s">
        <v>757</v>
      </c>
      <c r="H442" t="s">
        <v>42</v>
      </c>
      <c r="I442" t="s">
        <v>67</v>
      </c>
      <c r="J442" t="s">
        <v>789</v>
      </c>
      <c r="M442" t="s">
        <v>106</v>
      </c>
      <c r="P442" t="s">
        <v>189</v>
      </c>
      <c r="Q442" t="s">
        <v>47</v>
      </c>
      <c r="R442" t="s">
        <v>48</v>
      </c>
      <c r="V442" t="s">
        <v>49</v>
      </c>
      <c r="X442" t="s">
        <v>49</v>
      </c>
      <c r="Y442" t="s">
        <v>74</v>
      </c>
      <c r="Z442" t="s">
        <v>790</v>
      </c>
      <c r="AA442" t="s">
        <v>790</v>
      </c>
    </row>
    <row r="443" spans="1:27" x14ac:dyDescent="0.35">
      <c r="A443" t="str">
        <f t="shared" si="13"/>
        <v>3006D4</v>
      </c>
      <c r="B443" t="str">
        <f t="shared" si="12"/>
        <v>3006</v>
      </c>
      <c r="C443" t="s">
        <v>791</v>
      </c>
      <c r="D443" t="s">
        <v>3</v>
      </c>
      <c r="E443" t="s">
        <v>52</v>
      </c>
      <c r="F443" t="s">
        <v>53</v>
      </c>
      <c r="G443" t="s">
        <v>757</v>
      </c>
      <c r="H443" t="s">
        <v>42</v>
      </c>
      <c r="I443" t="s">
        <v>43</v>
      </c>
      <c r="J443" t="s">
        <v>789</v>
      </c>
      <c r="K443" t="s">
        <v>56</v>
      </c>
      <c r="M443" t="s">
        <v>106</v>
      </c>
      <c r="P443" t="s">
        <v>58</v>
      </c>
      <c r="Q443" t="s">
        <v>47</v>
      </c>
      <c r="R443" t="s">
        <v>48</v>
      </c>
      <c r="V443" t="s">
        <v>49</v>
      </c>
      <c r="X443" t="s">
        <v>49</v>
      </c>
      <c r="Y443" t="s">
        <v>59</v>
      </c>
      <c r="Z443" t="s">
        <v>792</v>
      </c>
      <c r="AA443" t="s">
        <v>792</v>
      </c>
    </row>
    <row r="444" spans="1:27" x14ac:dyDescent="0.35">
      <c r="A444" t="str">
        <f t="shared" si="13"/>
        <v>3006D2</v>
      </c>
      <c r="B444" t="str">
        <f t="shared" si="12"/>
        <v>3006</v>
      </c>
      <c r="C444" t="s">
        <v>793</v>
      </c>
      <c r="D444" t="s">
        <v>2</v>
      </c>
      <c r="E444" t="s">
        <v>62</v>
      </c>
      <c r="F444" t="s">
        <v>63</v>
      </c>
      <c r="G444" t="s">
        <v>757</v>
      </c>
      <c r="H444" t="s">
        <v>42</v>
      </c>
      <c r="I444" t="s">
        <v>43</v>
      </c>
      <c r="J444" t="s">
        <v>789</v>
      </c>
      <c r="K444" t="s">
        <v>56</v>
      </c>
      <c r="M444" t="s">
        <v>106</v>
      </c>
      <c r="P444" t="s">
        <v>58</v>
      </c>
      <c r="Q444" t="s">
        <v>47</v>
      </c>
      <c r="R444" t="s">
        <v>48</v>
      </c>
      <c r="V444" t="s">
        <v>49</v>
      </c>
      <c r="X444" t="s">
        <v>49</v>
      </c>
      <c r="Y444" t="s">
        <v>59</v>
      </c>
      <c r="Z444" t="s">
        <v>794</v>
      </c>
      <c r="AA444" t="s">
        <v>794</v>
      </c>
    </row>
    <row r="445" spans="1:27" x14ac:dyDescent="0.35">
      <c r="A445" t="str">
        <f t="shared" si="13"/>
        <v>3006F3</v>
      </c>
      <c r="B445" t="str">
        <f t="shared" si="12"/>
        <v>3006</v>
      </c>
      <c r="C445" t="s">
        <v>795</v>
      </c>
      <c r="D445" t="s">
        <v>5</v>
      </c>
      <c r="E445" t="s">
        <v>40</v>
      </c>
      <c r="F445" t="s">
        <v>73</v>
      </c>
      <c r="G445" t="s">
        <v>757</v>
      </c>
      <c r="H445" t="s">
        <v>42</v>
      </c>
      <c r="I445" t="s">
        <v>67</v>
      </c>
      <c r="J445" t="s">
        <v>789</v>
      </c>
      <c r="M445" t="s">
        <v>106</v>
      </c>
      <c r="P445" t="s">
        <v>46</v>
      </c>
      <c r="Q445" t="s">
        <v>47</v>
      </c>
      <c r="R445" t="s">
        <v>48</v>
      </c>
      <c r="V445" t="s">
        <v>49</v>
      </c>
      <c r="X445" t="s">
        <v>49</v>
      </c>
      <c r="Y445" t="s">
        <v>74</v>
      </c>
      <c r="Z445" t="s">
        <v>784</v>
      </c>
      <c r="AA445" t="s">
        <v>784</v>
      </c>
    </row>
    <row r="446" spans="1:27" x14ac:dyDescent="0.35">
      <c r="A446" t="str">
        <f t="shared" si="13"/>
        <v>3006C2</v>
      </c>
      <c r="B446" t="str">
        <f t="shared" si="12"/>
        <v>3006</v>
      </c>
      <c r="C446" t="s">
        <v>796</v>
      </c>
      <c r="D446" t="s">
        <v>1</v>
      </c>
      <c r="E446" t="s">
        <v>65</v>
      </c>
      <c r="F446" t="s">
        <v>66</v>
      </c>
      <c r="G446" t="s">
        <v>757</v>
      </c>
      <c r="H446" t="s">
        <v>42</v>
      </c>
      <c r="I446" t="s">
        <v>67</v>
      </c>
      <c r="J446" t="s">
        <v>789</v>
      </c>
      <c r="M446" t="s">
        <v>106</v>
      </c>
      <c r="P446" t="s">
        <v>69</v>
      </c>
      <c r="Q446" t="s">
        <v>47</v>
      </c>
      <c r="R446" t="s">
        <v>48</v>
      </c>
      <c r="V446" t="s">
        <v>49</v>
      </c>
      <c r="X446" t="s">
        <v>49</v>
      </c>
      <c r="Y446" t="s">
        <v>70</v>
      </c>
      <c r="Z446" t="s">
        <v>797</v>
      </c>
      <c r="AA446" t="s">
        <v>797</v>
      </c>
    </row>
    <row r="447" spans="1:27" x14ac:dyDescent="0.35">
      <c r="A447" t="str">
        <f t="shared" si="13"/>
        <v>3006D7</v>
      </c>
      <c r="B447" t="str">
        <f t="shared" si="12"/>
        <v>3006</v>
      </c>
      <c r="C447" t="s">
        <v>798</v>
      </c>
      <c r="D447" t="s">
        <v>6</v>
      </c>
      <c r="E447" t="s">
        <v>94</v>
      </c>
      <c r="F447" t="s">
        <v>111</v>
      </c>
      <c r="G447" t="s">
        <v>757</v>
      </c>
      <c r="H447" t="s">
        <v>42</v>
      </c>
      <c r="I447" t="s">
        <v>43</v>
      </c>
      <c r="J447" t="s">
        <v>789</v>
      </c>
      <c r="M447" t="s">
        <v>106</v>
      </c>
      <c r="P447" t="s">
        <v>46</v>
      </c>
      <c r="Q447" t="s">
        <v>47</v>
      </c>
      <c r="R447" t="s">
        <v>48</v>
      </c>
      <c r="V447" t="s">
        <v>49</v>
      </c>
      <c r="X447" t="s">
        <v>49</v>
      </c>
      <c r="Y447" t="s">
        <v>59</v>
      </c>
      <c r="Z447" t="s">
        <v>787</v>
      </c>
      <c r="AA447" t="s">
        <v>787</v>
      </c>
    </row>
    <row r="448" spans="1:27" x14ac:dyDescent="0.35">
      <c r="A448" t="str">
        <f t="shared" si="13"/>
        <v>3005F2</v>
      </c>
      <c r="B448" t="str">
        <f t="shared" si="12"/>
        <v>3005</v>
      </c>
      <c r="C448" t="s">
        <v>799</v>
      </c>
      <c r="D448" t="s">
        <v>4</v>
      </c>
      <c r="E448" t="s">
        <v>77</v>
      </c>
      <c r="F448" t="s">
        <v>78</v>
      </c>
      <c r="G448" t="s">
        <v>757</v>
      </c>
      <c r="H448" t="s">
        <v>42</v>
      </c>
      <c r="I448" t="s">
        <v>67</v>
      </c>
      <c r="J448" t="s">
        <v>800</v>
      </c>
      <c r="M448" t="s">
        <v>106</v>
      </c>
      <c r="P448" t="s">
        <v>178</v>
      </c>
      <c r="Q448" t="s">
        <v>47</v>
      </c>
      <c r="R448" t="s">
        <v>48</v>
      </c>
      <c r="V448" t="s">
        <v>49</v>
      </c>
      <c r="X448" t="s">
        <v>49</v>
      </c>
      <c r="Y448" t="s">
        <v>74</v>
      </c>
      <c r="Z448" t="s">
        <v>784</v>
      </c>
      <c r="AA448" t="s">
        <v>784</v>
      </c>
    </row>
    <row r="449" spans="1:27" x14ac:dyDescent="0.35">
      <c r="A449" t="str">
        <f t="shared" si="13"/>
        <v>3005D4</v>
      </c>
      <c r="B449" t="str">
        <f t="shared" si="12"/>
        <v>3005</v>
      </c>
      <c r="C449" t="s">
        <v>801</v>
      </c>
      <c r="D449" t="s">
        <v>3</v>
      </c>
      <c r="E449" t="s">
        <v>52</v>
      </c>
      <c r="F449" t="s">
        <v>53</v>
      </c>
      <c r="G449" t="s">
        <v>757</v>
      </c>
      <c r="H449" t="s">
        <v>42</v>
      </c>
      <c r="I449" t="s">
        <v>43</v>
      </c>
      <c r="J449" t="s">
        <v>800</v>
      </c>
      <c r="K449" t="s">
        <v>56</v>
      </c>
      <c r="M449" t="s">
        <v>106</v>
      </c>
      <c r="P449" t="s">
        <v>58</v>
      </c>
      <c r="Q449" t="s">
        <v>47</v>
      </c>
      <c r="R449" t="s">
        <v>48</v>
      </c>
      <c r="V449" t="s">
        <v>49</v>
      </c>
      <c r="X449" t="s">
        <v>49</v>
      </c>
      <c r="Y449" t="s">
        <v>59</v>
      </c>
      <c r="Z449" t="s">
        <v>802</v>
      </c>
      <c r="AA449" t="s">
        <v>803</v>
      </c>
    </row>
    <row r="450" spans="1:27" x14ac:dyDescent="0.35">
      <c r="A450" t="str">
        <f t="shared" si="13"/>
        <v>3005D2</v>
      </c>
      <c r="B450" t="str">
        <f t="shared" ref="B450:B513" si="14">LEFT($J:$J,4)</f>
        <v>3005</v>
      </c>
      <c r="C450" t="s">
        <v>804</v>
      </c>
      <c r="D450" t="s">
        <v>2</v>
      </c>
      <c r="E450" t="s">
        <v>62</v>
      </c>
      <c r="F450" t="s">
        <v>63</v>
      </c>
      <c r="G450" t="s">
        <v>757</v>
      </c>
      <c r="H450" t="s">
        <v>42</v>
      </c>
      <c r="I450" t="s">
        <v>43</v>
      </c>
      <c r="J450" t="s">
        <v>800</v>
      </c>
      <c r="K450" t="s">
        <v>56</v>
      </c>
      <c r="M450" t="s">
        <v>106</v>
      </c>
      <c r="P450" t="s">
        <v>58</v>
      </c>
      <c r="Q450" t="s">
        <v>47</v>
      </c>
      <c r="R450" t="s">
        <v>48</v>
      </c>
      <c r="V450" t="s">
        <v>49</v>
      </c>
      <c r="X450" t="s">
        <v>49</v>
      </c>
      <c r="Y450" t="s">
        <v>59</v>
      </c>
      <c r="Z450" t="s">
        <v>803</v>
      </c>
      <c r="AA450" t="s">
        <v>803</v>
      </c>
    </row>
    <row r="451" spans="1:27" x14ac:dyDescent="0.35">
      <c r="A451" t="str">
        <f t="shared" ref="A451:A514" si="15">B451&amp;D451</f>
        <v>3005F3</v>
      </c>
      <c r="B451" t="str">
        <f t="shared" si="14"/>
        <v>3005</v>
      </c>
      <c r="C451" t="s">
        <v>805</v>
      </c>
      <c r="D451" t="s">
        <v>5</v>
      </c>
      <c r="E451" t="s">
        <v>40</v>
      </c>
      <c r="F451" t="s">
        <v>73</v>
      </c>
      <c r="G451" t="s">
        <v>757</v>
      </c>
      <c r="H451" t="s">
        <v>42</v>
      </c>
      <c r="I451" t="s">
        <v>67</v>
      </c>
      <c r="J451" t="s">
        <v>800</v>
      </c>
      <c r="M451" t="s">
        <v>106</v>
      </c>
      <c r="P451" t="s">
        <v>46</v>
      </c>
      <c r="Q451" t="s">
        <v>47</v>
      </c>
      <c r="R451" t="s">
        <v>48</v>
      </c>
      <c r="V451" t="s">
        <v>49</v>
      </c>
      <c r="X451" t="s">
        <v>49</v>
      </c>
      <c r="Y451" t="s">
        <v>74</v>
      </c>
      <c r="Z451" t="s">
        <v>784</v>
      </c>
      <c r="AA451" t="s">
        <v>784</v>
      </c>
    </row>
    <row r="452" spans="1:27" x14ac:dyDescent="0.35">
      <c r="A452" t="str">
        <f t="shared" si="15"/>
        <v>3005C2</v>
      </c>
      <c r="B452" t="str">
        <f t="shared" si="14"/>
        <v>3005</v>
      </c>
      <c r="C452" t="s">
        <v>806</v>
      </c>
      <c r="D452" t="s">
        <v>1</v>
      </c>
      <c r="E452" t="s">
        <v>65</v>
      </c>
      <c r="F452" t="s">
        <v>66</v>
      </c>
      <c r="G452" t="s">
        <v>757</v>
      </c>
      <c r="H452" t="s">
        <v>42</v>
      </c>
      <c r="I452" t="s">
        <v>67</v>
      </c>
      <c r="J452" t="s">
        <v>800</v>
      </c>
      <c r="M452" t="s">
        <v>106</v>
      </c>
      <c r="P452" t="s">
        <v>69</v>
      </c>
      <c r="Q452" t="s">
        <v>47</v>
      </c>
      <c r="R452" t="s">
        <v>48</v>
      </c>
      <c r="V452" t="s">
        <v>49</v>
      </c>
      <c r="X452" t="s">
        <v>49</v>
      </c>
      <c r="Y452" t="s">
        <v>70</v>
      </c>
      <c r="Z452" t="s">
        <v>802</v>
      </c>
      <c r="AA452" t="s">
        <v>802</v>
      </c>
    </row>
    <row r="453" spans="1:27" x14ac:dyDescent="0.35">
      <c r="A453" t="str">
        <f t="shared" si="15"/>
        <v>3005D7</v>
      </c>
      <c r="B453" t="str">
        <f t="shared" si="14"/>
        <v>3005</v>
      </c>
      <c r="C453" t="s">
        <v>807</v>
      </c>
      <c r="D453" t="s">
        <v>6</v>
      </c>
      <c r="E453" t="s">
        <v>94</v>
      </c>
      <c r="F453" t="s">
        <v>111</v>
      </c>
      <c r="G453" t="s">
        <v>757</v>
      </c>
      <c r="H453" t="s">
        <v>42</v>
      </c>
      <c r="I453" t="s">
        <v>43</v>
      </c>
      <c r="J453" t="s">
        <v>800</v>
      </c>
      <c r="M453" t="s">
        <v>106</v>
      </c>
      <c r="P453" t="s">
        <v>46</v>
      </c>
      <c r="Q453" t="s">
        <v>47</v>
      </c>
      <c r="R453" t="s">
        <v>48</v>
      </c>
      <c r="V453" t="s">
        <v>49</v>
      </c>
      <c r="X453" t="s">
        <v>49</v>
      </c>
      <c r="Y453" t="s">
        <v>59</v>
      </c>
      <c r="Z453" t="s">
        <v>808</v>
      </c>
      <c r="AA453" t="s">
        <v>808</v>
      </c>
    </row>
    <row r="454" spans="1:27" x14ac:dyDescent="0.35">
      <c r="A454" t="str">
        <f t="shared" si="15"/>
        <v>3004F2</v>
      </c>
      <c r="B454" t="str">
        <f t="shared" si="14"/>
        <v>3004</v>
      </c>
      <c r="C454" t="s">
        <v>809</v>
      </c>
      <c r="D454" t="s">
        <v>4</v>
      </c>
      <c r="E454" t="s">
        <v>77</v>
      </c>
      <c r="F454" t="s">
        <v>78</v>
      </c>
      <c r="G454" t="s">
        <v>757</v>
      </c>
      <c r="H454" t="s">
        <v>42</v>
      </c>
      <c r="I454" t="s">
        <v>67</v>
      </c>
      <c r="J454" t="s">
        <v>810</v>
      </c>
      <c r="M454" t="s">
        <v>106</v>
      </c>
      <c r="P454" t="s">
        <v>138</v>
      </c>
      <c r="Q454" t="s">
        <v>47</v>
      </c>
      <c r="R454" t="s">
        <v>48</v>
      </c>
      <c r="V454" t="s">
        <v>49</v>
      </c>
      <c r="X454" t="s">
        <v>49</v>
      </c>
      <c r="Y454" t="s">
        <v>74</v>
      </c>
      <c r="Z454" t="s">
        <v>811</v>
      </c>
      <c r="AA454" t="s">
        <v>811</v>
      </c>
    </row>
    <row r="455" spans="1:27" x14ac:dyDescent="0.35">
      <c r="A455" t="str">
        <f t="shared" si="15"/>
        <v>3004D4</v>
      </c>
      <c r="B455" t="str">
        <f t="shared" si="14"/>
        <v>3004</v>
      </c>
      <c r="C455" t="s">
        <v>812</v>
      </c>
      <c r="D455" t="s">
        <v>3</v>
      </c>
      <c r="E455" t="s">
        <v>52</v>
      </c>
      <c r="F455" t="s">
        <v>53</v>
      </c>
      <c r="G455" t="s">
        <v>757</v>
      </c>
      <c r="H455" t="s">
        <v>42</v>
      </c>
      <c r="I455" t="s">
        <v>43</v>
      </c>
      <c r="J455" t="s">
        <v>810</v>
      </c>
      <c r="K455" t="s">
        <v>56</v>
      </c>
      <c r="M455" t="s">
        <v>106</v>
      </c>
      <c r="P455" t="s">
        <v>58</v>
      </c>
      <c r="Q455" t="s">
        <v>47</v>
      </c>
      <c r="R455" t="s">
        <v>48</v>
      </c>
      <c r="V455" t="s">
        <v>49</v>
      </c>
      <c r="X455" t="s">
        <v>49</v>
      </c>
      <c r="Y455" t="s">
        <v>59</v>
      </c>
      <c r="Z455" t="s">
        <v>813</v>
      </c>
      <c r="AA455" t="s">
        <v>813</v>
      </c>
    </row>
    <row r="456" spans="1:27" x14ac:dyDescent="0.35">
      <c r="A456" t="str">
        <f t="shared" si="15"/>
        <v>3004D2</v>
      </c>
      <c r="B456" t="str">
        <f t="shared" si="14"/>
        <v>3004</v>
      </c>
      <c r="C456" t="s">
        <v>814</v>
      </c>
      <c r="D456" t="s">
        <v>2</v>
      </c>
      <c r="E456" t="s">
        <v>62</v>
      </c>
      <c r="F456" t="s">
        <v>63</v>
      </c>
      <c r="G456" t="s">
        <v>757</v>
      </c>
      <c r="H456" t="s">
        <v>42</v>
      </c>
      <c r="I456" t="s">
        <v>43</v>
      </c>
      <c r="J456" t="s">
        <v>810</v>
      </c>
      <c r="K456" t="s">
        <v>56</v>
      </c>
      <c r="M456" t="s">
        <v>106</v>
      </c>
      <c r="P456" t="s">
        <v>58</v>
      </c>
      <c r="Q456" t="s">
        <v>47</v>
      </c>
      <c r="R456" t="s">
        <v>48</v>
      </c>
      <c r="V456" t="s">
        <v>49</v>
      </c>
      <c r="X456" t="s">
        <v>49</v>
      </c>
      <c r="Y456" t="s">
        <v>59</v>
      </c>
      <c r="Z456" t="s">
        <v>811</v>
      </c>
      <c r="AA456" t="s">
        <v>811</v>
      </c>
    </row>
    <row r="457" spans="1:27" x14ac:dyDescent="0.35">
      <c r="A457" t="str">
        <f t="shared" si="15"/>
        <v>3004F3</v>
      </c>
      <c r="B457" t="str">
        <f t="shared" si="14"/>
        <v>3004</v>
      </c>
      <c r="C457" t="s">
        <v>815</v>
      </c>
      <c r="D457" t="s">
        <v>5</v>
      </c>
      <c r="E457" t="s">
        <v>40</v>
      </c>
      <c r="F457" t="s">
        <v>73</v>
      </c>
      <c r="G457" t="s">
        <v>757</v>
      </c>
      <c r="H457" t="s">
        <v>42</v>
      </c>
      <c r="I457" t="s">
        <v>67</v>
      </c>
      <c r="J457" t="s">
        <v>810</v>
      </c>
      <c r="M457" t="s">
        <v>106</v>
      </c>
      <c r="P457" t="s">
        <v>46</v>
      </c>
      <c r="Q457" t="s">
        <v>47</v>
      </c>
      <c r="R457" t="s">
        <v>48</v>
      </c>
      <c r="V457" t="s">
        <v>49</v>
      </c>
      <c r="X457" t="s">
        <v>49</v>
      </c>
      <c r="Y457" t="s">
        <v>74</v>
      </c>
      <c r="Z457" t="s">
        <v>784</v>
      </c>
      <c r="AA457" t="s">
        <v>784</v>
      </c>
    </row>
    <row r="458" spans="1:27" x14ac:dyDescent="0.35">
      <c r="A458" t="str">
        <f t="shared" si="15"/>
        <v>3004C2</v>
      </c>
      <c r="B458" t="str">
        <f t="shared" si="14"/>
        <v>3004</v>
      </c>
      <c r="C458" t="s">
        <v>816</v>
      </c>
      <c r="D458" t="s">
        <v>1</v>
      </c>
      <c r="E458" t="s">
        <v>65</v>
      </c>
      <c r="F458" t="s">
        <v>66</v>
      </c>
      <c r="G458" t="s">
        <v>757</v>
      </c>
      <c r="H458" t="s">
        <v>42</v>
      </c>
      <c r="I458" t="s">
        <v>67</v>
      </c>
      <c r="J458" t="s">
        <v>810</v>
      </c>
      <c r="M458" t="s">
        <v>106</v>
      </c>
      <c r="P458" t="s">
        <v>69</v>
      </c>
      <c r="Q458" t="s">
        <v>47</v>
      </c>
      <c r="R458" t="s">
        <v>48</v>
      </c>
      <c r="V458" t="s">
        <v>49</v>
      </c>
      <c r="X458" t="s">
        <v>49</v>
      </c>
      <c r="Y458" t="s">
        <v>70</v>
      </c>
      <c r="Z458" t="s">
        <v>811</v>
      </c>
      <c r="AA458" t="s">
        <v>811</v>
      </c>
    </row>
    <row r="459" spans="1:27" x14ac:dyDescent="0.35">
      <c r="A459" t="str">
        <f t="shared" si="15"/>
        <v>3004D7</v>
      </c>
      <c r="B459" t="str">
        <f t="shared" si="14"/>
        <v>3004</v>
      </c>
      <c r="C459" t="s">
        <v>817</v>
      </c>
      <c r="D459" t="s">
        <v>6</v>
      </c>
      <c r="E459" t="s">
        <v>94</v>
      </c>
      <c r="F459" t="s">
        <v>111</v>
      </c>
      <c r="G459" t="s">
        <v>757</v>
      </c>
      <c r="H459" t="s">
        <v>42</v>
      </c>
      <c r="I459" t="s">
        <v>43</v>
      </c>
      <c r="J459" t="s">
        <v>810</v>
      </c>
      <c r="M459" t="s">
        <v>106</v>
      </c>
      <c r="P459" t="s">
        <v>46</v>
      </c>
      <c r="Q459" t="s">
        <v>47</v>
      </c>
      <c r="R459" t="s">
        <v>48</v>
      </c>
      <c r="V459" t="s">
        <v>49</v>
      </c>
      <c r="X459" t="s">
        <v>49</v>
      </c>
      <c r="Y459" t="s">
        <v>59</v>
      </c>
      <c r="Z459" t="s">
        <v>818</v>
      </c>
      <c r="AA459" t="s">
        <v>818</v>
      </c>
    </row>
    <row r="460" spans="1:27" x14ac:dyDescent="0.35">
      <c r="A460" t="str">
        <f t="shared" si="15"/>
        <v>3002F2</v>
      </c>
      <c r="B460" t="str">
        <f t="shared" si="14"/>
        <v>3002</v>
      </c>
      <c r="C460" t="s">
        <v>819</v>
      </c>
      <c r="D460" t="s">
        <v>4</v>
      </c>
      <c r="E460" t="s">
        <v>77</v>
      </c>
      <c r="F460" t="s">
        <v>78</v>
      </c>
      <c r="G460" t="s">
        <v>757</v>
      </c>
      <c r="H460" t="s">
        <v>42</v>
      </c>
      <c r="I460" t="s">
        <v>67</v>
      </c>
      <c r="J460" t="s">
        <v>820</v>
      </c>
      <c r="M460" t="s">
        <v>106</v>
      </c>
      <c r="P460" t="s">
        <v>91</v>
      </c>
      <c r="Q460" t="s">
        <v>47</v>
      </c>
      <c r="R460" t="s">
        <v>48</v>
      </c>
      <c r="V460" t="s">
        <v>49</v>
      </c>
      <c r="X460" t="s">
        <v>49</v>
      </c>
      <c r="Y460" t="s">
        <v>74</v>
      </c>
      <c r="Z460" t="s">
        <v>784</v>
      </c>
      <c r="AA460" t="s">
        <v>784</v>
      </c>
    </row>
    <row r="461" spans="1:27" x14ac:dyDescent="0.35">
      <c r="A461" t="str">
        <f t="shared" si="15"/>
        <v>3002D4</v>
      </c>
      <c r="B461" t="str">
        <f t="shared" si="14"/>
        <v>3002</v>
      </c>
      <c r="C461" t="s">
        <v>821</v>
      </c>
      <c r="D461" t="s">
        <v>3</v>
      </c>
      <c r="E461" t="s">
        <v>52</v>
      </c>
      <c r="F461" t="s">
        <v>53</v>
      </c>
      <c r="G461" t="s">
        <v>757</v>
      </c>
      <c r="H461" t="s">
        <v>42</v>
      </c>
      <c r="I461" t="s">
        <v>43</v>
      </c>
      <c r="J461" t="s">
        <v>820</v>
      </c>
      <c r="K461" t="s">
        <v>56</v>
      </c>
      <c r="M461" t="s">
        <v>106</v>
      </c>
      <c r="P461" t="s">
        <v>58</v>
      </c>
      <c r="Q461" t="s">
        <v>47</v>
      </c>
      <c r="R461" t="s">
        <v>48</v>
      </c>
      <c r="V461" t="s">
        <v>49</v>
      </c>
      <c r="X461" t="s">
        <v>49</v>
      </c>
      <c r="Y461" t="s">
        <v>59</v>
      </c>
      <c r="Z461" t="s">
        <v>822</v>
      </c>
      <c r="AA461" t="s">
        <v>822</v>
      </c>
    </row>
    <row r="462" spans="1:27" x14ac:dyDescent="0.35">
      <c r="A462" t="str">
        <f t="shared" si="15"/>
        <v>3002D2</v>
      </c>
      <c r="B462" t="str">
        <f t="shared" si="14"/>
        <v>3002</v>
      </c>
      <c r="C462" t="s">
        <v>823</v>
      </c>
      <c r="D462" t="s">
        <v>2</v>
      </c>
      <c r="E462" t="s">
        <v>62</v>
      </c>
      <c r="F462" t="s">
        <v>63</v>
      </c>
      <c r="G462" t="s">
        <v>757</v>
      </c>
      <c r="H462" t="s">
        <v>42</v>
      </c>
      <c r="I462" t="s">
        <v>43</v>
      </c>
      <c r="J462" t="s">
        <v>820</v>
      </c>
      <c r="K462" t="s">
        <v>56</v>
      </c>
      <c r="M462" t="s">
        <v>106</v>
      </c>
      <c r="P462" t="s">
        <v>58</v>
      </c>
      <c r="Q462" t="s">
        <v>47</v>
      </c>
      <c r="R462" t="s">
        <v>48</v>
      </c>
      <c r="V462" t="s">
        <v>49</v>
      </c>
      <c r="X462" t="s">
        <v>49</v>
      </c>
      <c r="Y462" t="s">
        <v>59</v>
      </c>
      <c r="Z462" t="s">
        <v>802</v>
      </c>
      <c r="AA462" t="s">
        <v>802</v>
      </c>
    </row>
    <row r="463" spans="1:27" x14ac:dyDescent="0.35">
      <c r="A463" t="str">
        <f t="shared" si="15"/>
        <v>3002F3</v>
      </c>
      <c r="B463" t="str">
        <f t="shared" si="14"/>
        <v>3002</v>
      </c>
      <c r="C463" t="s">
        <v>824</v>
      </c>
      <c r="D463" t="s">
        <v>5</v>
      </c>
      <c r="E463" t="s">
        <v>40</v>
      </c>
      <c r="F463" t="s">
        <v>73</v>
      </c>
      <c r="G463" t="s">
        <v>757</v>
      </c>
      <c r="H463" t="s">
        <v>42</v>
      </c>
      <c r="I463" t="s">
        <v>67</v>
      </c>
      <c r="J463" t="s">
        <v>820</v>
      </c>
      <c r="M463" t="s">
        <v>106</v>
      </c>
      <c r="P463" t="s">
        <v>46</v>
      </c>
      <c r="Q463" t="s">
        <v>47</v>
      </c>
      <c r="R463" t="s">
        <v>48</v>
      </c>
      <c r="V463" t="s">
        <v>49</v>
      </c>
      <c r="X463" t="s">
        <v>49</v>
      </c>
      <c r="Y463" t="s">
        <v>74</v>
      </c>
      <c r="Z463" t="s">
        <v>825</v>
      </c>
      <c r="AA463" t="s">
        <v>825</v>
      </c>
    </row>
    <row r="464" spans="1:27" x14ac:dyDescent="0.35">
      <c r="A464" t="str">
        <f t="shared" si="15"/>
        <v>3002C2</v>
      </c>
      <c r="B464" t="str">
        <f t="shared" si="14"/>
        <v>3002</v>
      </c>
      <c r="C464" t="s">
        <v>826</v>
      </c>
      <c r="D464" t="s">
        <v>1</v>
      </c>
      <c r="E464" t="s">
        <v>65</v>
      </c>
      <c r="F464" t="s">
        <v>66</v>
      </c>
      <c r="G464" t="s">
        <v>757</v>
      </c>
      <c r="H464" t="s">
        <v>42</v>
      </c>
      <c r="I464" t="s">
        <v>67</v>
      </c>
      <c r="J464" t="s">
        <v>820</v>
      </c>
      <c r="M464" t="s">
        <v>106</v>
      </c>
      <c r="P464" t="s">
        <v>69</v>
      </c>
      <c r="Q464" t="s">
        <v>47</v>
      </c>
      <c r="R464" t="s">
        <v>48</v>
      </c>
      <c r="V464" t="s">
        <v>49</v>
      </c>
      <c r="X464" t="s">
        <v>49</v>
      </c>
      <c r="Y464" t="s">
        <v>70</v>
      </c>
      <c r="Z464" t="s">
        <v>827</v>
      </c>
      <c r="AA464" t="s">
        <v>827</v>
      </c>
    </row>
    <row r="465" spans="1:27" x14ac:dyDescent="0.35">
      <c r="A465" t="str">
        <f t="shared" si="15"/>
        <v>3002D7</v>
      </c>
      <c r="B465" t="str">
        <f t="shared" si="14"/>
        <v>3002</v>
      </c>
      <c r="C465" t="s">
        <v>828</v>
      </c>
      <c r="D465" t="s">
        <v>6</v>
      </c>
      <c r="E465" t="s">
        <v>94</v>
      </c>
      <c r="F465" t="s">
        <v>111</v>
      </c>
      <c r="G465" t="s">
        <v>757</v>
      </c>
      <c r="H465" t="s">
        <v>42</v>
      </c>
      <c r="I465" t="s">
        <v>43</v>
      </c>
      <c r="J465" t="s">
        <v>820</v>
      </c>
      <c r="M465" t="s">
        <v>106</v>
      </c>
      <c r="P465" t="s">
        <v>46</v>
      </c>
      <c r="Q465" t="s">
        <v>47</v>
      </c>
      <c r="R465" t="s">
        <v>48</v>
      </c>
      <c r="V465" t="s">
        <v>49</v>
      </c>
      <c r="X465" t="s">
        <v>49</v>
      </c>
      <c r="Y465" t="s">
        <v>59</v>
      </c>
      <c r="Z465" t="s">
        <v>818</v>
      </c>
      <c r="AA465" t="s">
        <v>818</v>
      </c>
    </row>
    <row r="466" spans="1:27" x14ac:dyDescent="0.35">
      <c r="A466" t="str">
        <f t="shared" si="15"/>
        <v>3003F2</v>
      </c>
      <c r="B466" t="str">
        <f t="shared" si="14"/>
        <v>3003</v>
      </c>
      <c r="C466" t="s">
        <v>829</v>
      </c>
      <c r="D466" t="s">
        <v>4</v>
      </c>
      <c r="E466" t="s">
        <v>77</v>
      </c>
      <c r="F466" t="s">
        <v>78</v>
      </c>
      <c r="G466" t="s">
        <v>757</v>
      </c>
      <c r="H466" t="s">
        <v>42</v>
      </c>
      <c r="I466" t="s">
        <v>67</v>
      </c>
      <c r="J466" t="s">
        <v>830</v>
      </c>
      <c r="M466" t="s">
        <v>106</v>
      </c>
      <c r="P466" t="s">
        <v>91</v>
      </c>
      <c r="Q466" t="s">
        <v>47</v>
      </c>
      <c r="R466" t="s">
        <v>48</v>
      </c>
      <c r="V466" t="s">
        <v>49</v>
      </c>
      <c r="X466" t="s">
        <v>49</v>
      </c>
      <c r="Y466" t="s">
        <v>74</v>
      </c>
      <c r="Z466" t="s">
        <v>811</v>
      </c>
      <c r="AA466" t="s">
        <v>811</v>
      </c>
    </row>
    <row r="467" spans="1:27" x14ac:dyDescent="0.35">
      <c r="A467" t="str">
        <f t="shared" si="15"/>
        <v>3003D4</v>
      </c>
      <c r="B467" t="str">
        <f t="shared" si="14"/>
        <v>3003</v>
      </c>
      <c r="C467" t="s">
        <v>831</v>
      </c>
      <c r="D467" t="s">
        <v>3</v>
      </c>
      <c r="E467" t="s">
        <v>52</v>
      </c>
      <c r="F467" t="s">
        <v>53</v>
      </c>
      <c r="G467" t="s">
        <v>757</v>
      </c>
      <c r="H467" t="s">
        <v>42</v>
      </c>
      <c r="I467" t="s">
        <v>43</v>
      </c>
      <c r="J467" t="s">
        <v>830</v>
      </c>
      <c r="K467" t="s">
        <v>56</v>
      </c>
      <c r="M467" t="s">
        <v>106</v>
      </c>
      <c r="P467" t="s">
        <v>58</v>
      </c>
      <c r="Q467" t="s">
        <v>47</v>
      </c>
      <c r="R467" t="s">
        <v>48</v>
      </c>
      <c r="V467" t="s">
        <v>49</v>
      </c>
      <c r="X467" t="s">
        <v>49</v>
      </c>
      <c r="Y467" t="s">
        <v>59</v>
      </c>
      <c r="Z467" t="s">
        <v>832</v>
      </c>
      <c r="AA467" t="s">
        <v>832</v>
      </c>
    </row>
    <row r="468" spans="1:27" x14ac:dyDescent="0.35">
      <c r="A468" t="str">
        <f t="shared" si="15"/>
        <v>3003D2</v>
      </c>
      <c r="B468" t="str">
        <f t="shared" si="14"/>
        <v>3003</v>
      </c>
      <c r="C468" t="s">
        <v>833</v>
      </c>
      <c r="D468" t="s">
        <v>2</v>
      </c>
      <c r="E468" t="s">
        <v>62</v>
      </c>
      <c r="F468" t="s">
        <v>63</v>
      </c>
      <c r="G468" t="s">
        <v>757</v>
      </c>
      <c r="H468" t="s">
        <v>42</v>
      </c>
      <c r="I468" t="s">
        <v>43</v>
      </c>
      <c r="J468" t="s">
        <v>830</v>
      </c>
      <c r="K468" t="s">
        <v>56</v>
      </c>
      <c r="M468" t="s">
        <v>106</v>
      </c>
      <c r="P468" t="s">
        <v>58</v>
      </c>
      <c r="Q468" t="s">
        <v>47</v>
      </c>
      <c r="R468" t="s">
        <v>48</v>
      </c>
      <c r="V468" t="s">
        <v>49</v>
      </c>
      <c r="X468" t="s">
        <v>49</v>
      </c>
      <c r="Y468" t="s">
        <v>59</v>
      </c>
      <c r="Z468" t="s">
        <v>832</v>
      </c>
      <c r="AA468" t="s">
        <v>832</v>
      </c>
    </row>
    <row r="469" spans="1:27" x14ac:dyDescent="0.35">
      <c r="A469" t="str">
        <f t="shared" si="15"/>
        <v>3003F3</v>
      </c>
      <c r="B469" t="str">
        <f t="shared" si="14"/>
        <v>3003</v>
      </c>
      <c r="C469" t="s">
        <v>834</v>
      </c>
      <c r="D469" t="s">
        <v>5</v>
      </c>
      <c r="E469" t="s">
        <v>40</v>
      </c>
      <c r="F469" t="s">
        <v>73</v>
      </c>
      <c r="G469" t="s">
        <v>757</v>
      </c>
      <c r="H469" t="s">
        <v>42</v>
      </c>
      <c r="I469" t="s">
        <v>67</v>
      </c>
      <c r="J469" t="s">
        <v>830</v>
      </c>
      <c r="M469" t="s">
        <v>106</v>
      </c>
      <c r="P469" t="s">
        <v>46</v>
      </c>
      <c r="Q469" t="s">
        <v>47</v>
      </c>
      <c r="R469" t="s">
        <v>48</v>
      </c>
      <c r="V469" t="s">
        <v>49</v>
      </c>
      <c r="X469" t="s">
        <v>49</v>
      </c>
      <c r="Y469" t="s">
        <v>74</v>
      </c>
      <c r="Z469" t="s">
        <v>825</v>
      </c>
      <c r="AA469" t="s">
        <v>825</v>
      </c>
    </row>
    <row r="470" spans="1:27" x14ac:dyDescent="0.35">
      <c r="A470" t="str">
        <f t="shared" si="15"/>
        <v>3003C2</v>
      </c>
      <c r="B470" t="str">
        <f t="shared" si="14"/>
        <v>3003</v>
      </c>
      <c r="C470" t="s">
        <v>835</v>
      </c>
      <c r="D470" t="s">
        <v>1</v>
      </c>
      <c r="E470" t="s">
        <v>65</v>
      </c>
      <c r="F470" t="s">
        <v>66</v>
      </c>
      <c r="G470" t="s">
        <v>757</v>
      </c>
      <c r="H470" t="s">
        <v>42</v>
      </c>
      <c r="I470" t="s">
        <v>67</v>
      </c>
      <c r="J470" t="s">
        <v>830</v>
      </c>
      <c r="M470" t="s">
        <v>106</v>
      </c>
      <c r="P470" t="s">
        <v>69</v>
      </c>
      <c r="Q470" t="s">
        <v>47</v>
      </c>
      <c r="R470" t="s">
        <v>48</v>
      </c>
      <c r="V470" t="s">
        <v>49</v>
      </c>
      <c r="X470" t="s">
        <v>49</v>
      </c>
      <c r="Y470" t="s">
        <v>70</v>
      </c>
      <c r="Z470" t="s">
        <v>836</v>
      </c>
      <c r="AA470" t="s">
        <v>837</v>
      </c>
    </row>
    <row r="471" spans="1:27" x14ac:dyDescent="0.35">
      <c r="A471" t="str">
        <f t="shared" si="15"/>
        <v>3003D7</v>
      </c>
      <c r="B471" t="str">
        <f t="shared" si="14"/>
        <v>3003</v>
      </c>
      <c r="C471" t="s">
        <v>838</v>
      </c>
      <c r="D471" t="s">
        <v>6</v>
      </c>
      <c r="E471" t="s">
        <v>94</v>
      </c>
      <c r="F471" t="s">
        <v>111</v>
      </c>
      <c r="G471" t="s">
        <v>757</v>
      </c>
      <c r="H471" t="s">
        <v>42</v>
      </c>
      <c r="I471" t="s">
        <v>43</v>
      </c>
      <c r="J471" t="s">
        <v>830</v>
      </c>
      <c r="M471" t="s">
        <v>106</v>
      </c>
      <c r="P471" t="s">
        <v>46</v>
      </c>
      <c r="Q471" t="s">
        <v>47</v>
      </c>
      <c r="R471" t="s">
        <v>48</v>
      </c>
      <c r="V471" t="s">
        <v>49</v>
      </c>
      <c r="X471" t="s">
        <v>49</v>
      </c>
      <c r="Y471" t="s">
        <v>59</v>
      </c>
      <c r="Z471" t="s">
        <v>818</v>
      </c>
      <c r="AA471" t="s">
        <v>818</v>
      </c>
    </row>
    <row r="472" spans="1:27" x14ac:dyDescent="0.35">
      <c r="A472" t="str">
        <f t="shared" si="15"/>
        <v>3001F2</v>
      </c>
      <c r="B472" t="str">
        <f t="shared" si="14"/>
        <v>3001</v>
      </c>
      <c r="C472" t="s">
        <v>839</v>
      </c>
      <c r="D472" t="s">
        <v>4</v>
      </c>
      <c r="E472" t="s">
        <v>77</v>
      </c>
      <c r="F472" t="s">
        <v>78</v>
      </c>
      <c r="G472" t="s">
        <v>757</v>
      </c>
      <c r="H472" t="s">
        <v>42</v>
      </c>
      <c r="I472" t="s">
        <v>67</v>
      </c>
      <c r="J472" t="s">
        <v>840</v>
      </c>
      <c r="M472" t="s">
        <v>106</v>
      </c>
      <c r="P472" t="s">
        <v>710</v>
      </c>
      <c r="Q472" t="s">
        <v>47</v>
      </c>
      <c r="R472" t="s">
        <v>48</v>
      </c>
      <c r="V472" t="s">
        <v>49</v>
      </c>
      <c r="X472" t="s">
        <v>49</v>
      </c>
      <c r="Y472" t="s">
        <v>74</v>
      </c>
      <c r="Z472" t="s">
        <v>841</v>
      </c>
      <c r="AA472" t="s">
        <v>841</v>
      </c>
    </row>
    <row r="473" spans="1:27" x14ac:dyDescent="0.35">
      <c r="A473" t="str">
        <f t="shared" si="15"/>
        <v>3001D4</v>
      </c>
      <c r="B473" t="str">
        <f t="shared" si="14"/>
        <v>3001</v>
      </c>
      <c r="C473" t="s">
        <v>842</v>
      </c>
      <c r="D473" t="s">
        <v>3</v>
      </c>
      <c r="E473" t="s">
        <v>52</v>
      </c>
      <c r="F473" t="s">
        <v>53</v>
      </c>
      <c r="G473" t="s">
        <v>757</v>
      </c>
      <c r="H473" t="s">
        <v>42</v>
      </c>
      <c r="I473" t="s">
        <v>43</v>
      </c>
      <c r="J473" t="s">
        <v>840</v>
      </c>
      <c r="K473" t="s">
        <v>56</v>
      </c>
      <c r="M473" t="s">
        <v>106</v>
      </c>
      <c r="P473" t="s">
        <v>58</v>
      </c>
      <c r="Q473" t="s">
        <v>47</v>
      </c>
      <c r="R473" t="s">
        <v>48</v>
      </c>
      <c r="V473" t="s">
        <v>49</v>
      </c>
      <c r="X473" t="s">
        <v>49</v>
      </c>
      <c r="Y473" t="s">
        <v>59</v>
      </c>
      <c r="Z473" t="s">
        <v>3606</v>
      </c>
      <c r="AA473" t="s">
        <v>3606</v>
      </c>
    </row>
    <row r="474" spans="1:27" x14ac:dyDescent="0.35">
      <c r="A474" t="str">
        <f t="shared" si="15"/>
        <v>3001D2</v>
      </c>
      <c r="B474" t="str">
        <f t="shared" si="14"/>
        <v>3001</v>
      </c>
      <c r="C474" t="s">
        <v>843</v>
      </c>
      <c r="D474" t="s">
        <v>2</v>
      </c>
      <c r="E474" t="s">
        <v>62</v>
      </c>
      <c r="F474" t="s">
        <v>63</v>
      </c>
      <c r="G474" t="s">
        <v>757</v>
      </c>
      <c r="H474" t="s">
        <v>42</v>
      </c>
      <c r="I474" t="s">
        <v>43</v>
      </c>
      <c r="J474" t="s">
        <v>840</v>
      </c>
      <c r="K474" t="s">
        <v>56</v>
      </c>
      <c r="M474" t="s">
        <v>106</v>
      </c>
      <c r="P474" t="s">
        <v>58</v>
      </c>
      <c r="Q474" t="s">
        <v>47</v>
      </c>
      <c r="R474" t="s">
        <v>48</v>
      </c>
      <c r="V474" t="s">
        <v>49</v>
      </c>
      <c r="X474" t="s">
        <v>49</v>
      </c>
      <c r="Y474" t="s">
        <v>59</v>
      </c>
      <c r="Z474" t="s">
        <v>827</v>
      </c>
      <c r="AA474" t="s">
        <v>827</v>
      </c>
    </row>
    <row r="475" spans="1:27" x14ac:dyDescent="0.35">
      <c r="A475" t="str">
        <f t="shared" si="15"/>
        <v>3001F3</v>
      </c>
      <c r="B475" t="str">
        <f t="shared" si="14"/>
        <v>3001</v>
      </c>
      <c r="C475" t="s">
        <v>844</v>
      </c>
      <c r="D475" t="s">
        <v>5</v>
      </c>
      <c r="E475" t="s">
        <v>40</v>
      </c>
      <c r="F475" t="s">
        <v>73</v>
      </c>
      <c r="G475" t="s">
        <v>757</v>
      </c>
      <c r="H475" t="s">
        <v>42</v>
      </c>
      <c r="I475" t="s">
        <v>67</v>
      </c>
      <c r="J475" t="s">
        <v>840</v>
      </c>
      <c r="M475" t="s">
        <v>106</v>
      </c>
      <c r="P475" t="s">
        <v>46</v>
      </c>
      <c r="Q475" t="s">
        <v>47</v>
      </c>
      <c r="R475" t="s">
        <v>48</v>
      </c>
      <c r="V475" t="s">
        <v>49</v>
      </c>
      <c r="X475" t="s">
        <v>49</v>
      </c>
      <c r="Y475" t="s">
        <v>74</v>
      </c>
      <c r="Z475" t="s">
        <v>845</v>
      </c>
      <c r="AA475" t="s">
        <v>845</v>
      </c>
    </row>
    <row r="476" spans="1:27" x14ac:dyDescent="0.35">
      <c r="A476" t="str">
        <f t="shared" si="15"/>
        <v>3001C2</v>
      </c>
      <c r="B476" t="str">
        <f t="shared" si="14"/>
        <v>3001</v>
      </c>
      <c r="C476" t="s">
        <v>846</v>
      </c>
      <c r="D476" t="s">
        <v>1</v>
      </c>
      <c r="E476" t="s">
        <v>65</v>
      </c>
      <c r="F476" t="s">
        <v>66</v>
      </c>
      <c r="G476" t="s">
        <v>757</v>
      </c>
      <c r="H476" t="s">
        <v>42</v>
      </c>
      <c r="I476" t="s">
        <v>67</v>
      </c>
      <c r="J476" t="s">
        <v>840</v>
      </c>
      <c r="M476" t="s">
        <v>106</v>
      </c>
      <c r="P476" t="s">
        <v>69</v>
      </c>
      <c r="Q476" t="s">
        <v>47</v>
      </c>
      <c r="R476" t="s">
        <v>48</v>
      </c>
      <c r="V476" t="s">
        <v>49</v>
      </c>
      <c r="X476" t="s">
        <v>49</v>
      </c>
      <c r="Y476" t="s">
        <v>70</v>
      </c>
      <c r="Z476" t="s">
        <v>827</v>
      </c>
      <c r="AA476" t="s">
        <v>827</v>
      </c>
    </row>
    <row r="477" spans="1:27" x14ac:dyDescent="0.35">
      <c r="A477" t="str">
        <f t="shared" si="15"/>
        <v>3001D7</v>
      </c>
      <c r="B477" t="str">
        <f t="shared" si="14"/>
        <v>3001</v>
      </c>
      <c r="C477" t="s">
        <v>847</v>
      </c>
      <c r="D477" t="s">
        <v>6</v>
      </c>
      <c r="E477" t="s">
        <v>94</v>
      </c>
      <c r="F477" t="s">
        <v>111</v>
      </c>
      <c r="G477" t="s">
        <v>757</v>
      </c>
      <c r="H477" t="s">
        <v>42</v>
      </c>
      <c r="I477" t="s">
        <v>43</v>
      </c>
      <c r="J477" t="s">
        <v>840</v>
      </c>
      <c r="M477" t="s">
        <v>106</v>
      </c>
      <c r="P477" t="s">
        <v>46</v>
      </c>
      <c r="Q477" t="s">
        <v>47</v>
      </c>
      <c r="R477" t="s">
        <v>48</v>
      </c>
      <c r="V477" t="s">
        <v>49</v>
      </c>
      <c r="X477" t="s">
        <v>49</v>
      </c>
      <c r="Y477" t="s">
        <v>59</v>
      </c>
      <c r="Z477" t="s">
        <v>848</v>
      </c>
      <c r="AA477" t="s">
        <v>848</v>
      </c>
    </row>
    <row r="478" spans="1:27" x14ac:dyDescent="0.35">
      <c r="A478" t="str">
        <f t="shared" si="15"/>
        <v>2909F2</v>
      </c>
      <c r="B478" t="str">
        <f t="shared" si="14"/>
        <v>2909</v>
      </c>
      <c r="C478" t="s">
        <v>849</v>
      </c>
      <c r="D478" t="s">
        <v>4</v>
      </c>
      <c r="E478" t="s">
        <v>77</v>
      </c>
      <c r="F478" t="s">
        <v>78</v>
      </c>
      <c r="G478" t="s">
        <v>757</v>
      </c>
      <c r="H478" t="s">
        <v>42</v>
      </c>
      <c r="I478" t="s">
        <v>67</v>
      </c>
      <c r="J478" t="s">
        <v>850</v>
      </c>
      <c r="M478" t="s">
        <v>106</v>
      </c>
      <c r="P478" t="s">
        <v>79</v>
      </c>
      <c r="Q478" t="s">
        <v>47</v>
      </c>
      <c r="R478" t="s">
        <v>48</v>
      </c>
      <c r="V478" t="s">
        <v>49</v>
      </c>
      <c r="X478" t="s">
        <v>49</v>
      </c>
      <c r="Y478" t="s">
        <v>74</v>
      </c>
      <c r="Z478" t="s">
        <v>851</v>
      </c>
      <c r="AA478" t="s">
        <v>851</v>
      </c>
    </row>
    <row r="479" spans="1:27" x14ac:dyDescent="0.35">
      <c r="A479" t="str">
        <f t="shared" si="15"/>
        <v>2909D4</v>
      </c>
      <c r="B479" t="str">
        <f t="shared" si="14"/>
        <v>2909</v>
      </c>
      <c r="C479" t="s">
        <v>852</v>
      </c>
      <c r="D479" t="s">
        <v>3</v>
      </c>
      <c r="E479" t="s">
        <v>52</v>
      </c>
      <c r="F479" t="s">
        <v>53</v>
      </c>
      <c r="G479" t="s">
        <v>757</v>
      </c>
      <c r="H479" t="s">
        <v>42</v>
      </c>
      <c r="I479" t="s">
        <v>43</v>
      </c>
      <c r="J479" t="s">
        <v>850</v>
      </c>
      <c r="K479" t="s">
        <v>56</v>
      </c>
      <c r="M479" t="s">
        <v>106</v>
      </c>
      <c r="P479" t="s">
        <v>58</v>
      </c>
      <c r="Q479" t="s">
        <v>47</v>
      </c>
      <c r="R479" t="s">
        <v>48</v>
      </c>
      <c r="V479" t="s">
        <v>49</v>
      </c>
      <c r="X479" t="s">
        <v>49</v>
      </c>
      <c r="Y479" t="s">
        <v>59</v>
      </c>
      <c r="Z479" t="s">
        <v>853</v>
      </c>
      <c r="AA479" t="s">
        <v>853</v>
      </c>
    </row>
    <row r="480" spans="1:27" x14ac:dyDescent="0.35">
      <c r="A480" t="str">
        <f t="shared" si="15"/>
        <v>2909D2</v>
      </c>
      <c r="B480" t="str">
        <f t="shared" si="14"/>
        <v>2909</v>
      </c>
      <c r="C480" t="s">
        <v>854</v>
      </c>
      <c r="D480" t="s">
        <v>2</v>
      </c>
      <c r="E480" t="s">
        <v>62</v>
      </c>
      <c r="F480" t="s">
        <v>63</v>
      </c>
      <c r="G480" t="s">
        <v>757</v>
      </c>
      <c r="H480" t="s">
        <v>42</v>
      </c>
      <c r="I480" t="s">
        <v>43</v>
      </c>
      <c r="J480" t="s">
        <v>850</v>
      </c>
      <c r="K480" t="s">
        <v>56</v>
      </c>
      <c r="M480" t="s">
        <v>106</v>
      </c>
      <c r="P480" t="s">
        <v>58</v>
      </c>
      <c r="Q480" t="s">
        <v>47</v>
      </c>
      <c r="R480" t="s">
        <v>48</v>
      </c>
      <c r="V480" t="s">
        <v>49</v>
      </c>
      <c r="X480" t="s">
        <v>49</v>
      </c>
      <c r="Y480" t="s">
        <v>59</v>
      </c>
      <c r="Z480" t="s">
        <v>853</v>
      </c>
      <c r="AA480" t="s">
        <v>853</v>
      </c>
    </row>
    <row r="481" spans="1:27" x14ac:dyDescent="0.35">
      <c r="A481" t="str">
        <f t="shared" si="15"/>
        <v>2909F3</v>
      </c>
      <c r="B481" t="str">
        <f t="shared" si="14"/>
        <v>2909</v>
      </c>
      <c r="C481" t="s">
        <v>855</v>
      </c>
      <c r="D481" t="s">
        <v>5</v>
      </c>
      <c r="E481" t="s">
        <v>40</v>
      </c>
      <c r="F481" t="s">
        <v>73</v>
      </c>
      <c r="G481" t="s">
        <v>757</v>
      </c>
      <c r="H481" t="s">
        <v>42</v>
      </c>
      <c r="I481" t="s">
        <v>67</v>
      </c>
      <c r="J481" t="s">
        <v>850</v>
      </c>
      <c r="M481" t="s">
        <v>106</v>
      </c>
      <c r="P481" t="s">
        <v>46</v>
      </c>
      <c r="Q481" t="s">
        <v>47</v>
      </c>
      <c r="R481" t="s">
        <v>48</v>
      </c>
      <c r="V481" t="s">
        <v>49</v>
      </c>
      <c r="X481" t="s">
        <v>49</v>
      </c>
      <c r="Y481" t="s">
        <v>74</v>
      </c>
      <c r="Z481" t="s">
        <v>851</v>
      </c>
      <c r="AA481" t="s">
        <v>851</v>
      </c>
    </row>
    <row r="482" spans="1:27" x14ac:dyDescent="0.35">
      <c r="A482" t="str">
        <f t="shared" si="15"/>
        <v>2909C2</v>
      </c>
      <c r="B482" t="str">
        <f t="shared" si="14"/>
        <v>2909</v>
      </c>
      <c r="C482" t="s">
        <v>856</v>
      </c>
      <c r="D482" t="s">
        <v>1</v>
      </c>
      <c r="E482" t="s">
        <v>65</v>
      </c>
      <c r="F482" t="s">
        <v>66</v>
      </c>
      <c r="G482" t="s">
        <v>757</v>
      </c>
      <c r="H482" t="s">
        <v>42</v>
      </c>
      <c r="I482" t="s">
        <v>67</v>
      </c>
      <c r="J482" t="s">
        <v>850</v>
      </c>
      <c r="M482" t="s">
        <v>106</v>
      </c>
      <c r="P482" t="s">
        <v>69</v>
      </c>
      <c r="Q482" t="s">
        <v>47</v>
      </c>
      <c r="R482" t="s">
        <v>48</v>
      </c>
      <c r="V482" t="s">
        <v>49</v>
      </c>
      <c r="X482" t="s">
        <v>49</v>
      </c>
      <c r="Y482" t="s">
        <v>70</v>
      </c>
      <c r="Z482" t="s">
        <v>857</v>
      </c>
      <c r="AA482" t="s">
        <v>857</v>
      </c>
    </row>
    <row r="483" spans="1:27" x14ac:dyDescent="0.35">
      <c r="A483" t="str">
        <f t="shared" si="15"/>
        <v>2909D7</v>
      </c>
      <c r="B483" t="str">
        <f t="shared" si="14"/>
        <v>2909</v>
      </c>
      <c r="C483" t="s">
        <v>858</v>
      </c>
      <c r="D483" t="s">
        <v>6</v>
      </c>
      <c r="E483" t="s">
        <v>94</v>
      </c>
      <c r="F483" t="s">
        <v>111</v>
      </c>
      <c r="G483" t="s">
        <v>757</v>
      </c>
      <c r="H483" t="s">
        <v>42</v>
      </c>
      <c r="I483" t="s">
        <v>43</v>
      </c>
      <c r="J483" t="s">
        <v>850</v>
      </c>
      <c r="M483" t="s">
        <v>106</v>
      </c>
      <c r="P483" t="s">
        <v>46</v>
      </c>
      <c r="Q483" t="s">
        <v>47</v>
      </c>
      <c r="R483" t="s">
        <v>48</v>
      </c>
      <c r="V483" t="s">
        <v>49</v>
      </c>
      <c r="X483" t="s">
        <v>49</v>
      </c>
      <c r="Y483" t="s">
        <v>59</v>
      </c>
      <c r="Z483" t="s">
        <v>848</v>
      </c>
      <c r="AA483" t="s">
        <v>848</v>
      </c>
    </row>
    <row r="484" spans="1:27" x14ac:dyDescent="0.35">
      <c r="A484" t="str">
        <f t="shared" si="15"/>
        <v>2908F2</v>
      </c>
      <c r="B484" t="str">
        <f t="shared" si="14"/>
        <v>2908</v>
      </c>
      <c r="C484" t="s">
        <v>859</v>
      </c>
      <c r="D484" t="s">
        <v>4</v>
      </c>
      <c r="E484" t="s">
        <v>77</v>
      </c>
      <c r="F484" t="s">
        <v>78</v>
      </c>
      <c r="G484" t="s">
        <v>757</v>
      </c>
      <c r="H484" t="s">
        <v>42</v>
      </c>
      <c r="I484" t="s">
        <v>67</v>
      </c>
      <c r="J484" t="s">
        <v>860</v>
      </c>
      <c r="M484" t="s">
        <v>106</v>
      </c>
      <c r="P484" t="s">
        <v>189</v>
      </c>
      <c r="Q484" t="s">
        <v>47</v>
      </c>
      <c r="R484" t="s">
        <v>48</v>
      </c>
      <c r="V484" t="s">
        <v>49</v>
      </c>
      <c r="X484" t="s">
        <v>49</v>
      </c>
      <c r="Y484" t="s">
        <v>74</v>
      </c>
      <c r="Z484" t="s">
        <v>851</v>
      </c>
      <c r="AA484" t="s">
        <v>851</v>
      </c>
    </row>
    <row r="485" spans="1:27" x14ac:dyDescent="0.35">
      <c r="A485" t="str">
        <f t="shared" si="15"/>
        <v>2908D4</v>
      </c>
      <c r="B485" t="str">
        <f t="shared" si="14"/>
        <v>2908</v>
      </c>
      <c r="C485" t="s">
        <v>861</v>
      </c>
      <c r="D485" t="s">
        <v>3</v>
      </c>
      <c r="E485" t="s">
        <v>52</v>
      </c>
      <c r="F485" t="s">
        <v>53</v>
      </c>
      <c r="G485" t="s">
        <v>757</v>
      </c>
      <c r="H485" t="s">
        <v>42</v>
      </c>
      <c r="I485" t="s">
        <v>43</v>
      </c>
      <c r="J485" t="s">
        <v>860</v>
      </c>
      <c r="K485" t="s">
        <v>56</v>
      </c>
      <c r="M485" t="s">
        <v>106</v>
      </c>
      <c r="P485" t="s">
        <v>58</v>
      </c>
      <c r="Q485" t="s">
        <v>47</v>
      </c>
      <c r="R485" t="s">
        <v>48</v>
      </c>
      <c r="V485" t="s">
        <v>49</v>
      </c>
      <c r="X485" t="s">
        <v>49</v>
      </c>
      <c r="Y485" t="s">
        <v>59</v>
      </c>
      <c r="Z485" t="s">
        <v>857</v>
      </c>
      <c r="AA485" t="s">
        <v>857</v>
      </c>
    </row>
    <row r="486" spans="1:27" x14ac:dyDescent="0.35">
      <c r="A486" t="str">
        <f t="shared" si="15"/>
        <v>2908D2</v>
      </c>
      <c r="B486" t="str">
        <f t="shared" si="14"/>
        <v>2908</v>
      </c>
      <c r="C486" t="s">
        <v>862</v>
      </c>
      <c r="D486" t="s">
        <v>2</v>
      </c>
      <c r="E486" t="s">
        <v>62</v>
      </c>
      <c r="F486" t="s">
        <v>63</v>
      </c>
      <c r="G486" t="s">
        <v>757</v>
      </c>
      <c r="H486" t="s">
        <v>42</v>
      </c>
      <c r="I486" t="s">
        <v>43</v>
      </c>
      <c r="J486" t="s">
        <v>860</v>
      </c>
      <c r="K486" t="s">
        <v>56</v>
      </c>
      <c r="M486" t="s">
        <v>106</v>
      </c>
      <c r="P486" t="s">
        <v>58</v>
      </c>
      <c r="Q486" t="s">
        <v>47</v>
      </c>
      <c r="R486" t="s">
        <v>48</v>
      </c>
      <c r="V486" t="s">
        <v>49</v>
      </c>
      <c r="X486" t="s">
        <v>49</v>
      </c>
      <c r="Y486" t="s">
        <v>59</v>
      </c>
      <c r="Z486" t="s">
        <v>857</v>
      </c>
      <c r="AA486" t="s">
        <v>857</v>
      </c>
    </row>
    <row r="487" spans="1:27" x14ac:dyDescent="0.35">
      <c r="A487" t="str">
        <f t="shared" si="15"/>
        <v>2908F3</v>
      </c>
      <c r="B487" t="str">
        <f t="shared" si="14"/>
        <v>2908</v>
      </c>
      <c r="C487" t="s">
        <v>863</v>
      </c>
      <c r="D487" t="s">
        <v>5</v>
      </c>
      <c r="E487" t="s">
        <v>40</v>
      </c>
      <c r="F487" t="s">
        <v>73</v>
      </c>
      <c r="G487" t="s">
        <v>757</v>
      </c>
      <c r="H487" t="s">
        <v>42</v>
      </c>
      <c r="I487" t="s">
        <v>67</v>
      </c>
      <c r="J487" t="s">
        <v>860</v>
      </c>
      <c r="M487" t="s">
        <v>106</v>
      </c>
      <c r="P487" t="s">
        <v>46</v>
      </c>
      <c r="Q487" t="s">
        <v>47</v>
      </c>
      <c r="R487" t="s">
        <v>48</v>
      </c>
      <c r="V487" t="s">
        <v>49</v>
      </c>
      <c r="X487" t="s">
        <v>49</v>
      </c>
      <c r="Y487" t="s">
        <v>74</v>
      </c>
      <c r="Z487" t="s">
        <v>851</v>
      </c>
      <c r="AA487" t="s">
        <v>851</v>
      </c>
    </row>
    <row r="488" spans="1:27" x14ac:dyDescent="0.35">
      <c r="A488" t="str">
        <f t="shared" si="15"/>
        <v>2908C2</v>
      </c>
      <c r="B488" t="str">
        <f t="shared" si="14"/>
        <v>2908</v>
      </c>
      <c r="C488" t="s">
        <v>864</v>
      </c>
      <c r="D488" t="s">
        <v>1</v>
      </c>
      <c r="E488" t="s">
        <v>65</v>
      </c>
      <c r="F488" t="s">
        <v>66</v>
      </c>
      <c r="G488" t="s">
        <v>757</v>
      </c>
      <c r="H488" t="s">
        <v>42</v>
      </c>
      <c r="I488" t="s">
        <v>67</v>
      </c>
      <c r="J488" t="s">
        <v>860</v>
      </c>
      <c r="M488" t="s">
        <v>106</v>
      </c>
      <c r="P488" t="s">
        <v>69</v>
      </c>
      <c r="Q488" t="s">
        <v>47</v>
      </c>
      <c r="R488" t="s">
        <v>48</v>
      </c>
      <c r="V488" t="s">
        <v>49</v>
      </c>
      <c r="X488" t="s">
        <v>49</v>
      </c>
      <c r="Y488" t="s">
        <v>70</v>
      </c>
      <c r="Z488" t="s">
        <v>857</v>
      </c>
      <c r="AA488" t="s">
        <v>857</v>
      </c>
    </row>
    <row r="489" spans="1:27" x14ac:dyDescent="0.35">
      <c r="A489" t="str">
        <f t="shared" si="15"/>
        <v>2908D7</v>
      </c>
      <c r="B489" t="str">
        <f t="shared" si="14"/>
        <v>2908</v>
      </c>
      <c r="C489" t="s">
        <v>865</v>
      </c>
      <c r="D489" t="s">
        <v>6</v>
      </c>
      <c r="E489" t="s">
        <v>94</v>
      </c>
      <c r="F489" t="s">
        <v>111</v>
      </c>
      <c r="G489" t="s">
        <v>757</v>
      </c>
      <c r="H489" t="s">
        <v>42</v>
      </c>
      <c r="I489" t="s">
        <v>43</v>
      </c>
      <c r="J489" t="s">
        <v>860</v>
      </c>
      <c r="M489" t="s">
        <v>106</v>
      </c>
      <c r="P489" t="s">
        <v>46</v>
      </c>
      <c r="Q489" t="s">
        <v>47</v>
      </c>
      <c r="R489" t="s">
        <v>48</v>
      </c>
      <c r="V489" t="s">
        <v>49</v>
      </c>
      <c r="X489" t="s">
        <v>49</v>
      </c>
      <c r="Y489" t="s">
        <v>59</v>
      </c>
      <c r="Z489" t="s">
        <v>866</v>
      </c>
      <c r="AA489" t="s">
        <v>866</v>
      </c>
    </row>
    <row r="490" spans="1:27" x14ac:dyDescent="0.35">
      <c r="A490" t="str">
        <f t="shared" si="15"/>
        <v>2907F2</v>
      </c>
      <c r="B490" t="str">
        <f t="shared" si="14"/>
        <v>2907</v>
      </c>
      <c r="C490" t="s">
        <v>867</v>
      </c>
      <c r="D490" t="s">
        <v>4</v>
      </c>
      <c r="E490" t="s">
        <v>77</v>
      </c>
      <c r="F490" t="s">
        <v>78</v>
      </c>
      <c r="G490" t="s">
        <v>757</v>
      </c>
      <c r="H490" t="s">
        <v>42</v>
      </c>
      <c r="I490" t="s">
        <v>67</v>
      </c>
      <c r="J490" t="s">
        <v>868</v>
      </c>
      <c r="M490" t="s">
        <v>106</v>
      </c>
      <c r="P490" t="s">
        <v>79</v>
      </c>
      <c r="Q490" t="s">
        <v>47</v>
      </c>
      <c r="R490" t="s">
        <v>48</v>
      </c>
      <c r="V490" t="s">
        <v>49</v>
      </c>
      <c r="X490" t="s">
        <v>49</v>
      </c>
      <c r="Y490" t="s">
        <v>74</v>
      </c>
      <c r="Z490" t="s">
        <v>851</v>
      </c>
      <c r="AA490" t="s">
        <v>851</v>
      </c>
    </row>
    <row r="491" spans="1:27" x14ac:dyDescent="0.35">
      <c r="A491" t="str">
        <f t="shared" si="15"/>
        <v>2907D4</v>
      </c>
      <c r="B491" t="str">
        <f t="shared" si="14"/>
        <v>2907</v>
      </c>
      <c r="C491" t="s">
        <v>869</v>
      </c>
      <c r="D491" t="s">
        <v>3</v>
      </c>
      <c r="E491" t="s">
        <v>52</v>
      </c>
      <c r="F491" t="s">
        <v>53</v>
      </c>
      <c r="G491" t="s">
        <v>757</v>
      </c>
      <c r="H491" t="s">
        <v>42</v>
      </c>
      <c r="I491" t="s">
        <v>43</v>
      </c>
      <c r="J491" t="s">
        <v>868</v>
      </c>
      <c r="K491" t="s">
        <v>56</v>
      </c>
      <c r="M491" t="s">
        <v>106</v>
      </c>
      <c r="P491" t="s">
        <v>58</v>
      </c>
      <c r="Q491" t="s">
        <v>47</v>
      </c>
      <c r="R491" t="s">
        <v>48</v>
      </c>
      <c r="V491" t="s">
        <v>49</v>
      </c>
      <c r="X491" t="s">
        <v>49</v>
      </c>
      <c r="Y491" t="s">
        <v>59</v>
      </c>
      <c r="Z491" t="s">
        <v>870</v>
      </c>
      <c r="AA491" t="s">
        <v>871</v>
      </c>
    </row>
    <row r="492" spans="1:27" x14ac:dyDescent="0.35">
      <c r="A492" t="str">
        <f t="shared" si="15"/>
        <v>2907D2</v>
      </c>
      <c r="B492" t="str">
        <f t="shared" si="14"/>
        <v>2907</v>
      </c>
      <c r="C492" t="s">
        <v>872</v>
      </c>
      <c r="D492" t="s">
        <v>2</v>
      </c>
      <c r="E492" t="s">
        <v>62</v>
      </c>
      <c r="F492" t="s">
        <v>63</v>
      </c>
      <c r="G492" t="s">
        <v>757</v>
      </c>
      <c r="H492" t="s">
        <v>42</v>
      </c>
      <c r="I492" t="s">
        <v>43</v>
      </c>
      <c r="J492" t="s">
        <v>868</v>
      </c>
      <c r="K492" t="s">
        <v>56</v>
      </c>
      <c r="M492" t="s">
        <v>106</v>
      </c>
      <c r="P492" t="s">
        <v>58</v>
      </c>
      <c r="Q492" t="s">
        <v>47</v>
      </c>
      <c r="R492" t="s">
        <v>48</v>
      </c>
      <c r="V492" t="s">
        <v>49</v>
      </c>
      <c r="X492" t="s">
        <v>49</v>
      </c>
      <c r="Y492" t="s">
        <v>59</v>
      </c>
      <c r="Z492" t="s">
        <v>873</v>
      </c>
      <c r="AA492" t="s">
        <v>873</v>
      </c>
    </row>
    <row r="493" spans="1:27" x14ac:dyDescent="0.35">
      <c r="A493" t="str">
        <f t="shared" si="15"/>
        <v>2907F3</v>
      </c>
      <c r="B493" t="str">
        <f t="shared" si="14"/>
        <v>2907</v>
      </c>
      <c r="C493" t="s">
        <v>874</v>
      </c>
      <c r="D493" t="s">
        <v>5</v>
      </c>
      <c r="E493" t="s">
        <v>40</v>
      </c>
      <c r="F493" t="s">
        <v>73</v>
      </c>
      <c r="G493" t="s">
        <v>757</v>
      </c>
      <c r="H493" t="s">
        <v>42</v>
      </c>
      <c r="I493" t="s">
        <v>67</v>
      </c>
      <c r="J493" t="s">
        <v>868</v>
      </c>
      <c r="M493" t="s">
        <v>106</v>
      </c>
      <c r="P493" t="s">
        <v>46</v>
      </c>
      <c r="Q493" t="s">
        <v>47</v>
      </c>
      <c r="R493" t="s">
        <v>48</v>
      </c>
      <c r="V493" t="s">
        <v>49</v>
      </c>
      <c r="X493" t="s">
        <v>49</v>
      </c>
      <c r="Y493" t="s">
        <v>74</v>
      </c>
      <c r="Z493" t="s">
        <v>851</v>
      </c>
      <c r="AA493" t="s">
        <v>851</v>
      </c>
    </row>
    <row r="494" spans="1:27" x14ac:dyDescent="0.35">
      <c r="A494" t="str">
        <f t="shared" si="15"/>
        <v>2907C2</v>
      </c>
      <c r="B494" t="str">
        <f t="shared" si="14"/>
        <v>2907</v>
      </c>
      <c r="C494" t="s">
        <v>875</v>
      </c>
      <c r="D494" t="s">
        <v>1</v>
      </c>
      <c r="E494" t="s">
        <v>65</v>
      </c>
      <c r="F494" t="s">
        <v>66</v>
      </c>
      <c r="G494" t="s">
        <v>757</v>
      </c>
      <c r="H494" t="s">
        <v>42</v>
      </c>
      <c r="I494" t="s">
        <v>67</v>
      </c>
      <c r="J494" t="s">
        <v>868</v>
      </c>
      <c r="M494" t="s">
        <v>106</v>
      </c>
      <c r="P494" t="s">
        <v>69</v>
      </c>
      <c r="Q494" t="s">
        <v>47</v>
      </c>
      <c r="R494" t="s">
        <v>48</v>
      </c>
      <c r="V494" t="s">
        <v>49</v>
      </c>
      <c r="X494" t="s">
        <v>49</v>
      </c>
      <c r="Y494" t="s">
        <v>70</v>
      </c>
      <c r="Z494" t="s">
        <v>873</v>
      </c>
      <c r="AA494" t="s">
        <v>873</v>
      </c>
    </row>
    <row r="495" spans="1:27" x14ac:dyDescent="0.35">
      <c r="A495" t="str">
        <f t="shared" si="15"/>
        <v>2907D7</v>
      </c>
      <c r="B495" t="str">
        <f t="shared" si="14"/>
        <v>2907</v>
      </c>
      <c r="C495" t="s">
        <v>876</v>
      </c>
      <c r="D495" t="s">
        <v>6</v>
      </c>
      <c r="E495" t="s">
        <v>94</v>
      </c>
      <c r="F495" t="s">
        <v>111</v>
      </c>
      <c r="G495" t="s">
        <v>757</v>
      </c>
      <c r="H495" t="s">
        <v>42</v>
      </c>
      <c r="I495" t="s">
        <v>43</v>
      </c>
      <c r="J495" t="s">
        <v>868</v>
      </c>
      <c r="M495" t="s">
        <v>106</v>
      </c>
      <c r="P495" t="s">
        <v>46</v>
      </c>
      <c r="Q495" t="s">
        <v>47</v>
      </c>
      <c r="R495" t="s">
        <v>48</v>
      </c>
      <c r="V495" t="s">
        <v>49</v>
      </c>
      <c r="X495" t="s">
        <v>49</v>
      </c>
      <c r="Y495" t="s">
        <v>59</v>
      </c>
      <c r="Z495" t="s">
        <v>866</v>
      </c>
      <c r="AA495" t="s">
        <v>866</v>
      </c>
    </row>
    <row r="496" spans="1:27" x14ac:dyDescent="0.35">
      <c r="A496" t="str">
        <f t="shared" si="15"/>
        <v>2906F2</v>
      </c>
      <c r="B496" t="str">
        <f t="shared" si="14"/>
        <v>2906</v>
      </c>
      <c r="C496" t="s">
        <v>877</v>
      </c>
      <c r="D496" t="s">
        <v>4</v>
      </c>
      <c r="E496" t="s">
        <v>77</v>
      </c>
      <c r="F496" t="s">
        <v>78</v>
      </c>
      <c r="G496" t="s">
        <v>757</v>
      </c>
      <c r="H496" t="s">
        <v>42</v>
      </c>
      <c r="I496" t="s">
        <v>67</v>
      </c>
      <c r="J496" t="s">
        <v>878</v>
      </c>
      <c r="M496" t="s">
        <v>106</v>
      </c>
      <c r="P496" t="s">
        <v>189</v>
      </c>
      <c r="Q496" t="s">
        <v>47</v>
      </c>
      <c r="R496" t="s">
        <v>48</v>
      </c>
      <c r="V496" t="s">
        <v>49</v>
      </c>
      <c r="X496" t="s">
        <v>49</v>
      </c>
      <c r="Y496" t="s">
        <v>74</v>
      </c>
      <c r="Z496" t="s">
        <v>851</v>
      </c>
      <c r="AA496" t="s">
        <v>851</v>
      </c>
    </row>
    <row r="497" spans="1:27" x14ac:dyDescent="0.35">
      <c r="A497" t="str">
        <f t="shared" si="15"/>
        <v>2906D4</v>
      </c>
      <c r="B497" t="str">
        <f t="shared" si="14"/>
        <v>2906</v>
      </c>
      <c r="C497" t="s">
        <v>879</v>
      </c>
      <c r="D497" t="s">
        <v>3</v>
      </c>
      <c r="E497" t="s">
        <v>52</v>
      </c>
      <c r="F497" t="s">
        <v>53</v>
      </c>
      <c r="G497" t="s">
        <v>757</v>
      </c>
      <c r="H497" t="s">
        <v>42</v>
      </c>
      <c r="I497" t="s">
        <v>43</v>
      </c>
      <c r="J497" t="s">
        <v>878</v>
      </c>
      <c r="K497" t="s">
        <v>56</v>
      </c>
      <c r="M497" t="s">
        <v>106</v>
      </c>
      <c r="P497" t="s">
        <v>58</v>
      </c>
      <c r="Q497" t="s">
        <v>47</v>
      </c>
      <c r="R497" t="s">
        <v>48</v>
      </c>
      <c r="V497" t="s">
        <v>49</v>
      </c>
      <c r="X497" t="s">
        <v>49</v>
      </c>
      <c r="Y497" t="s">
        <v>59</v>
      </c>
      <c r="Z497" t="s">
        <v>880</v>
      </c>
      <c r="AA497" t="s">
        <v>794</v>
      </c>
    </row>
    <row r="498" spans="1:27" x14ac:dyDescent="0.35">
      <c r="A498" t="str">
        <f t="shared" si="15"/>
        <v>2906D2</v>
      </c>
      <c r="B498" t="str">
        <f t="shared" si="14"/>
        <v>2906</v>
      </c>
      <c r="C498" t="s">
        <v>881</v>
      </c>
      <c r="D498" t="s">
        <v>2</v>
      </c>
      <c r="E498" t="s">
        <v>62</v>
      </c>
      <c r="F498" t="s">
        <v>63</v>
      </c>
      <c r="G498" t="s">
        <v>757</v>
      </c>
      <c r="H498" t="s">
        <v>42</v>
      </c>
      <c r="I498" t="s">
        <v>43</v>
      </c>
      <c r="J498" t="s">
        <v>878</v>
      </c>
      <c r="K498" t="s">
        <v>56</v>
      </c>
      <c r="M498" t="s">
        <v>106</v>
      </c>
      <c r="P498" t="s">
        <v>58</v>
      </c>
      <c r="Q498" t="s">
        <v>47</v>
      </c>
      <c r="R498" t="s">
        <v>48</v>
      </c>
      <c r="V498" t="s">
        <v>49</v>
      </c>
      <c r="X498" t="s">
        <v>49</v>
      </c>
      <c r="Y498" t="s">
        <v>59</v>
      </c>
      <c r="Z498" t="s">
        <v>882</v>
      </c>
      <c r="AA498" t="s">
        <v>882</v>
      </c>
    </row>
    <row r="499" spans="1:27" x14ac:dyDescent="0.35">
      <c r="A499" t="str">
        <f t="shared" si="15"/>
        <v>2906F3</v>
      </c>
      <c r="B499" t="str">
        <f t="shared" si="14"/>
        <v>2906</v>
      </c>
      <c r="C499" t="s">
        <v>883</v>
      </c>
      <c r="D499" t="s">
        <v>5</v>
      </c>
      <c r="E499" t="s">
        <v>40</v>
      </c>
      <c r="F499" t="s">
        <v>73</v>
      </c>
      <c r="G499" t="s">
        <v>757</v>
      </c>
      <c r="H499" t="s">
        <v>42</v>
      </c>
      <c r="I499" t="s">
        <v>67</v>
      </c>
      <c r="J499" t="s">
        <v>878</v>
      </c>
      <c r="M499" t="s">
        <v>106</v>
      </c>
      <c r="P499" t="s">
        <v>46</v>
      </c>
      <c r="Q499" t="s">
        <v>47</v>
      </c>
      <c r="R499" t="s">
        <v>48</v>
      </c>
      <c r="V499" t="s">
        <v>49</v>
      </c>
      <c r="X499" t="s">
        <v>49</v>
      </c>
      <c r="Y499" t="s">
        <v>74</v>
      </c>
      <c r="Z499" t="s">
        <v>851</v>
      </c>
      <c r="AA499" t="s">
        <v>851</v>
      </c>
    </row>
    <row r="500" spans="1:27" x14ac:dyDescent="0.35">
      <c r="A500" t="str">
        <f t="shared" si="15"/>
        <v>2906C2</v>
      </c>
      <c r="B500" t="str">
        <f t="shared" si="14"/>
        <v>2906</v>
      </c>
      <c r="C500" t="s">
        <v>884</v>
      </c>
      <c r="D500" t="s">
        <v>1</v>
      </c>
      <c r="E500" t="s">
        <v>65</v>
      </c>
      <c r="F500" t="s">
        <v>66</v>
      </c>
      <c r="G500" t="s">
        <v>757</v>
      </c>
      <c r="H500" t="s">
        <v>42</v>
      </c>
      <c r="I500" t="s">
        <v>67</v>
      </c>
      <c r="J500" t="s">
        <v>878</v>
      </c>
      <c r="M500" t="s">
        <v>106</v>
      </c>
      <c r="P500" t="s">
        <v>69</v>
      </c>
      <c r="Q500" t="s">
        <v>47</v>
      </c>
      <c r="R500" t="s">
        <v>48</v>
      </c>
      <c r="V500" t="s">
        <v>49</v>
      </c>
      <c r="X500" t="s">
        <v>49</v>
      </c>
      <c r="Y500" t="s">
        <v>70</v>
      </c>
      <c r="Z500" t="s">
        <v>882</v>
      </c>
      <c r="AA500" t="s">
        <v>882</v>
      </c>
    </row>
    <row r="501" spans="1:27" x14ac:dyDescent="0.35">
      <c r="A501" t="str">
        <f t="shared" si="15"/>
        <v>2906D7</v>
      </c>
      <c r="B501" t="str">
        <f t="shared" si="14"/>
        <v>2906</v>
      </c>
      <c r="C501" t="s">
        <v>885</v>
      </c>
      <c r="D501" t="s">
        <v>6</v>
      </c>
      <c r="E501" t="s">
        <v>94</v>
      </c>
      <c r="F501" t="s">
        <v>111</v>
      </c>
      <c r="G501" t="s">
        <v>757</v>
      </c>
      <c r="H501" t="s">
        <v>42</v>
      </c>
      <c r="I501" t="s">
        <v>43</v>
      </c>
      <c r="J501" t="s">
        <v>878</v>
      </c>
      <c r="M501" t="s">
        <v>106</v>
      </c>
      <c r="P501" t="s">
        <v>46</v>
      </c>
      <c r="Q501" t="s">
        <v>47</v>
      </c>
      <c r="R501" t="s">
        <v>48</v>
      </c>
      <c r="V501" t="s">
        <v>49</v>
      </c>
      <c r="X501" t="s">
        <v>49</v>
      </c>
      <c r="Y501" t="s">
        <v>59</v>
      </c>
      <c r="Z501" t="s">
        <v>886</v>
      </c>
      <c r="AA501" t="s">
        <v>886</v>
      </c>
    </row>
    <row r="502" spans="1:27" x14ac:dyDescent="0.35">
      <c r="A502" t="str">
        <f t="shared" si="15"/>
        <v>2905F2</v>
      </c>
      <c r="B502" t="str">
        <f t="shared" si="14"/>
        <v>2905</v>
      </c>
      <c r="C502" t="s">
        <v>887</v>
      </c>
      <c r="D502" t="s">
        <v>4</v>
      </c>
      <c r="E502" t="s">
        <v>77</v>
      </c>
      <c r="F502" t="s">
        <v>78</v>
      </c>
      <c r="G502" t="s">
        <v>757</v>
      </c>
      <c r="H502" t="s">
        <v>42</v>
      </c>
      <c r="I502" t="s">
        <v>67</v>
      </c>
      <c r="J502" t="s">
        <v>888</v>
      </c>
      <c r="M502" t="s">
        <v>106</v>
      </c>
      <c r="P502" t="s">
        <v>178</v>
      </c>
      <c r="Q502" t="s">
        <v>47</v>
      </c>
      <c r="R502" t="s">
        <v>48</v>
      </c>
      <c r="V502" t="s">
        <v>49</v>
      </c>
      <c r="X502" t="s">
        <v>49</v>
      </c>
      <c r="Y502" t="s">
        <v>74</v>
      </c>
      <c r="Z502" t="s">
        <v>851</v>
      </c>
      <c r="AA502" t="s">
        <v>851</v>
      </c>
    </row>
    <row r="503" spans="1:27" x14ac:dyDescent="0.35">
      <c r="A503" t="str">
        <f t="shared" si="15"/>
        <v>2905D4</v>
      </c>
      <c r="B503" t="str">
        <f t="shared" si="14"/>
        <v>2905</v>
      </c>
      <c r="C503" t="s">
        <v>889</v>
      </c>
      <c r="D503" t="s">
        <v>3</v>
      </c>
      <c r="E503" t="s">
        <v>52</v>
      </c>
      <c r="F503" t="s">
        <v>53</v>
      </c>
      <c r="G503" t="s">
        <v>757</v>
      </c>
      <c r="H503" t="s">
        <v>42</v>
      </c>
      <c r="I503" t="s">
        <v>43</v>
      </c>
      <c r="J503" t="s">
        <v>888</v>
      </c>
      <c r="K503" t="s">
        <v>56</v>
      </c>
      <c r="M503" t="s">
        <v>106</v>
      </c>
      <c r="P503" t="s">
        <v>58</v>
      </c>
      <c r="Q503" t="s">
        <v>47</v>
      </c>
      <c r="R503" t="s">
        <v>48</v>
      </c>
      <c r="V503" t="s">
        <v>49</v>
      </c>
      <c r="X503" t="s">
        <v>49</v>
      </c>
      <c r="Y503" t="s">
        <v>59</v>
      </c>
      <c r="Z503" t="s">
        <v>3591</v>
      </c>
      <c r="AA503" t="s">
        <v>3591</v>
      </c>
    </row>
    <row r="504" spans="1:27" x14ac:dyDescent="0.35">
      <c r="A504" t="str">
        <f t="shared" si="15"/>
        <v>2905D2</v>
      </c>
      <c r="B504" t="str">
        <f t="shared" si="14"/>
        <v>2905</v>
      </c>
      <c r="C504" t="s">
        <v>890</v>
      </c>
      <c r="D504" t="s">
        <v>2</v>
      </c>
      <c r="E504" t="s">
        <v>62</v>
      </c>
      <c r="F504" t="s">
        <v>63</v>
      </c>
      <c r="G504" t="s">
        <v>757</v>
      </c>
      <c r="H504" t="s">
        <v>42</v>
      </c>
      <c r="I504" t="s">
        <v>43</v>
      </c>
      <c r="J504" t="s">
        <v>888</v>
      </c>
      <c r="K504" t="s">
        <v>56</v>
      </c>
      <c r="M504" t="s">
        <v>106</v>
      </c>
      <c r="P504" t="s">
        <v>58</v>
      </c>
      <c r="Q504" t="s">
        <v>47</v>
      </c>
      <c r="R504" t="s">
        <v>48</v>
      </c>
      <c r="V504" t="s">
        <v>49</v>
      </c>
      <c r="X504" t="s">
        <v>49</v>
      </c>
      <c r="Y504" t="s">
        <v>59</v>
      </c>
      <c r="Z504" t="s">
        <v>827</v>
      </c>
      <c r="AA504" t="s">
        <v>827</v>
      </c>
    </row>
    <row r="505" spans="1:27" x14ac:dyDescent="0.35">
      <c r="A505" t="str">
        <f t="shared" si="15"/>
        <v>2905F3</v>
      </c>
      <c r="B505" t="str">
        <f t="shared" si="14"/>
        <v>2905</v>
      </c>
      <c r="C505" t="s">
        <v>891</v>
      </c>
      <c r="D505" t="s">
        <v>5</v>
      </c>
      <c r="E505" t="s">
        <v>40</v>
      </c>
      <c r="F505" t="s">
        <v>73</v>
      </c>
      <c r="G505" t="s">
        <v>757</v>
      </c>
      <c r="H505" t="s">
        <v>42</v>
      </c>
      <c r="I505" t="s">
        <v>67</v>
      </c>
      <c r="J505" t="s">
        <v>888</v>
      </c>
      <c r="M505" t="s">
        <v>106</v>
      </c>
      <c r="P505" t="s">
        <v>46</v>
      </c>
      <c r="Q505" t="s">
        <v>47</v>
      </c>
      <c r="R505" t="s">
        <v>48</v>
      </c>
      <c r="V505" t="s">
        <v>49</v>
      </c>
      <c r="X505" t="s">
        <v>49</v>
      </c>
      <c r="Y505" t="s">
        <v>74</v>
      </c>
      <c r="Z505" t="s">
        <v>851</v>
      </c>
      <c r="AA505" t="s">
        <v>851</v>
      </c>
    </row>
    <row r="506" spans="1:27" x14ac:dyDescent="0.35">
      <c r="A506" t="str">
        <f t="shared" si="15"/>
        <v>2905C2</v>
      </c>
      <c r="B506" t="str">
        <f t="shared" si="14"/>
        <v>2905</v>
      </c>
      <c r="C506" t="s">
        <v>892</v>
      </c>
      <c r="D506" t="s">
        <v>1</v>
      </c>
      <c r="E506" t="s">
        <v>65</v>
      </c>
      <c r="F506" t="s">
        <v>66</v>
      </c>
      <c r="G506" t="s">
        <v>757</v>
      </c>
      <c r="H506" t="s">
        <v>42</v>
      </c>
      <c r="I506" t="s">
        <v>67</v>
      </c>
      <c r="J506" t="s">
        <v>888</v>
      </c>
      <c r="M506" t="s">
        <v>106</v>
      </c>
      <c r="P506" t="s">
        <v>69</v>
      </c>
      <c r="Q506" t="s">
        <v>47</v>
      </c>
      <c r="R506" t="s">
        <v>48</v>
      </c>
      <c r="V506" t="s">
        <v>49</v>
      </c>
      <c r="X506" t="s">
        <v>49</v>
      </c>
      <c r="Y506" t="s">
        <v>70</v>
      </c>
      <c r="Z506" t="s">
        <v>893</v>
      </c>
      <c r="AA506" t="s">
        <v>893</v>
      </c>
    </row>
    <row r="507" spans="1:27" x14ac:dyDescent="0.35">
      <c r="A507" t="str">
        <f t="shared" si="15"/>
        <v>2905D7</v>
      </c>
      <c r="B507" t="str">
        <f t="shared" si="14"/>
        <v>2905</v>
      </c>
      <c r="C507" t="s">
        <v>894</v>
      </c>
      <c r="D507" t="s">
        <v>6</v>
      </c>
      <c r="E507" t="s">
        <v>94</v>
      </c>
      <c r="F507" t="s">
        <v>111</v>
      </c>
      <c r="G507" t="s">
        <v>757</v>
      </c>
      <c r="H507" t="s">
        <v>42</v>
      </c>
      <c r="I507" t="s">
        <v>43</v>
      </c>
      <c r="J507" t="s">
        <v>888</v>
      </c>
      <c r="M507" t="s">
        <v>106</v>
      </c>
      <c r="P507" t="s">
        <v>46</v>
      </c>
      <c r="Q507" t="s">
        <v>47</v>
      </c>
      <c r="R507" t="s">
        <v>48</v>
      </c>
      <c r="V507" t="s">
        <v>49</v>
      </c>
      <c r="X507" t="s">
        <v>49</v>
      </c>
      <c r="Y507" t="s">
        <v>59</v>
      </c>
      <c r="Z507" t="s">
        <v>886</v>
      </c>
      <c r="AA507" t="s">
        <v>886</v>
      </c>
    </row>
    <row r="508" spans="1:27" x14ac:dyDescent="0.35">
      <c r="A508" t="str">
        <f t="shared" si="15"/>
        <v>2904F2</v>
      </c>
      <c r="B508" t="str">
        <f t="shared" si="14"/>
        <v>2904</v>
      </c>
      <c r="C508" t="s">
        <v>895</v>
      </c>
      <c r="D508" t="s">
        <v>4</v>
      </c>
      <c r="E508" t="s">
        <v>77</v>
      </c>
      <c r="F508" t="s">
        <v>78</v>
      </c>
      <c r="G508" t="s">
        <v>757</v>
      </c>
      <c r="H508" t="s">
        <v>42</v>
      </c>
      <c r="I508" t="s">
        <v>67</v>
      </c>
      <c r="J508" t="s">
        <v>896</v>
      </c>
      <c r="M508" t="s">
        <v>106</v>
      </c>
      <c r="P508" t="s">
        <v>138</v>
      </c>
      <c r="Q508" t="s">
        <v>47</v>
      </c>
      <c r="R508" t="s">
        <v>48</v>
      </c>
      <c r="V508" t="s">
        <v>49</v>
      </c>
      <c r="X508" t="s">
        <v>49</v>
      </c>
      <c r="Y508" t="s">
        <v>74</v>
      </c>
      <c r="Z508" t="s">
        <v>897</v>
      </c>
      <c r="AA508" t="s">
        <v>897</v>
      </c>
    </row>
    <row r="509" spans="1:27" x14ac:dyDescent="0.35">
      <c r="A509" t="str">
        <f t="shared" si="15"/>
        <v>2904D4</v>
      </c>
      <c r="B509" t="str">
        <f t="shared" si="14"/>
        <v>2904</v>
      </c>
      <c r="C509" t="s">
        <v>898</v>
      </c>
      <c r="D509" t="s">
        <v>3</v>
      </c>
      <c r="E509" t="s">
        <v>52</v>
      </c>
      <c r="F509" t="s">
        <v>53</v>
      </c>
      <c r="G509" t="s">
        <v>757</v>
      </c>
      <c r="H509" t="s">
        <v>42</v>
      </c>
      <c r="I509" t="s">
        <v>43</v>
      </c>
      <c r="J509" t="s">
        <v>896</v>
      </c>
      <c r="K509" t="s">
        <v>56</v>
      </c>
      <c r="M509" t="s">
        <v>106</v>
      </c>
      <c r="P509" t="s">
        <v>58</v>
      </c>
      <c r="Q509" t="s">
        <v>47</v>
      </c>
      <c r="R509" t="s">
        <v>48</v>
      </c>
      <c r="V509" t="s">
        <v>49</v>
      </c>
      <c r="X509" t="s">
        <v>49</v>
      </c>
      <c r="Y509" t="s">
        <v>59</v>
      </c>
      <c r="Z509" t="s">
        <v>899</v>
      </c>
      <c r="AA509" t="s">
        <v>899</v>
      </c>
    </row>
    <row r="510" spans="1:27" x14ac:dyDescent="0.35">
      <c r="A510" t="str">
        <f t="shared" si="15"/>
        <v>2904D2</v>
      </c>
      <c r="B510" t="str">
        <f t="shared" si="14"/>
        <v>2904</v>
      </c>
      <c r="C510" t="s">
        <v>900</v>
      </c>
      <c r="D510" t="s">
        <v>2</v>
      </c>
      <c r="E510" t="s">
        <v>62</v>
      </c>
      <c r="F510" t="s">
        <v>63</v>
      </c>
      <c r="G510" t="s">
        <v>757</v>
      </c>
      <c r="H510" t="s">
        <v>42</v>
      </c>
      <c r="I510" t="s">
        <v>43</v>
      </c>
      <c r="J510" t="s">
        <v>896</v>
      </c>
      <c r="K510" t="s">
        <v>56</v>
      </c>
      <c r="M510" t="s">
        <v>106</v>
      </c>
      <c r="P510" t="s">
        <v>58</v>
      </c>
      <c r="Q510" t="s">
        <v>47</v>
      </c>
      <c r="R510" t="s">
        <v>48</v>
      </c>
      <c r="V510" t="s">
        <v>49</v>
      </c>
      <c r="X510" t="s">
        <v>49</v>
      </c>
      <c r="Y510" t="s">
        <v>59</v>
      </c>
      <c r="Z510" t="s">
        <v>899</v>
      </c>
      <c r="AA510" t="s">
        <v>899</v>
      </c>
    </row>
    <row r="511" spans="1:27" x14ac:dyDescent="0.35">
      <c r="A511" t="str">
        <f t="shared" si="15"/>
        <v>2904F3</v>
      </c>
      <c r="B511" t="str">
        <f t="shared" si="14"/>
        <v>2904</v>
      </c>
      <c r="C511" t="s">
        <v>901</v>
      </c>
      <c r="D511" t="s">
        <v>5</v>
      </c>
      <c r="E511" t="s">
        <v>40</v>
      </c>
      <c r="F511" t="s">
        <v>73</v>
      </c>
      <c r="G511" t="s">
        <v>757</v>
      </c>
      <c r="H511" t="s">
        <v>42</v>
      </c>
      <c r="I511" t="s">
        <v>67</v>
      </c>
      <c r="J511" t="s">
        <v>896</v>
      </c>
      <c r="M511" t="s">
        <v>106</v>
      </c>
      <c r="P511" t="s">
        <v>46</v>
      </c>
      <c r="Q511" t="s">
        <v>47</v>
      </c>
      <c r="R511" t="s">
        <v>48</v>
      </c>
      <c r="V511" t="s">
        <v>49</v>
      </c>
      <c r="X511" t="s">
        <v>49</v>
      </c>
      <c r="Y511" t="s">
        <v>74</v>
      </c>
      <c r="Z511" t="s">
        <v>902</v>
      </c>
      <c r="AA511" t="s">
        <v>902</v>
      </c>
    </row>
    <row r="512" spans="1:27" x14ac:dyDescent="0.35">
      <c r="A512" t="str">
        <f t="shared" si="15"/>
        <v>2904C2</v>
      </c>
      <c r="B512" t="str">
        <f t="shared" si="14"/>
        <v>2904</v>
      </c>
      <c r="C512" t="s">
        <v>903</v>
      </c>
      <c r="D512" t="s">
        <v>1</v>
      </c>
      <c r="E512" t="s">
        <v>65</v>
      </c>
      <c r="F512" t="s">
        <v>66</v>
      </c>
      <c r="G512" t="s">
        <v>757</v>
      </c>
      <c r="H512" t="s">
        <v>42</v>
      </c>
      <c r="I512" t="s">
        <v>67</v>
      </c>
      <c r="J512" t="s">
        <v>896</v>
      </c>
      <c r="M512" t="s">
        <v>106</v>
      </c>
      <c r="P512" t="s">
        <v>69</v>
      </c>
      <c r="Q512" t="s">
        <v>47</v>
      </c>
      <c r="R512" t="s">
        <v>48</v>
      </c>
      <c r="V512" t="s">
        <v>49</v>
      </c>
      <c r="X512" t="s">
        <v>49</v>
      </c>
      <c r="Y512" t="s">
        <v>70</v>
      </c>
      <c r="Z512" t="s">
        <v>899</v>
      </c>
      <c r="AA512" t="s">
        <v>899</v>
      </c>
    </row>
    <row r="513" spans="1:27" x14ac:dyDescent="0.35">
      <c r="A513" t="str">
        <f t="shared" si="15"/>
        <v>2904D7</v>
      </c>
      <c r="B513" t="str">
        <f t="shared" si="14"/>
        <v>2904</v>
      </c>
      <c r="C513" t="s">
        <v>904</v>
      </c>
      <c r="D513" t="s">
        <v>6</v>
      </c>
      <c r="E513" t="s">
        <v>94</v>
      </c>
      <c r="F513" t="s">
        <v>111</v>
      </c>
      <c r="G513" t="s">
        <v>757</v>
      </c>
      <c r="H513" t="s">
        <v>42</v>
      </c>
      <c r="I513" t="s">
        <v>43</v>
      </c>
      <c r="J513" t="s">
        <v>896</v>
      </c>
      <c r="M513" t="s">
        <v>106</v>
      </c>
      <c r="P513" t="s">
        <v>46</v>
      </c>
      <c r="Q513" t="s">
        <v>47</v>
      </c>
      <c r="R513" t="s">
        <v>48</v>
      </c>
      <c r="V513" t="s">
        <v>49</v>
      </c>
      <c r="X513" t="s">
        <v>49</v>
      </c>
      <c r="Y513" t="s">
        <v>59</v>
      </c>
      <c r="Z513" t="s">
        <v>905</v>
      </c>
      <c r="AA513" t="s">
        <v>905</v>
      </c>
    </row>
    <row r="514" spans="1:27" x14ac:dyDescent="0.35">
      <c r="A514" t="str">
        <f t="shared" si="15"/>
        <v>2903F2</v>
      </c>
      <c r="B514" t="str">
        <f t="shared" ref="B514:B577" si="16">LEFT($J:$J,4)</f>
        <v>2903</v>
      </c>
      <c r="C514" t="s">
        <v>906</v>
      </c>
      <c r="D514" t="s">
        <v>4</v>
      </c>
      <c r="E514" t="s">
        <v>77</v>
      </c>
      <c r="F514" t="s">
        <v>78</v>
      </c>
      <c r="G514" t="s">
        <v>757</v>
      </c>
      <c r="H514" t="s">
        <v>42</v>
      </c>
      <c r="I514" t="s">
        <v>67</v>
      </c>
      <c r="J514" t="s">
        <v>907</v>
      </c>
      <c r="M514" t="s">
        <v>106</v>
      </c>
      <c r="P514" t="s">
        <v>91</v>
      </c>
      <c r="Q514" t="s">
        <v>47</v>
      </c>
      <c r="R514" t="s">
        <v>48</v>
      </c>
      <c r="V514" t="s">
        <v>49</v>
      </c>
      <c r="X514" t="s">
        <v>49</v>
      </c>
      <c r="Y514" t="s">
        <v>74</v>
      </c>
      <c r="Z514" t="s">
        <v>897</v>
      </c>
      <c r="AA514" t="s">
        <v>897</v>
      </c>
    </row>
    <row r="515" spans="1:27" x14ac:dyDescent="0.35">
      <c r="A515" t="str">
        <f t="shared" ref="A515:A578" si="17">B515&amp;D515</f>
        <v>2903D4</v>
      </c>
      <c r="B515" t="str">
        <f t="shared" si="16"/>
        <v>2903</v>
      </c>
      <c r="C515" t="s">
        <v>908</v>
      </c>
      <c r="D515" t="s">
        <v>3</v>
      </c>
      <c r="E515" t="s">
        <v>52</v>
      </c>
      <c r="F515" t="s">
        <v>53</v>
      </c>
      <c r="G515" t="s">
        <v>757</v>
      </c>
      <c r="H515" t="s">
        <v>42</v>
      </c>
      <c r="I515" t="s">
        <v>43</v>
      </c>
      <c r="J515" t="s">
        <v>907</v>
      </c>
      <c r="K515" t="s">
        <v>56</v>
      </c>
      <c r="M515" t="s">
        <v>106</v>
      </c>
      <c r="P515" t="s">
        <v>58</v>
      </c>
      <c r="Q515" t="s">
        <v>47</v>
      </c>
      <c r="R515" t="s">
        <v>48</v>
      </c>
      <c r="V515" t="s">
        <v>49</v>
      </c>
      <c r="X515" t="s">
        <v>49</v>
      </c>
      <c r="Y515" t="s">
        <v>59</v>
      </c>
      <c r="Z515" t="s">
        <v>909</v>
      </c>
      <c r="AA515" t="s">
        <v>909</v>
      </c>
    </row>
    <row r="516" spans="1:27" x14ac:dyDescent="0.35">
      <c r="A516" t="str">
        <f t="shared" si="17"/>
        <v>2903D2</v>
      </c>
      <c r="B516" t="str">
        <f t="shared" si="16"/>
        <v>2903</v>
      </c>
      <c r="C516" t="s">
        <v>910</v>
      </c>
      <c r="D516" t="s">
        <v>2</v>
      </c>
      <c r="E516" t="s">
        <v>62</v>
      </c>
      <c r="F516" t="s">
        <v>63</v>
      </c>
      <c r="G516" t="s">
        <v>757</v>
      </c>
      <c r="H516" t="s">
        <v>42</v>
      </c>
      <c r="I516" t="s">
        <v>43</v>
      </c>
      <c r="J516" t="s">
        <v>907</v>
      </c>
      <c r="K516" t="s">
        <v>56</v>
      </c>
      <c r="M516" t="s">
        <v>106</v>
      </c>
      <c r="P516" t="s">
        <v>58</v>
      </c>
      <c r="Q516" t="s">
        <v>47</v>
      </c>
      <c r="R516" t="s">
        <v>48</v>
      </c>
      <c r="V516" t="s">
        <v>49</v>
      </c>
      <c r="X516" t="s">
        <v>49</v>
      </c>
      <c r="Y516" t="s">
        <v>59</v>
      </c>
      <c r="Z516" t="s">
        <v>909</v>
      </c>
      <c r="AA516" t="s">
        <v>909</v>
      </c>
    </row>
    <row r="517" spans="1:27" x14ac:dyDescent="0.35">
      <c r="A517" t="str">
        <f t="shared" si="17"/>
        <v>2903F3</v>
      </c>
      <c r="B517" t="str">
        <f t="shared" si="16"/>
        <v>2903</v>
      </c>
      <c r="C517" t="s">
        <v>911</v>
      </c>
      <c r="D517" t="s">
        <v>5</v>
      </c>
      <c r="E517" t="s">
        <v>40</v>
      </c>
      <c r="F517" t="s">
        <v>73</v>
      </c>
      <c r="G517" t="s">
        <v>757</v>
      </c>
      <c r="H517" t="s">
        <v>42</v>
      </c>
      <c r="I517" t="s">
        <v>67</v>
      </c>
      <c r="J517" t="s">
        <v>907</v>
      </c>
      <c r="M517" t="s">
        <v>106</v>
      </c>
      <c r="P517" t="s">
        <v>46</v>
      </c>
      <c r="Q517" t="s">
        <v>47</v>
      </c>
      <c r="R517" t="s">
        <v>48</v>
      </c>
      <c r="V517" t="s">
        <v>49</v>
      </c>
      <c r="X517" t="s">
        <v>49</v>
      </c>
      <c r="Y517" t="s">
        <v>74</v>
      </c>
      <c r="Z517" t="s">
        <v>902</v>
      </c>
      <c r="AA517" t="s">
        <v>902</v>
      </c>
    </row>
    <row r="518" spans="1:27" x14ac:dyDescent="0.35">
      <c r="A518" t="str">
        <f t="shared" si="17"/>
        <v>2903C2</v>
      </c>
      <c r="B518" t="str">
        <f t="shared" si="16"/>
        <v>2903</v>
      </c>
      <c r="C518" t="s">
        <v>912</v>
      </c>
      <c r="D518" t="s">
        <v>1</v>
      </c>
      <c r="E518" t="s">
        <v>65</v>
      </c>
      <c r="F518" t="s">
        <v>66</v>
      </c>
      <c r="G518" t="s">
        <v>757</v>
      </c>
      <c r="H518" t="s">
        <v>42</v>
      </c>
      <c r="I518" t="s">
        <v>67</v>
      </c>
      <c r="J518" t="s">
        <v>907</v>
      </c>
      <c r="M518" t="s">
        <v>106</v>
      </c>
      <c r="P518" t="s">
        <v>69</v>
      </c>
      <c r="Q518" t="s">
        <v>47</v>
      </c>
      <c r="R518" t="s">
        <v>48</v>
      </c>
      <c r="V518" t="s">
        <v>49</v>
      </c>
      <c r="X518" t="s">
        <v>49</v>
      </c>
      <c r="Y518" t="s">
        <v>70</v>
      </c>
      <c r="Z518" t="s">
        <v>909</v>
      </c>
      <c r="AA518" t="s">
        <v>909</v>
      </c>
    </row>
    <row r="519" spans="1:27" x14ac:dyDescent="0.35">
      <c r="A519" t="str">
        <f t="shared" si="17"/>
        <v>2903D7</v>
      </c>
      <c r="B519" t="str">
        <f t="shared" si="16"/>
        <v>2903</v>
      </c>
      <c r="C519" t="s">
        <v>913</v>
      </c>
      <c r="D519" t="s">
        <v>6</v>
      </c>
      <c r="E519" t="s">
        <v>94</v>
      </c>
      <c r="F519" t="s">
        <v>111</v>
      </c>
      <c r="G519" t="s">
        <v>757</v>
      </c>
      <c r="H519" t="s">
        <v>42</v>
      </c>
      <c r="I519" t="s">
        <v>43</v>
      </c>
      <c r="J519" t="s">
        <v>907</v>
      </c>
      <c r="M519" t="s">
        <v>106</v>
      </c>
      <c r="P519" t="s">
        <v>46</v>
      </c>
      <c r="Q519" t="s">
        <v>47</v>
      </c>
      <c r="R519" t="s">
        <v>48</v>
      </c>
      <c r="V519" t="s">
        <v>49</v>
      </c>
      <c r="X519" t="s">
        <v>49</v>
      </c>
      <c r="Y519" t="s">
        <v>59</v>
      </c>
      <c r="Z519" t="s">
        <v>905</v>
      </c>
      <c r="AA519" t="s">
        <v>905</v>
      </c>
    </row>
    <row r="520" spans="1:27" x14ac:dyDescent="0.35">
      <c r="A520" t="str">
        <f t="shared" si="17"/>
        <v>2902F2</v>
      </c>
      <c r="B520" t="str">
        <f t="shared" si="16"/>
        <v>2902</v>
      </c>
      <c r="C520" t="s">
        <v>914</v>
      </c>
      <c r="D520" t="s">
        <v>4</v>
      </c>
      <c r="E520" t="s">
        <v>77</v>
      </c>
      <c r="F520" t="s">
        <v>78</v>
      </c>
      <c r="G520" t="s">
        <v>757</v>
      </c>
      <c r="H520" t="s">
        <v>42</v>
      </c>
      <c r="I520" t="s">
        <v>67</v>
      </c>
      <c r="J520" t="s">
        <v>915</v>
      </c>
      <c r="M520" t="s">
        <v>106</v>
      </c>
      <c r="P520" t="s">
        <v>91</v>
      </c>
      <c r="Q520" t="s">
        <v>47</v>
      </c>
      <c r="R520" t="s">
        <v>48</v>
      </c>
      <c r="V520" t="s">
        <v>49</v>
      </c>
      <c r="X520" t="s">
        <v>49</v>
      </c>
      <c r="Y520" t="s">
        <v>74</v>
      </c>
      <c r="Z520" t="s">
        <v>897</v>
      </c>
      <c r="AA520" t="s">
        <v>897</v>
      </c>
    </row>
    <row r="521" spans="1:27" x14ac:dyDescent="0.35">
      <c r="A521" t="str">
        <f t="shared" si="17"/>
        <v>2902D4</v>
      </c>
      <c r="B521" t="str">
        <f t="shared" si="16"/>
        <v>2902</v>
      </c>
      <c r="C521" t="s">
        <v>916</v>
      </c>
      <c r="D521" t="s">
        <v>3</v>
      </c>
      <c r="E521" t="s">
        <v>52</v>
      </c>
      <c r="F521" t="s">
        <v>53</v>
      </c>
      <c r="G521" t="s">
        <v>757</v>
      </c>
      <c r="H521" t="s">
        <v>42</v>
      </c>
      <c r="I521" t="s">
        <v>43</v>
      </c>
      <c r="J521" t="s">
        <v>915</v>
      </c>
      <c r="K521" t="s">
        <v>56</v>
      </c>
      <c r="M521" t="s">
        <v>106</v>
      </c>
      <c r="P521" t="s">
        <v>58</v>
      </c>
      <c r="Q521" t="s">
        <v>47</v>
      </c>
      <c r="R521" t="s">
        <v>48</v>
      </c>
      <c r="V521" t="s">
        <v>49</v>
      </c>
      <c r="X521" t="s">
        <v>49</v>
      </c>
      <c r="Y521" t="s">
        <v>59</v>
      </c>
      <c r="Z521" t="s">
        <v>822</v>
      </c>
      <c r="AA521" t="s">
        <v>822</v>
      </c>
    </row>
    <row r="522" spans="1:27" x14ac:dyDescent="0.35">
      <c r="A522" t="str">
        <f t="shared" si="17"/>
        <v>2902D2</v>
      </c>
      <c r="B522" t="str">
        <f t="shared" si="16"/>
        <v>2902</v>
      </c>
      <c r="C522" t="s">
        <v>917</v>
      </c>
      <c r="D522" t="s">
        <v>2</v>
      </c>
      <c r="E522" t="s">
        <v>62</v>
      </c>
      <c r="F522" t="s">
        <v>63</v>
      </c>
      <c r="G522" t="s">
        <v>757</v>
      </c>
      <c r="H522" t="s">
        <v>42</v>
      </c>
      <c r="I522" t="s">
        <v>43</v>
      </c>
      <c r="J522" t="s">
        <v>915</v>
      </c>
      <c r="K522" t="s">
        <v>56</v>
      </c>
      <c r="M522" t="s">
        <v>106</v>
      </c>
      <c r="P522" t="s">
        <v>58</v>
      </c>
      <c r="Q522" t="s">
        <v>47</v>
      </c>
      <c r="R522" t="s">
        <v>48</v>
      </c>
      <c r="V522" t="s">
        <v>49</v>
      </c>
      <c r="X522" t="s">
        <v>49</v>
      </c>
      <c r="Y522" t="s">
        <v>59</v>
      </c>
      <c r="Z522" t="s">
        <v>918</v>
      </c>
      <c r="AA522" t="s">
        <v>918</v>
      </c>
    </row>
    <row r="523" spans="1:27" x14ac:dyDescent="0.35">
      <c r="A523" t="str">
        <f t="shared" si="17"/>
        <v>2902F3</v>
      </c>
      <c r="B523" t="str">
        <f t="shared" si="16"/>
        <v>2902</v>
      </c>
      <c r="C523" t="s">
        <v>919</v>
      </c>
      <c r="D523" t="s">
        <v>5</v>
      </c>
      <c r="E523" t="s">
        <v>40</v>
      </c>
      <c r="F523" t="s">
        <v>73</v>
      </c>
      <c r="G523" t="s">
        <v>757</v>
      </c>
      <c r="H523" t="s">
        <v>42</v>
      </c>
      <c r="I523" t="s">
        <v>67</v>
      </c>
      <c r="J523" t="s">
        <v>915</v>
      </c>
      <c r="M523" t="s">
        <v>106</v>
      </c>
      <c r="P523" t="s">
        <v>46</v>
      </c>
      <c r="Q523" t="s">
        <v>47</v>
      </c>
      <c r="R523" t="s">
        <v>48</v>
      </c>
      <c r="V523" t="s">
        <v>49</v>
      </c>
      <c r="X523" t="s">
        <v>49</v>
      </c>
      <c r="Y523" t="s">
        <v>74</v>
      </c>
      <c r="Z523" t="s">
        <v>902</v>
      </c>
      <c r="AA523" t="s">
        <v>902</v>
      </c>
    </row>
    <row r="524" spans="1:27" x14ac:dyDescent="0.35">
      <c r="A524" t="str">
        <f t="shared" si="17"/>
        <v>2902C2</v>
      </c>
      <c r="B524" t="str">
        <f t="shared" si="16"/>
        <v>2902</v>
      </c>
      <c r="C524" t="s">
        <v>920</v>
      </c>
      <c r="D524" t="s">
        <v>1</v>
      </c>
      <c r="E524" t="s">
        <v>65</v>
      </c>
      <c r="F524" t="s">
        <v>66</v>
      </c>
      <c r="G524" t="s">
        <v>757</v>
      </c>
      <c r="H524" t="s">
        <v>42</v>
      </c>
      <c r="I524" t="s">
        <v>67</v>
      </c>
      <c r="J524" t="s">
        <v>915</v>
      </c>
      <c r="M524" t="s">
        <v>106</v>
      </c>
      <c r="P524" t="s">
        <v>69</v>
      </c>
      <c r="Q524" t="s">
        <v>47</v>
      </c>
      <c r="R524" t="s">
        <v>48</v>
      </c>
      <c r="V524" t="s">
        <v>49</v>
      </c>
      <c r="X524" t="s">
        <v>49</v>
      </c>
      <c r="Y524" t="s">
        <v>70</v>
      </c>
      <c r="Z524" t="s">
        <v>893</v>
      </c>
      <c r="AA524" t="s">
        <v>893</v>
      </c>
    </row>
    <row r="525" spans="1:27" x14ac:dyDescent="0.35">
      <c r="A525" t="str">
        <f t="shared" si="17"/>
        <v>2902D7</v>
      </c>
      <c r="B525" t="str">
        <f t="shared" si="16"/>
        <v>2902</v>
      </c>
      <c r="C525" t="s">
        <v>921</v>
      </c>
      <c r="D525" t="s">
        <v>6</v>
      </c>
      <c r="E525" t="s">
        <v>94</v>
      </c>
      <c r="F525" t="s">
        <v>111</v>
      </c>
      <c r="G525" t="s">
        <v>757</v>
      </c>
      <c r="H525" t="s">
        <v>42</v>
      </c>
      <c r="I525" t="s">
        <v>43</v>
      </c>
      <c r="J525" t="s">
        <v>915</v>
      </c>
      <c r="M525" t="s">
        <v>106</v>
      </c>
      <c r="P525" t="s">
        <v>46</v>
      </c>
      <c r="Q525" t="s">
        <v>47</v>
      </c>
      <c r="R525" t="s">
        <v>48</v>
      </c>
      <c r="V525" t="s">
        <v>49</v>
      </c>
      <c r="X525" t="s">
        <v>49</v>
      </c>
      <c r="Y525" t="s">
        <v>59</v>
      </c>
      <c r="Z525" t="s">
        <v>922</v>
      </c>
      <c r="AA525" t="s">
        <v>922</v>
      </c>
    </row>
    <row r="526" spans="1:27" x14ac:dyDescent="0.35">
      <c r="A526" t="str">
        <f t="shared" si="17"/>
        <v>2901F2</v>
      </c>
      <c r="B526" t="str">
        <f t="shared" si="16"/>
        <v>2901</v>
      </c>
      <c r="C526" t="s">
        <v>923</v>
      </c>
      <c r="D526" t="s">
        <v>4</v>
      </c>
      <c r="E526" t="s">
        <v>77</v>
      </c>
      <c r="F526" t="s">
        <v>78</v>
      </c>
      <c r="G526" t="s">
        <v>757</v>
      </c>
      <c r="H526" t="s">
        <v>42</v>
      </c>
      <c r="I526" t="s">
        <v>67</v>
      </c>
      <c r="J526" t="s">
        <v>924</v>
      </c>
      <c r="M526" t="s">
        <v>106</v>
      </c>
      <c r="P526" t="s">
        <v>138</v>
      </c>
      <c r="Q526" t="s">
        <v>47</v>
      </c>
      <c r="R526" t="s">
        <v>48</v>
      </c>
      <c r="V526" t="s">
        <v>49</v>
      </c>
      <c r="X526" t="s">
        <v>49</v>
      </c>
      <c r="Y526" t="s">
        <v>74</v>
      </c>
      <c r="Z526" t="s">
        <v>897</v>
      </c>
      <c r="AA526" t="s">
        <v>897</v>
      </c>
    </row>
    <row r="527" spans="1:27" x14ac:dyDescent="0.35">
      <c r="A527" t="str">
        <f t="shared" si="17"/>
        <v>2901D4</v>
      </c>
      <c r="B527" t="str">
        <f t="shared" si="16"/>
        <v>2901</v>
      </c>
      <c r="C527" t="s">
        <v>925</v>
      </c>
      <c r="D527" t="s">
        <v>3</v>
      </c>
      <c r="E527" t="s">
        <v>52</v>
      </c>
      <c r="F527" t="s">
        <v>53</v>
      </c>
      <c r="G527" t="s">
        <v>757</v>
      </c>
      <c r="H527" t="s">
        <v>42</v>
      </c>
      <c r="I527" t="s">
        <v>43</v>
      </c>
      <c r="J527" t="s">
        <v>924</v>
      </c>
      <c r="K527" t="s">
        <v>56</v>
      </c>
      <c r="M527" t="s">
        <v>106</v>
      </c>
      <c r="P527" t="s">
        <v>58</v>
      </c>
      <c r="Q527" t="s">
        <v>47</v>
      </c>
      <c r="R527" t="s">
        <v>48</v>
      </c>
      <c r="V527" t="s">
        <v>49</v>
      </c>
      <c r="X527" t="s">
        <v>49</v>
      </c>
      <c r="Y527" t="s">
        <v>59</v>
      </c>
      <c r="Z527" t="s">
        <v>926</v>
      </c>
      <c r="AA527" t="s">
        <v>926</v>
      </c>
    </row>
    <row r="528" spans="1:27" x14ac:dyDescent="0.35">
      <c r="A528" t="str">
        <f t="shared" si="17"/>
        <v>2901D2</v>
      </c>
      <c r="B528" t="str">
        <f t="shared" si="16"/>
        <v>2901</v>
      </c>
      <c r="C528" t="s">
        <v>927</v>
      </c>
      <c r="D528" t="s">
        <v>2</v>
      </c>
      <c r="E528" t="s">
        <v>62</v>
      </c>
      <c r="F528" t="s">
        <v>63</v>
      </c>
      <c r="G528" t="s">
        <v>757</v>
      </c>
      <c r="H528" t="s">
        <v>42</v>
      </c>
      <c r="I528" t="s">
        <v>43</v>
      </c>
      <c r="J528" t="s">
        <v>924</v>
      </c>
      <c r="K528" t="s">
        <v>56</v>
      </c>
      <c r="M528" t="s">
        <v>106</v>
      </c>
      <c r="P528" t="s">
        <v>58</v>
      </c>
      <c r="Q528" t="s">
        <v>47</v>
      </c>
      <c r="R528" t="s">
        <v>48</v>
      </c>
      <c r="V528" t="s">
        <v>49</v>
      </c>
      <c r="X528" t="s">
        <v>49</v>
      </c>
      <c r="Y528" t="s">
        <v>59</v>
      </c>
      <c r="Z528" t="s">
        <v>928</v>
      </c>
      <c r="AA528" t="s">
        <v>928</v>
      </c>
    </row>
    <row r="529" spans="1:27" x14ac:dyDescent="0.35">
      <c r="A529" t="str">
        <f t="shared" si="17"/>
        <v>2901F3</v>
      </c>
      <c r="B529" t="str">
        <f t="shared" si="16"/>
        <v>2901</v>
      </c>
      <c r="C529" t="s">
        <v>929</v>
      </c>
      <c r="D529" t="s">
        <v>5</v>
      </c>
      <c r="E529" t="s">
        <v>40</v>
      </c>
      <c r="F529" t="s">
        <v>73</v>
      </c>
      <c r="G529" t="s">
        <v>757</v>
      </c>
      <c r="H529" t="s">
        <v>42</v>
      </c>
      <c r="I529" t="s">
        <v>67</v>
      </c>
      <c r="J529" t="s">
        <v>924</v>
      </c>
      <c r="M529" t="s">
        <v>106</v>
      </c>
      <c r="P529" t="s">
        <v>46</v>
      </c>
      <c r="Q529" t="s">
        <v>47</v>
      </c>
      <c r="R529" t="s">
        <v>48</v>
      </c>
      <c r="V529" t="s">
        <v>49</v>
      </c>
      <c r="X529" t="s">
        <v>49</v>
      </c>
      <c r="Y529" t="s">
        <v>74</v>
      </c>
      <c r="Z529" t="s">
        <v>902</v>
      </c>
      <c r="AA529" t="s">
        <v>902</v>
      </c>
    </row>
    <row r="530" spans="1:27" x14ac:dyDescent="0.35">
      <c r="A530" t="str">
        <f t="shared" si="17"/>
        <v>2901C2</v>
      </c>
      <c r="B530" t="str">
        <f t="shared" si="16"/>
        <v>2901</v>
      </c>
      <c r="C530" t="s">
        <v>930</v>
      </c>
      <c r="D530" t="s">
        <v>1</v>
      </c>
      <c r="E530" t="s">
        <v>65</v>
      </c>
      <c r="F530" t="s">
        <v>66</v>
      </c>
      <c r="G530" t="s">
        <v>757</v>
      </c>
      <c r="H530" t="s">
        <v>42</v>
      </c>
      <c r="I530" t="s">
        <v>67</v>
      </c>
      <c r="J530" t="s">
        <v>924</v>
      </c>
      <c r="M530" t="s">
        <v>106</v>
      </c>
      <c r="P530" t="s">
        <v>69</v>
      </c>
      <c r="Q530" t="s">
        <v>47</v>
      </c>
      <c r="R530" t="s">
        <v>48</v>
      </c>
      <c r="V530" t="s">
        <v>49</v>
      </c>
      <c r="X530" t="s">
        <v>49</v>
      </c>
      <c r="Y530" t="s">
        <v>70</v>
      </c>
      <c r="Z530" t="s">
        <v>827</v>
      </c>
      <c r="AA530" t="s">
        <v>827</v>
      </c>
    </row>
    <row r="531" spans="1:27" x14ac:dyDescent="0.35">
      <c r="A531" t="str">
        <f t="shared" si="17"/>
        <v>2901D7</v>
      </c>
      <c r="B531" t="str">
        <f t="shared" si="16"/>
        <v>2901</v>
      </c>
      <c r="C531" t="s">
        <v>931</v>
      </c>
      <c r="D531" t="s">
        <v>6</v>
      </c>
      <c r="E531" t="s">
        <v>94</v>
      </c>
      <c r="F531" t="s">
        <v>111</v>
      </c>
      <c r="G531" t="s">
        <v>757</v>
      </c>
      <c r="H531" t="s">
        <v>42</v>
      </c>
      <c r="I531" t="s">
        <v>43</v>
      </c>
      <c r="J531" t="s">
        <v>924</v>
      </c>
      <c r="M531" t="s">
        <v>106</v>
      </c>
      <c r="P531" t="s">
        <v>46</v>
      </c>
      <c r="Q531" t="s">
        <v>47</v>
      </c>
      <c r="R531" t="s">
        <v>48</v>
      </c>
      <c r="V531" t="s">
        <v>49</v>
      </c>
      <c r="X531" t="s">
        <v>49</v>
      </c>
      <c r="Y531" t="s">
        <v>59</v>
      </c>
      <c r="Z531" t="s">
        <v>922</v>
      </c>
      <c r="AA531" t="s">
        <v>922</v>
      </c>
    </row>
    <row r="532" spans="1:27" x14ac:dyDescent="0.35">
      <c r="A532" t="str">
        <f t="shared" si="17"/>
        <v>2810F2</v>
      </c>
      <c r="B532" t="str">
        <f t="shared" si="16"/>
        <v>2810</v>
      </c>
      <c r="C532" t="s">
        <v>932</v>
      </c>
      <c r="D532" t="s">
        <v>4</v>
      </c>
      <c r="E532" t="s">
        <v>77</v>
      </c>
      <c r="F532" t="s">
        <v>78</v>
      </c>
      <c r="G532" t="s">
        <v>757</v>
      </c>
      <c r="H532" t="s">
        <v>42</v>
      </c>
      <c r="I532" t="s">
        <v>67</v>
      </c>
      <c r="J532" t="s">
        <v>933</v>
      </c>
      <c r="M532" t="s">
        <v>106</v>
      </c>
      <c r="P532" t="s">
        <v>79</v>
      </c>
      <c r="Q532" t="s">
        <v>47</v>
      </c>
      <c r="R532" t="s">
        <v>48</v>
      </c>
      <c r="V532" t="s">
        <v>49</v>
      </c>
      <c r="X532" t="s">
        <v>49</v>
      </c>
      <c r="Y532" t="s">
        <v>74</v>
      </c>
      <c r="Z532" t="s">
        <v>934</v>
      </c>
      <c r="AA532" t="s">
        <v>934</v>
      </c>
    </row>
    <row r="533" spans="1:27" x14ac:dyDescent="0.35">
      <c r="A533" t="str">
        <f t="shared" si="17"/>
        <v>2810D4</v>
      </c>
      <c r="B533" t="str">
        <f t="shared" si="16"/>
        <v>2810</v>
      </c>
      <c r="C533" t="s">
        <v>935</v>
      </c>
      <c r="D533" t="s">
        <v>3</v>
      </c>
      <c r="E533" t="s">
        <v>52</v>
      </c>
      <c r="F533" t="s">
        <v>53</v>
      </c>
      <c r="G533" t="s">
        <v>757</v>
      </c>
      <c r="H533" t="s">
        <v>42</v>
      </c>
      <c r="I533" t="s">
        <v>43</v>
      </c>
      <c r="J533" t="s">
        <v>933</v>
      </c>
      <c r="K533" t="s">
        <v>56</v>
      </c>
      <c r="M533" t="s">
        <v>106</v>
      </c>
      <c r="P533" t="s">
        <v>58</v>
      </c>
      <c r="Q533" t="s">
        <v>47</v>
      </c>
      <c r="R533" t="s">
        <v>48</v>
      </c>
      <c r="V533" t="s">
        <v>49</v>
      </c>
      <c r="X533" t="s">
        <v>49</v>
      </c>
      <c r="Y533" t="s">
        <v>59</v>
      </c>
      <c r="Z533" t="s">
        <v>936</v>
      </c>
      <c r="AA533" t="s">
        <v>936</v>
      </c>
    </row>
    <row r="534" spans="1:27" x14ac:dyDescent="0.35">
      <c r="A534" t="str">
        <f t="shared" si="17"/>
        <v>2810D2</v>
      </c>
      <c r="B534" t="str">
        <f t="shared" si="16"/>
        <v>2810</v>
      </c>
      <c r="C534" t="s">
        <v>937</v>
      </c>
      <c r="D534" t="s">
        <v>2</v>
      </c>
      <c r="E534" t="s">
        <v>62</v>
      </c>
      <c r="F534" t="s">
        <v>63</v>
      </c>
      <c r="G534" t="s">
        <v>757</v>
      </c>
      <c r="H534" t="s">
        <v>42</v>
      </c>
      <c r="I534" t="s">
        <v>43</v>
      </c>
      <c r="J534" t="s">
        <v>933</v>
      </c>
      <c r="K534" t="s">
        <v>56</v>
      </c>
      <c r="M534" t="s">
        <v>106</v>
      </c>
      <c r="P534" t="s">
        <v>58</v>
      </c>
      <c r="Q534" t="s">
        <v>47</v>
      </c>
      <c r="R534" t="s">
        <v>48</v>
      </c>
      <c r="V534" t="s">
        <v>49</v>
      </c>
      <c r="X534" t="s">
        <v>49</v>
      </c>
      <c r="Y534" t="s">
        <v>59</v>
      </c>
      <c r="Z534" t="s">
        <v>936</v>
      </c>
      <c r="AA534" t="s">
        <v>936</v>
      </c>
    </row>
    <row r="535" spans="1:27" x14ac:dyDescent="0.35">
      <c r="A535" t="str">
        <f t="shared" si="17"/>
        <v>2810F3</v>
      </c>
      <c r="B535" t="str">
        <f t="shared" si="16"/>
        <v>2810</v>
      </c>
      <c r="C535" t="s">
        <v>938</v>
      </c>
      <c r="D535" t="s">
        <v>5</v>
      </c>
      <c r="E535" t="s">
        <v>40</v>
      </c>
      <c r="F535" t="s">
        <v>73</v>
      </c>
      <c r="G535" t="s">
        <v>757</v>
      </c>
      <c r="H535" t="s">
        <v>42</v>
      </c>
      <c r="I535" t="s">
        <v>67</v>
      </c>
      <c r="J535" t="s">
        <v>933</v>
      </c>
      <c r="M535" t="s">
        <v>106</v>
      </c>
      <c r="P535" t="s">
        <v>46</v>
      </c>
      <c r="Q535" t="s">
        <v>47</v>
      </c>
      <c r="R535" t="s">
        <v>48</v>
      </c>
      <c r="V535" t="s">
        <v>49</v>
      </c>
      <c r="X535" t="s">
        <v>49</v>
      </c>
      <c r="Y535" t="s">
        <v>74</v>
      </c>
      <c r="Z535" t="s">
        <v>934</v>
      </c>
      <c r="AA535" t="s">
        <v>934</v>
      </c>
    </row>
    <row r="536" spans="1:27" x14ac:dyDescent="0.35">
      <c r="A536" t="str">
        <f t="shared" si="17"/>
        <v>2810C2</v>
      </c>
      <c r="B536" t="str">
        <f t="shared" si="16"/>
        <v>2810</v>
      </c>
      <c r="C536" t="s">
        <v>939</v>
      </c>
      <c r="D536" t="s">
        <v>1</v>
      </c>
      <c r="E536" t="s">
        <v>65</v>
      </c>
      <c r="F536" t="s">
        <v>66</v>
      </c>
      <c r="G536" t="s">
        <v>757</v>
      </c>
      <c r="H536" t="s">
        <v>42</v>
      </c>
      <c r="I536" t="s">
        <v>67</v>
      </c>
      <c r="J536" t="s">
        <v>933</v>
      </c>
      <c r="M536" t="s">
        <v>106</v>
      </c>
      <c r="P536" t="s">
        <v>69</v>
      </c>
      <c r="Q536" t="s">
        <v>47</v>
      </c>
      <c r="R536" t="s">
        <v>48</v>
      </c>
      <c r="V536" t="s">
        <v>49</v>
      </c>
      <c r="X536" t="s">
        <v>49</v>
      </c>
      <c r="Y536" t="s">
        <v>70</v>
      </c>
      <c r="Z536" t="s">
        <v>940</v>
      </c>
      <c r="AA536" t="s">
        <v>940</v>
      </c>
    </row>
    <row r="537" spans="1:27" x14ac:dyDescent="0.35">
      <c r="A537" t="str">
        <f t="shared" si="17"/>
        <v>2810D7</v>
      </c>
      <c r="B537" t="str">
        <f t="shared" si="16"/>
        <v>2810</v>
      </c>
      <c r="C537" t="s">
        <v>941</v>
      </c>
      <c r="D537" t="s">
        <v>6</v>
      </c>
      <c r="E537" t="s">
        <v>94</v>
      </c>
      <c r="F537" t="s">
        <v>111</v>
      </c>
      <c r="G537" t="s">
        <v>757</v>
      </c>
      <c r="H537" t="s">
        <v>42</v>
      </c>
      <c r="I537" t="s">
        <v>43</v>
      </c>
      <c r="J537" t="s">
        <v>933</v>
      </c>
      <c r="M537" t="s">
        <v>106</v>
      </c>
      <c r="P537" t="s">
        <v>46</v>
      </c>
      <c r="Q537" t="s">
        <v>47</v>
      </c>
      <c r="R537" t="s">
        <v>48</v>
      </c>
      <c r="V537" t="s">
        <v>49</v>
      </c>
      <c r="X537" t="s">
        <v>49</v>
      </c>
      <c r="Y537" t="s">
        <v>59</v>
      </c>
      <c r="Z537" t="s">
        <v>942</v>
      </c>
      <c r="AA537" t="s">
        <v>942</v>
      </c>
    </row>
    <row r="538" spans="1:27" x14ac:dyDescent="0.35">
      <c r="A538" t="str">
        <f t="shared" si="17"/>
        <v>2809F2</v>
      </c>
      <c r="B538" t="str">
        <f t="shared" si="16"/>
        <v>2809</v>
      </c>
      <c r="C538" t="s">
        <v>943</v>
      </c>
      <c r="D538" t="s">
        <v>4</v>
      </c>
      <c r="E538" t="s">
        <v>77</v>
      </c>
      <c r="F538" t="s">
        <v>78</v>
      </c>
      <c r="G538" t="s">
        <v>757</v>
      </c>
      <c r="H538" t="s">
        <v>42</v>
      </c>
      <c r="I538" t="s">
        <v>67</v>
      </c>
      <c r="J538" t="s">
        <v>944</v>
      </c>
      <c r="M538" t="s">
        <v>106</v>
      </c>
      <c r="P538" t="s">
        <v>438</v>
      </c>
      <c r="Q538" t="s">
        <v>47</v>
      </c>
      <c r="R538" t="s">
        <v>48</v>
      </c>
      <c r="V538" t="s">
        <v>49</v>
      </c>
      <c r="X538" t="s">
        <v>49</v>
      </c>
      <c r="Y538" t="s">
        <v>74</v>
      </c>
      <c r="Z538" t="s">
        <v>934</v>
      </c>
      <c r="AA538" t="s">
        <v>934</v>
      </c>
    </row>
    <row r="539" spans="1:27" x14ac:dyDescent="0.35">
      <c r="A539" t="str">
        <f t="shared" si="17"/>
        <v>2809D4</v>
      </c>
      <c r="B539" t="str">
        <f t="shared" si="16"/>
        <v>2809</v>
      </c>
      <c r="C539" t="s">
        <v>945</v>
      </c>
      <c r="D539" t="s">
        <v>3</v>
      </c>
      <c r="E539" t="s">
        <v>52</v>
      </c>
      <c r="F539" t="s">
        <v>53</v>
      </c>
      <c r="G539" t="s">
        <v>757</v>
      </c>
      <c r="H539" t="s">
        <v>42</v>
      </c>
      <c r="I539" t="s">
        <v>43</v>
      </c>
      <c r="J539" t="s">
        <v>944</v>
      </c>
      <c r="K539" t="s">
        <v>56</v>
      </c>
      <c r="M539" t="s">
        <v>106</v>
      </c>
      <c r="P539" t="s">
        <v>58</v>
      </c>
      <c r="Q539" t="s">
        <v>47</v>
      </c>
      <c r="R539" t="s">
        <v>48</v>
      </c>
      <c r="V539" t="s">
        <v>49</v>
      </c>
      <c r="X539" t="s">
        <v>49</v>
      </c>
      <c r="Y539" t="s">
        <v>59</v>
      </c>
      <c r="Z539" t="s">
        <v>3591</v>
      </c>
      <c r="AA539" t="s">
        <v>3591</v>
      </c>
    </row>
    <row r="540" spans="1:27" x14ac:dyDescent="0.35">
      <c r="A540" t="str">
        <f t="shared" si="17"/>
        <v>2809D2</v>
      </c>
      <c r="B540" t="str">
        <f t="shared" si="16"/>
        <v>2809</v>
      </c>
      <c r="C540" t="s">
        <v>946</v>
      </c>
      <c r="D540" t="s">
        <v>2</v>
      </c>
      <c r="E540" t="s">
        <v>62</v>
      </c>
      <c r="F540" t="s">
        <v>63</v>
      </c>
      <c r="G540" t="s">
        <v>757</v>
      </c>
      <c r="H540" t="s">
        <v>42</v>
      </c>
      <c r="I540" t="s">
        <v>43</v>
      </c>
      <c r="J540" t="s">
        <v>944</v>
      </c>
      <c r="K540" t="s">
        <v>56</v>
      </c>
      <c r="M540" t="s">
        <v>106</v>
      </c>
      <c r="P540" t="s">
        <v>58</v>
      </c>
      <c r="Q540" t="s">
        <v>47</v>
      </c>
      <c r="R540" t="s">
        <v>48</v>
      </c>
      <c r="V540" t="s">
        <v>49</v>
      </c>
      <c r="X540" t="s">
        <v>49</v>
      </c>
      <c r="Y540" t="s">
        <v>59</v>
      </c>
      <c r="Z540" t="s">
        <v>947</v>
      </c>
      <c r="AA540" t="s">
        <v>947</v>
      </c>
    </row>
    <row r="541" spans="1:27" x14ac:dyDescent="0.35">
      <c r="A541" t="str">
        <f t="shared" si="17"/>
        <v>2809F3</v>
      </c>
      <c r="B541" t="str">
        <f t="shared" si="16"/>
        <v>2809</v>
      </c>
      <c r="C541" t="s">
        <v>948</v>
      </c>
      <c r="D541" t="s">
        <v>5</v>
      </c>
      <c r="E541" t="s">
        <v>40</v>
      </c>
      <c r="F541" t="s">
        <v>73</v>
      </c>
      <c r="G541" t="s">
        <v>757</v>
      </c>
      <c r="H541" t="s">
        <v>42</v>
      </c>
      <c r="I541" t="s">
        <v>67</v>
      </c>
      <c r="J541" t="s">
        <v>944</v>
      </c>
      <c r="M541" t="s">
        <v>106</v>
      </c>
      <c r="P541" t="s">
        <v>46</v>
      </c>
      <c r="Q541" t="s">
        <v>47</v>
      </c>
      <c r="R541" t="s">
        <v>48</v>
      </c>
      <c r="V541" t="s">
        <v>49</v>
      </c>
      <c r="X541" t="s">
        <v>49</v>
      </c>
      <c r="Y541" t="s">
        <v>74</v>
      </c>
      <c r="Z541" t="s">
        <v>934</v>
      </c>
      <c r="AA541" t="s">
        <v>934</v>
      </c>
    </row>
    <row r="542" spans="1:27" x14ac:dyDescent="0.35">
      <c r="A542" t="str">
        <f t="shared" si="17"/>
        <v>2809C2</v>
      </c>
      <c r="B542" t="str">
        <f t="shared" si="16"/>
        <v>2809</v>
      </c>
      <c r="C542" t="s">
        <v>949</v>
      </c>
      <c r="D542" t="s">
        <v>1</v>
      </c>
      <c r="E542" t="s">
        <v>65</v>
      </c>
      <c r="F542" t="s">
        <v>66</v>
      </c>
      <c r="G542" t="s">
        <v>757</v>
      </c>
      <c r="H542" t="s">
        <v>42</v>
      </c>
      <c r="I542" t="s">
        <v>67</v>
      </c>
      <c r="J542" t="s">
        <v>944</v>
      </c>
      <c r="M542" t="s">
        <v>106</v>
      </c>
      <c r="P542" t="s">
        <v>69</v>
      </c>
      <c r="Q542" t="s">
        <v>47</v>
      </c>
      <c r="R542" t="s">
        <v>48</v>
      </c>
      <c r="V542" t="s">
        <v>49</v>
      </c>
      <c r="X542" t="s">
        <v>49</v>
      </c>
      <c r="Y542" t="s">
        <v>70</v>
      </c>
      <c r="Z542" t="s">
        <v>3595</v>
      </c>
      <c r="AA542" t="s">
        <v>3595</v>
      </c>
    </row>
    <row r="543" spans="1:27" x14ac:dyDescent="0.35">
      <c r="A543" t="str">
        <f t="shared" si="17"/>
        <v>2809D7</v>
      </c>
      <c r="B543" t="str">
        <f t="shared" si="16"/>
        <v>2809</v>
      </c>
      <c r="C543" t="s">
        <v>950</v>
      </c>
      <c r="D543" t="s">
        <v>6</v>
      </c>
      <c r="E543" t="s">
        <v>94</v>
      </c>
      <c r="F543" t="s">
        <v>111</v>
      </c>
      <c r="G543" t="s">
        <v>757</v>
      </c>
      <c r="H543" t="s">
        <v>42</v>
      </c>
      <c r="I543" t="s">
        <v>43</v>
      </c>
      <c r="J543" t="s">
        <v>944</v>
      </c>
      <c r="M543" t="s">
        <v>106</v>
      </c>
      <c r="P543" t="s">
        <v>46</v>
      </c>
      <c r="Q543" t="s">
        <v>47</v>
      </c>
      <c r="R543" t="s">
        <v>48</v>
      </c>
      <c r="V543" t="s">
        <v>49</v>
      </c>
      <c r="X543" t="s">
        <v>49</v>
      </c>
      <c r="Y543" t="s">
        <v>59</v>
      </c>
      <c r="Z543" t="s">
        <v>951</v>
      </c>
      <c r="AA543" t="s">
        <v>951</v>
      </c>
    </row>
    <row r="544" spans="1:27" x14ac:dyDescent="0.35">
      <c r="A544" t="str">
        <f t="shared" si="17"/>
        <v>2808F2</v>
      </c>
      <c r="B544" t="str">
        <f t="shared" si="16"/>
        <v>2808</v>
      </c>
      <c r="C544" t="s">
        <v>952</v>
      </c>
      <c r="D544" t="s">
        <v>4</v>
      </c>
      <c r="E544" t="s">
        <v>77</v>
      </c>
      <c r="F544" t="s">
        <v>78</v>
      </c>
      <c r="G544" t="s">
        <v>757</v>
      </c>
      <c r="H544" t="s">
        <v>42</v>
      </c>
      <c r="I544" t="s">
        <v>67</v>
      </c>
      <c r="J544" t="s">
        <v>953</v>
      </c>
      <c r="M544" t="s">
        <v>106</v>
      </c>
      <c r="P544" t="s">
        <v>189</v>
      </c>
      <c r="Q544" t="s">
        <v>47</v>
      </c>
      <c r="R544" t="s">
        <v>48</v>
      </c>
      <c r="V544" t="s">
        <v>49</v>
      </c>
      <c r="X544" t="s">
        <v>49</v>
      </c>
      <c r="Y544" t="s">
        <v>74</v>
      </c>
      <c r="Z544" t="s">
        <v>954</v>
      </c>
      <c r="AA544" t="s">
        <v>954</v>
      </c>
    </row>
    <row r="545" spans="1:27" x14ac:dyDescent="0.35">
      <c r="A545" t="str">
        <f t="shared" si="17"/>
        <v>2808D4</v>
      </c>
      <c r="B545" t="str">
        <f t="shared" si="16"/>
        <v>2808</v>
      </c>
      <c r="C545" t="s">
        <v>955</v>
      </c>
      <c r="D545" t="s">
        <v>3</v>
      </c>
      <c r="E545" t="s">
        <v>52</v>
      </c>
      <c r="F545" t="s">
        <v>53</v>
      </c>
      <c r="G545" t="s">
        <v>757</v>
      </c>
      <c r="H545" t="s">
        <v>42</v>
      </c>
      <c r="I545" t="s">
        <v>43</v>
      </c>
      <c r="J545" t="s">
        <v>953</v>
      </c>
      <c r="K545" t="s">
        <v>56</v>
      </c>
      <c r="M545" t="s">
        <v>106</v>
      </c>
      <c r="P545" t="s">
        <v>58</v>
      </c>
      <c r="Q545" t="s">
        <v>47</v>
      </c>
      <c r="R545" t="s">
        <v>48</v>
      </c>
      <c r="V545" t="s">
        <v>49</v>
      </c>
      <c r="X545" t="s">
        <v>49</v>
      </c>
      <c r="Y545" t="s">
        <v>59</v>
      </c>
      <c r="Z545" t="s">
        <v>956</v>
      </c>
      <c r="AA545" t="s">
        <v>956</v>
      </c>
    </row>
    <row r="546" spans="1:27" x14ac:dyDescent="0.35">
      <c r="A546" t="str">
        <f t="shared" si="17"/>
        <v>2808D2</v>
      </c>
      <c r="B546" t="str">
        <f t="shared" si="16"/>
        <v>2808</v>
      </c>
      <c r="C546" t="s">
        <v>957</v>
      </c>
      <c r="D546" t="s">
        <v>2</v>
      </c>
      <c r="E546" t="s">
        <v>62</v>
      </c>
      <c r="F546" t="s">
        <v>63</v>
      </c>
      <c r="G546" t="s">
        <v>757</v>
      </c>
      <c r="H546" t="s">
        <v>42</v>
      </c>
      <c r="I546" t="s">
        <v>43</v>
      </c>
      <c r="J546" t="s">
        <v>953</v>
      </c>
      <c r="K546" t="s">
        <v>56</v>
      </c>
      <c r="M546" t="s">
        <v>106</v>
      </c>
      <c r="P546" t="s">
        <v>58</v>
      </c>
      <c r="Q546" t="s">
        <v>47</v>
      </c>
      <c r="R546" t="s">
        <v>48</v>
      </c>
      <c r="V546" t="s">
        <v>49</v>
      </c>
      <c r="X546" t="s">
        <v>49</v>
      </c>
      <c r="Y546" t="s">
        <v>59</v>
      </c>
      <c r="Z546" t="s">
        <v>956</v>
      </c>
      <c r="AA546" t="s">
        <v>956</v>
      </c>
    </row>
    <row r="547" spans="1:27" x14ac:dyDescent="0.35">
      <c r="A547" t="str">
        <f t="shared" si="17"/>
        <v>2808F3</v>
      </c>
      <c r="B547" t="str">
        <f t="shared" si="16"/>
        <v>2808</v>
      </c>
      <c r="C547" t="s">
        <v>958</v>
      </c>
      <c r="D547" t="s">
        <v>5</v>
      </c>
      <c r="E547" t="s">
        <v>40</v>
      </c>
      <c r="F547" t="s">
        <v>73</v>
      </c>
      <c r="G547" t="s">
        <v>757</v>
      </c>
      <c r="H547" t="s">
        <v>42</v>
      </c>
      <c r="I547" t="s">
        <v>67</v>
      </c>
      <c r="J547" t="s">
        <v>953</v>
      </c>
      <c r="M547" t="s">
        <v>106</v>
      </c>
      <c r="P547" t="s">
        <v>46</v>
      </c>
      <c r="Q547" t="s">
        <v>47</v>
      </c>
      <c r="R547" t="s">
        <v>48</v>
      </c>
      <c r="V547" t="s">
        <v>49</v>
      </c>
      <c r="X547" t="s">
        <v>49</v>
      </c>
      <c r="Y547" t="s">
        <v>74</v>
      </c>
      <c r="Z547" t="s">
        <v>954</v>
      </c>
      <c r="AA547" t="s">
        <v>954</v>
      </c>
    </row>
    <row r="548" spans="1:27" x14ac:dyDescent="0.35">
      <c r="A548" t="str">
        <f t="shared" si="17"/>
        <v>2808C2</v>
      </c>
      <c r="B548" t="str">
        <f t="shared" si="16"/>
        <v>2808</v>
      </c>
      <c r="C548" t="s">
        <v>959</v>
      </c>
      <c r="D548" t="s">
        <v>1</v>
      </c>
      <c r="E548" t="s">
        <v>65</v>
      </c>
      <c r="F548" t="s">
        <v>66</v>
      </c>
      <c r="G548" t="s">
        <v>757</v>
      </c>
      <c r="H548" t="s">
        <v>42</v>
      </c>
      <c r="I548" t="s">
        <v>67</v>
      </c>
      <c r="J548" t="s">
        <v>953</v>
      </c>
      <c r="M548" t="s">
        <v>106</v>
      </c>
      <c r="P548" t="s">
        <v>69</v>
      </c>
      <c r="Q548" t="s">
        <v>47</v>
      </c>
      <c r="R548" t="s">
        <v>48</v>
      </c>
      <c r="V548" t="s">
        <v>49</v>
      </c>
      <c r="X548" t="s">
        <v>49</v>
      </c>
      <c r="Y548" t="s">
        <v>70</v>
      </c>
      <c r="Z548" t="s">
        <v>960</v>
      </c>
      <c r="AA548" t="s">
        <v>960</v>
      </c>
    </row>
    <row r="549" spans="1:27" x14ac:dyDescent="0.35">
      <c r="A549" t="str">
        <f t="shared" si="17"/>
        <v>2808D7</v>
      </c>
      <c r="B549" t="str">
        <f t="shared" si="16"/>
        <v>2808</v>
      </c>
      <c r="C549" t="s">
        <v>961</v>
      </c>
      <c r="D549" t="s">
        <v>6</v>
      </c>
      <c r="E549" t="s">
        <v>94</v>
      </c>
      <c r="F549" t="s">
        <v>111</v>
      </c>
      <c r="G549" t="s">
        <v>757</v>
      </c>
      <c r="H549" t="s">
        <v>42</v>
      </c>
      <c r="I549" t="s">
        <v>43</v>
      </c>
      <c r="J549" t="s">
        <v>953</v>
      </c>
      <c r="M549" t="s">
        <v>106</v>
      </c>
      <c r="P549" t="s">
        <v>46</v>
      </c>
      <c r="Q549" t="s">
        <v>47</v>
      </c>
      <c r="R549" t="s">
        <v>48</v>
      </c>
      <c r="V549" t="s">
        <v>49</v>
      </c>
      <c r="X549" t="s">
        <v>49</v>
      </c>
      <c r="Y549" t="s">
        <v>59</v>
      </c>
      <c r="Z549" t="s">
        <v>951</v>
      </c>
      <c r="AA549" t="s">
        <v>951</v>
      </c>
    </row>
    <row r="550" spans="1:27" x14ac:dyDescent="0.35">
      <c r="A550" t="str">
        <f t="shared" si="17"/>
        <v>2807F2</v>
      </c>
      <c r="B550" t="str">
        <f t="shared" si="16"/>
        <v>2807</v>
      </c>
      <c r="C550" t="s">
        <v>962</v>
      </c>
      <c r="D550" t="s">
        <v>4</v>
      </c>
      <c r="E550" t="s">
        <v>77</v>
      </c>
      <c r="F550" t="s">
        <v>78</v>
      </c>
      <c r="G550" t="s">
        <v>757</v>
      </c>
      <c r="H550" t="s">
        <v>42</v>
      </c>
      <c r="I550" t="s">
        <v>67</v>
      </c>
      <c r="J550" t="s">
        <v>963</v>
      </c>
      <c r="M550" t="s">
        <v>106</v>
      </c>
      <c r="P550" t="s">
        <v>79</v>
      </c>
      <c r="Q550" t="s">
        <v>47</v>
      </c>
      <c r="R550" t="s">
        <v>48</v>
      </c>
      <c r="V550" t="s">
        <v>49</v>
      </c>
      <c r="X550" t="s">
        <v>49</v>
      </c>
      <c r="Y550" t="s">
        <v>74</v>
      </c>
      <c r="Z550" t="s">
        <v>954</v>
      </c>
      <c r="AA550" t="s">
        <v>954</v>
      </c>
    </row>
    <row r="551" spans="1:27" x14ac:dyDescent="0.35">
      <c r="A551" t="str">
        <f t="shared" si="17"/>
        <v>2807D4</v>
      </c>
      <c r="B551" t="str">
        <f t="shared" si="16"/>
        <v>2807</v>
      </c>
      <c r="C551" t="s">
        <v>964</v>
      </c>
      <c r="D551" t="s">
        <v>3</v>
      </c>
      <c r="E551" t="s">
        <v>52</v>
      </c>
      <c r="F551" t="s">
        <v>53</v>
      </c>
      <c r="G551" t="s">
        <v>757</v>
      </c>
      <c r="H551" t="s">
        <v>42</v>
      </c>
      <c r="I551" t="s">
        <v>43</v>
      </c>
      <c r="J551" t="s">
        <v>963</v>
      </c>
      <c r="K551" t="s">
        <v>56</v>
      </c>
      <c r="M551" t="s">
        <v>106</v>
      </c>
      <c r="P551" t="s">
        <v>58</v>
      </c>
      <c r="Q551" t="s">
        <v>47</v>
      </c>
      <c r="R551" t="s">
        <v>48</v>
      </c>
      <c r="V551" t="s">
        <v>49</v>
      </c>
      <c r="X551" t="s">
        <v>49</v>
      </c>
      <c r="Y551" t="s">
        <v>59</v>
      </c>
      <c r="Z551" t="s">
        <v>965</v>
      </c>
      <c r="AA551" t="s">
        <v>965</v>
      </c>
    </row>
    <row r="552" spans="1:27" x14ac:dyDescent="0.35">
      <c r="A552" t="str">
        <f t="shared" si="17"/>
        <v>2807D2</v>
      </c>
      <c r="B552" t="str">
        <f t="shared" si="16"/>
        <v>2807</v>
      </c>
      <c r="C552" t="s">
        <v>966</v>
      </c>
      <c r="D552" t="s">
        <v>2</v>
      </c>
      <c r="E552" t="s">
        <v>62</v>
      </c>
      <c r="F552" t="s">
        <v>63</v>
      </c>
      <c r="G552" t="s">
        <v>757</v>
      </c>
      <c r="H552" t="s">
        <v>42</v>
      </c>
      <c r="I552" t="s">
        <v>43</v>
      </c>
      <c r="J552" t="s">
        <v>963</v>
      </c>
      <c r="K552" t="s">
        <v>56</v>
      </c>
      <c r="M552" t="s">
        <v>106</v>
      </c>
      <c r="P552" t="s">
        <v>58</v>
      </c>
      <c r="Q552" t="s">
        <v>47</v>
      </c>
      <c r="R552" t="s">
        <v>48</v>
      </c>
      <c r="V552" t="s">
        <v>49</v>
      </c>
      <c r="X552" t="s">
        <v>49</v>
      </c>
      <c r="Y552" t="s">
        <v>59</v>
      </c>
      <c r="Z552" t="s">
        <v>965</v>
      </c>
      <c r="AA552" t="s">
        <v>965</v>
      </c>
    </row>
    <row r="553" spans="1:27" x14ac:dyDescent="0.35">
      <c r="A553" t="str">
        <f t="shared" si="17"/>
        <v>2807F3</v>
      </c>
      <c r="B553" t="str">
        <f t="shared" si="16"/>
        <v>2807</v>
      </c>
      <c r="C553" t="s">
        <v>967</v>
      </c>
      <c r="D553" t="s">
        <v>5</v>
      </c>
      <c r="E553" t="s">
        <v>40</v>
      </c>
      <c r="F553" t="s">
        <v>73</v>
      </c>
      <c r="G553" t="s">
        <v>757</v>
      </c>
      <c r="H553" t="s">
        <v>42</v>
      </c>
      <c r="I553" t="s">
        <v>67</v>
      </c>
      <c r="J553" t="s">
        <v>963</v>
      </c>
      <c r="M553" t="s">
        <v>106</v>
      </c>
      <c r="P553" t="s">
        <v>46</v>
      </c>
      <c r="Q553" t="s">
        <v>47</v>
      </c>
      <c r="R553" t="s">
        <v>48</v>
      </c>
      <c r="V553" t="s">
        <v>49</v>
      </c>
      <c r="X553" t="s">
        <v>49</v>
      </c>
      <c r="Y553" t="s">
        <v>74</v>
      </c>
      <c r="Z553" t="s">
        <v>968</v>
      </c>
      <c r="AA553" t="s">
        <v>968</v>
      </c>
    </row>
    <row r="554" spans="1:27" x14ac:dyDescent="0.35">
      <c r="A554" t="str">
        <f t="shared" si="17"/>
        <v>2807C2</v>
      </c>
      <c r="B554" t="str">
        <f t="shared" si="16"/>
        <v>2807</v>
      </c>
      <c r="C554" t="s">
        <v>969</v>
      </c>
      <c r="D554" t="s">
        <v>1</v>
      </c>
      <c r="E554" t="s">
        <v>65</v>
      </c>
      <c r="F554" t="s">
        <v>66</v>
      </c>
      <c r="G554" t="s">
        <v>757</v>
      </c>
      <c r="H554" t="s">
        <v>42</v>
      </c>
      <c r="I554" t="s">
        <v>67</v>
      </c>
      <c r="J554" t="s">
        <v>963</v>
      </c>
      <c r="M554" t="s">
        <v>106</v>
      </c>
      <c r="P554" t="s">
        <v>69</v>
      </c>
      <c r="Q554" t="s">
        <v>47</v>
      </c>
      <c r="R554" t="s">
        <v>48</v>
      </c>
      <c r="V554" t="s">
        <v>49</v>
      </c>
      <c r="X554" t="s">
        <v>49</v>
      </c>
      <c r="Y554" t="s">
        <v>70</v>
      </c>
      <c r="Z554" t="s">
        <v>965</v>
      </c>
      <c r="AA554" t="s">
        <v>965</v>
      </c>
    </row>
    <row r="555" spans="1:27" x14ac:dyDescent="0.35">
      <c r="A555" t="str">
        <f t="shared" si="17"/>
        <v>2807D7</v>
      </c>
      <c r="B555" t="str">
        <f t="shared" si="16"/>
        <v>2807</v>
      </c>
      <c r="C555" t="s">
        <v>970</v>
      </c>
      <c r="D555" t="s">
        <v>6</v>
      </c>
      <c r="E555" t="s">
        <v>94</v>
      </c>
      <c r="F555" t="s">
        <v>111</v>
      </c>
      <c r="G555" t="s">
        <v>757</v>
      </c>
      <c r="H555" t="s">
        <v>42</v>
      </c>
      <c r="I555" t="s">
        <v>43</v>
      </c>
      <c r="J555" t="s">
        <v>963</v>
      </c>
      <c r="M555" t="s">
        <v>106</v>
      </c>
      <c r="P555" t="s">
        <v>46</v>
      </c>
      <c r="Q555" t="s">
        <v>47</v>
      </c>
      <c r="R555" t="s">
        <v>48</v>
      </c>
      <c r="V555" t="s">
        <v>49</v>
      </c>
      <c r="X555" t="s">
        <v>49</v>
      </c>
      <c r="Y555" t="s">
        <v>59</v>
      </c>
      <c r="Z555" t="s">
        <v>971</v>
      </c>
      <c r="AA555" t="s">
        <v>971</v>
      </c>
    </row>
    <row r="556" spans="1:27" x14ac:dyDescent="0.35">
      <c r="A556" t="str">
        <f t="shared" si="17"/>
        <v>2806F2</v>
      </c>
      <c r="B556" t="str">
        <f t="shared" si="16"/>
        <v>2806</v>
      </c>
      <c r="C556" t="s">
        <v>972</v>
      </c>
      <c r="D556" t="s">
        <v>4</v>
      </c>
      <c r="E556" t="s">
        <v>77</v>
      </c>
      <c r="F556" t="s">
        <v>78</v>
      </c>
      <c r="G556" t="s">
        <v>757</v>
      </c>
      <c r="H556" t="s">
        <v>42</v>
      </c>
      <c r="I556" t="s">
        <v>67</v>
      </c>
      <c r="J556" t="s">
        <v>973</v>
      </c>
      <c r="M556" t="s">
        <v>106</v>
      </c>
      <c r="P556" t="s">
        <v>189</v>
      </c>
      <c r="Q556" t="s">
        <v>47</v>
      </c>
      <c r="R556" t="s">
        <v>48</v>
      </c>
      <c r="V556" t="s">
        <v>49</v>
      </c>
      <c r="X556" t="s">
        <v>49</v>
      </c>
      <c r="Y556" t="s">
        <v>74</v>
      </c>
      <c r="Z556" t="s">
        <v>968</v>
      </c>
      <c r="AA556" t="s">
        <v>968</v>
      </c>
    </row>
    <row r="557" spans="1:27" x14ac:dyDescent="0.35">
      <c r="A557" t="str">
        <f t="shared" si="17"/>
        <v>2806D4</v>
      </c>
      <c r="B557" t="str">
        <f t="shared" si="16"/>
        <v>2806</v>
      </c>
      <c r="C557" t="s">
        <v>974</v>
      </c>
      <c r="D557" t="s">
        <v>3</v>
      </c>
      <c r="E557" t="s">
        <v>52</v>
      </c>
      <c r="F557" t="s">
        <v>53</v>
      </c>
      <c r="G557" t="s">
        <v>757</v>
      </c>
      <c r="H557" t="s">
        <v>42</v>
      </c>
      <c r="I557" t="s">
        <v>43</v>
      </c>
      <c r="J557" t="s">
        <v>973</v>
      </c>
      <c r="K557" t="s">
        <v>56</v>
      </c>
      <c r="M557" t="s">
        <v>106</v>
      </c>
      <c r="P557" t="s">
        <v>58</v>
      </c>
      <c r="Q557" t="s">
        <v>47</v>
      </c>
      <c r="R557" t="s">
        <v>48</v>
      </c>
      <c r="V557" t="s">
        <v>49</v>
      </c>
      <c r="X557" t="s">
        <v>49</v>
      </c>
      <c r="Y557" t="s">
        <v>59</v>
      </c>
      <c r="Z557" t="s">
        <v>975</v>
      </c>
      <c r="AA557" t="s">
        <v>975</v>
      </c>
    </row>
    <row r="558" spans="1:27" x14ac:dyDescent="0.35">
      <c r="A558" t="str">
        <f t="shared" si="17"/>
        <v>2806D2</v>
      </c>
      <c r="B558" t="str">
        <f t="shared" si="16"/>
        <v>2806</v>
      </c>
      <c r="C558" t="s">
        <v>976</v>
      </c>
      <c r="D558" t="s">
        <v>2</v>
      </c>
      <c r="E558" t="s">
        <v>62</v>
      </c>
      <c r="F558" t="s">
        <v>63</v>
      </c>
      <c r="G558" t="s">
        <v>757</v>
      </c>
      <c r="H558" t="s">
        <v>42</v>
      </c>
      <c r="I558" t="s">
        <v>43</v>
      </c>
      <c r="J558" t="s">
        <v>973</v>
      </c>
      <c r="K558" t="s">
        <v>56</v>
      </c>
      <c r="M558" t="s">
        <v>106</v>
      </c>
      <c r="P558" t="s">
        <v>58</v>
      </c>
      <c r="Q558" t="s">
        <v>47</v>
      </c>
      <c r="R558" t="s">
        <v>48</v>
      </c>
      <c r="V558" t="s">
        <v>49</v>
      </c>
      <c r="X558" t="s">
        <v>49</v>
      </c>
      <c r="Y558" t="s">
        <v>59</v>
      </c>
      <c r="Z558" t="s">
        <v>975</v>
      </c>
      <c r="AA558" t="s">
        <v>975</v>
      </c>
    </row>
    <row r="559" spans="1:27" x14ac:dyDescent="0.35">
      <c r="A559" t="str">
        <f t="shared" si="17"/>
        <v>2806F3</v>
      </c>
      <c r="B559" t="str">
        <f t="shared" si="16"/>
        <v>2806</v>
      </c>
      <c r="C559" t="s">
        <v>977</v>
      </c>
      <c r="D559" t="s">
        <v>5</v>
      </c>
      <c r="E559" t="s">
        <v>40</v>
      </c>
      <c r="F559" t="s">
        <v>73</v>
      </c>
      <c r="G559" t="s">
        <v>757</v>
      </c>
      <c r="H559" t="s">
        <v>42</v>
      </c>
      <c r="I559" t="s">
        <v>67</v>
      </c>
      <c r="J559" t="s">
        <v>973</v>
      </c>
      <c r="M559" t="s">
        <v>106</v>
      </c>
      <c r="P559" t="s">
        <v>46</v>
      </c>
      <c r="Q559" t="s">
        <v>47</v>
      </c>
      <c r="R559" t="s">
        <v>48</v>
      </c>
      <c r="V559" t="s">
        <v>49</v>
      </c>
      <c r="X559" t="s">
        <v>49</v>
      </c>
      <c r="Y559" t="s">
        <v>74</v>
      </c>
      <c r="Z559" t="s">
        <v>968</v>
      </c>
      <c r="AA559" t="s">
        <v>968</v>
      </c>
    </row>
    <row r="560" spans="1:27" x14ac:dyDescent="0.35">
      <c r="A560" t="str">
        <f t="shared" si="17"/>
        <v>2806C2</v>
      </c>
      <c r="B560" t="str">
        <f t="shared" si="16"/>
        <v>2806</v>
      </c>
      <c r="C560" t="s">
        <v>978</v>
      </c>
      <c r="D560" t="s">
        <v>1</v>
      </c>
      <c r="E560" t="s">
        <v>65</v>
      </c>
      <c r="F560" t="s">
        <v>66</v>
      </c>
      <c r="G560" t="s">
        <v>757</v>
      </c>
      <c r="H560" t="s">
        <v>42</v>
      </c>
      <c r="I560" t="s">
        <v>67</v>
      </c>
      <c r="J560" t="s">
        <v>973</v>
      </c>
      <c r="M560" t="s">
        <v>106</v>
      </c>
      <c r="P560" t="s">
        <v>69</v>
      </c>
      <c r="Q560" t="s">
        <v>47</v>
      </c>
      <c r="R560" t="s">
        <v>48</v>
      </c>
      <c r="V560" t="s">
        <v>49</v>
      </c>
      <c r="X560" t="s">
        <v>49</v>
      </c>
      <c r="Y560" t="s">
        <v>70</v>
      </c>
      <c r="Z560" t="s">
        <v>975</v>
      </c>
      <c r="AA560" t="s">
        <v>975</v>
      </c>
    </row>
    <row r="561" spans="1:27" x14ac:dyDescent="0.35">
      <c r="A561" t="str">
        <f t="shared" si="17"/>
        <v>2806D7</v>
      </c>
      <c r="B561" t="str">
        <f t="shared" si="16"/>
        <v>2806</v>
      </c>
      <c r="C561" t="s">
        <v>979</v>
      </c>
      <c r="D561" t="s">
        <v>6</v>
      </c>
      <c r="E561" t="s">
        <v>94</v>
      </c>
      <c r="F561" t="s">
        <v>111</v>
      </c>
      <c r="G561" t="s">
        <v>757</v>
      </c>
      <c r="H561" t="s">
        <v>42</v>
      </c>
      <c r="I561" t="s">
        <v>43</v>
      </c>
      <c r="J561" t="s">
        <v>973</v>
      </c>
      <c r="M561" t="s">
        <v>106</v>
      </c>
      <c r="P561" t="s">
        <v>46</v>
      </c>
      <c r="Q561" t="s">
        <v>47</v>
      </c>
      <c r="R561" t="s">
        <v>48</v>
      </c>
      <c r="V561" t="s">
        <v>49</v>
      </c>
      <c r="X561" t="s">
        <v>49</v>
      </c>
      <c r="Y561" t="s">
        <v>59</v>
      </c>
      <c r="Z561" t="s">
        <v>971</v>
      </c>
      <c r="AA561" t="s">
        <v>971</v>
      </c>
    </row>
    <row r="562" spans="1:27" x14ac:dyDescent="0.35">
      <c r="A562" t="str">
        <f t="shared" si="17"/>
        <v>2805F2</v>
      </c>
      <c r="B562" t="str">
        <f t="shared" si="16"/>
        <v>2805</v>
      </c>
      <c r="C562" t="s">
        <v>980</v>
      </c>
      <c r="D562" t="s">
        <v>4</v>
      </c>
      <c r="E562" t="s">
        <v>77</v>
      </c>
      <c r="F562" t="s">
        <v>78</v>
      </c>
      <c r="G562" t="s">
        <v>757</v>
      </c>
      <c r="H562" t="s">
        <v>42</v>
      </c>
      <c r="I562" t="s">
        <v>67</v>
      </c>
      <c r="J562" t="s">
        <v>981</v>
      </c>
      <c r="M562" t="s">
        <v>106</v>
      </c>
      <c r="P562" t="s">
        <v>178</v>
      </c>
      <c r="Q562" t="s">
        <v>47</v>
      </c>
      <c r="R562" t="s">
        <v>48</v>
      </c>
      <c r="V562" t="s">
        <v>49</v>
      </c>
      <c r="X562" t="s">
        <v>49</v>
      </c>
      <c r="Y562" t="s">
        <v>74</v>
      </c>
      <c r="Z562" t="s">
        <v>968</v>
      </c>
      <c r="AA562" t="s">
        <v>968</v>
      </c>
    </row>
    <row r="563" spans="1:27" x14ac:dyDescent="0.35">
      <c r="A563" t="str">
        <f t="shared" si="17"/>
        <v>2805D4</v>
      </c>
      <c r="B563" t="str">
        <f t="shared" si="16"/>
        <v>2805</v>
      </c>
      <c r="C563" t="s">
        <v>982</v>
      </c>
      <c r="D563" t="s">
        <v>3</v>
      </c>
      <c r="E563" t="s">
        <v>52</v>
      </c>
      <c r="F563" t="s">
        <v>53</v>
      </c>
      <c r="G563" t="s">
        <v>757</v>
      </c>
      <c r="H563" t="s">
        <v>42</v>
      </c>
      <c r="I563" t="s">
        <v>43</v>
      </c>
      <c r="J563" t="s">
        <v>981</v>
      </c>
      <c r="K563" t="s">
        <v>56</v>
      </c>
      <c r="M563" t="s">
        <v>106</v>
      </c>
      <c r="P563" t="s">
        <v>58</v>
      </c>
      <c r="Q563" t="s">
        <v>47</v>
      </c>
      <c r="R563" t="s">
        <v>48</v>
      </c>
      <c r="V563" t="s">
        <v>49</v>
      </c>
      <c r="X563" t="s">
        <v>49</v>
      </c>
      <c r="Y563" t="s">
        <v>59</v>
      </c>
      <c r="Z563" t="s">
        <v>3591</v>
      </c>
      <c r="AA563" t="s">
        <v>3591</v>
      </c>
    </row>
    <row r="564" spans="1:27" x14ac:dyDescent="0.35">
      <c r="A564" t="str">
        <f t="shared" si="17"/>
        <v>2805D2</v>
      </c>
      <c r="B564" t="str">
        <f t="shared" si="16"/>
        <v>2805</v>
      </c>
      <c r="C564" t="s">
        <v>983</v>
      </c>
      <c r="D564" t="s">
        <v>2</v>
      </c>
      <c r="E564" t="s">
        <v>62</v>
      </c>
      <c r="F564" t="s">
        <v>63</v>
      </c>
      <c r="G564" t="s">
        <v>757</v>
      </c>
      <c r="H564" t="s">
        <v>42</v>
      </c>
      <c r="I564" t="s">
        <v>43</v>
      </c>
      <c r="J564" t="s">
        <v>981</v>
      </c>
      <c r="K564" t="s">
        <v>56</v>
      </c>
      <c r="M564" t="s">
        <v>106</v>
      </c>
      <c r="P564" t="s">
        <v>58</v>
      </c>
      <c r="Q564" t="s">
        <v>47</v>
      </c>
      <c r="R564" t="s">
        <v>48</v>
      </c>
      <c r="V564" t="s">
        <v>49</v>
      </c>
      <c r="X564" t="s">
        <v>49</v>
      </c>
      <c r="Y564" t="s">
        <v>59</v>
      </c>
      <c r="Z564" t="s">
        <v>947</v>
      </c>
      <c r="AA564" t="s">
        <v>947</v>
      </c>
    </row>
    <row r="565" spans="1:27" x14ac:dyDescent="0.35">
      <c r="A565" t="str">
        <f t="shared" si="17"/>
        <v>2805F3</v>
      </c>
      <c r="B565" t="str">
        <f t="shared" si="16"/>
        <v>2805</v>
      </c>
      <c r="C565" t="s">
        <v>984</v>
      </c>
      <c r="D565" t="s">
        <v>5</v>
      </c>
      <c r="E565" t="s">
        <v>40</v>
      </c>
      <c r="F565" t="s">
        <v>73</v>
      </c>
      <c r="G565" t="s">
        <v>757</v>
      </c>
      <c r="H565" t="s">
        <v>42</v>
      </c>
      <c r="I565" t="s">
        <v>67</v>
      </c>
      <c r="J565" t="s">
        <v>981</v>
      </c>
      <c r="M565" t="s">
        <v>106</v>
      </c>
      <c r="P565" t="s">
        <v>46</v>
      </c>
      <c r="Q565" t="s">
        <v>47</v>
      </c>
      <c r="R565" t="s">
        <v>48</v>
      </c>
      <c r="V565" t="s">
        <v>49</v>
      </c>
      <c r="X565" t="s">
        <v>49</v>
      </c>
      <c r="Y565" t="s">
        <v>74</v>
      </c>
      <c r="Z565" t="s">
        <v>968</v>
      </c>
      <c r="AA565" t="s">
        <v>968</v>
      </c>
    </row>
    <row r="566" spans="1:27" x14ac:dyDescent="0.35">
      <c r="A566" t="str">
        <f t="shared" si="17"/>
        <v>2805C2</v>
      </c>
      <c r="B566" t="str">
        <f t="shared" si="16"/>
        <v>2805</v>
      </c>
      <c r="C566" t="s">
        <v>985</v>
      </c>
      <c r="D566" t="s">
        <v>1</v>
      </c>
      <c r="E566" t="s">
        <v>65</v>
      </c>
      <c r="F566" t="s">
        <v>66</v>
      </c>
      <c r="G566" t="s">
        <v>757</v>
      </c>
      <c r="H566" t="s">
        <v>42</v>
      </c>
      <c r="I566" t="s">
        <v>67</v>
      </c>
      <c r="J566" t="s">
        <v>981</v>
      </c>
      <c r="M566" t="s">
        <v>106</v>
      </c>
      <c r="P566" t="s">
        <v>69</v>
      </c>
      <c r="Q566" t="s">
        <v>47</v>
      </c>
      <c r="R566" t="s">
        <v>48</v>
      </c>
      <c r="V566" t="s">
        <v>49</v>
      </c>
      <c r="X566" t="s">
        <v>49</v>
      </c>
      <c r="Y566" t="s">
        <v>70</v>
      </c>
      <c r="Z566" t="s">
        <v>986</v>
      </c>
      <c r="AA566" t="s">
        <v>600</v>
      </c>
    </row>
    <row r="567" spans="1:27" x14ac:dyDescent="0.35">
      <c r="A567" t="str">
        <f t="shared" si="17"/>
        <v>2805D7</v>
      </c>
      <c r="B567" t="str">
        <f t="shared" si="16"/>
        <v>2805</v>
      </c>
      <c r="C567" t="s">
        <v>987</v>
      </c>
      <c r="D567" t="s">
        <v>6</v>
      </c>
      <c r="E567" t="s">
        <v>94</v>
      </c>
      <c r="F567" t="s">
        <v>111</v>
      </c>
      <c r="G567" t="s">
        <v>757</v>
      </c>
      <c r="H567" t="s">
        <v>42</v>
      </c>
      <c r="I567" t="s">
        <v>43</v>
      </c>
      <c r="J567" t="s">
        <v>981</v>
      </c>
      <c r="M567" t="s">
        <v>106</v>
      </c>
      <c r="P567" t="s">
        <v>46</v>
      </c>
      <c r="Q567" t="s">
        <v>47</v>
      </c>
      <c r="R567" t="s">
        <v>48</v>
      </c>
      <c r="V567" t="s">
        <v>49</v>
      </c>
      <c r="X567" t="s">
        <v>49</v>
      </c>
      <c r="Y567" t="s">
        <v>59</v>
      </c>
      <c r="Z567" t="s">
        <v>988</v>
      </c>
      <c r="AA567" t="s">
        <v>988</v>
      </c>
    </row>
    <row r="568" spans="1:27" x14ac:dyDescent="0.35">
      <c r="A568" t="str">
        <f t="shared" si="17"/>
        <v>2804F2</v>
      </c>
      <c r="B568" t="str">
        <f t="shared" si="16"/>
        <v>2804</v>
      </c>
      <c r="C568" t="s">
        <v>989</v>
      </c>
      <c r="D568" t="s">
        <v>4</v>
      </c>
      <c r="E568" t="s">
        <v>77</v>
      </c>
      <c r="F568" t="s">
        <v>78</v>
      </c>
      <c r="G568" t="s">
        <v>757</v>
      </c>
      <c r="H568" t="s">
        <v>42</v>
      </c>
      <c r="I568" t="s">
        <v>67</v>
      </c>
      <c r="J568" t="s">
        <v>990</v>
      </c>
      <c r="M568" t="s">
        <v>106</v>
      </c>
      <c r="P568" t="s">
        <v>138</v>
      </c>
      <c r="Q568" t="s">
        <v>47</v>
      </c>
      <c r="R568" t="s">
        <v>48</v>
      </c>
      <c r="V568" t="s">
        <v>49</v>
      </c>
      <c r="X568" t="s">
        <v>49</v>
      </c>
      <c r="Y568" t="s">
        <v>74</v>
      </c>
      <c r="Z568" t="s">
        <v>991</v>
      </c>
      <c r="AA568" t="s">
        <v>991</v>
      </c>
    </row>
    <row r="569" spans="1:27" x14ac:dyDescent="0.35">
      <c r="A569" t="str">
        <f t="shared" si="17"/>
        <v>2804D4</v>
      </c>
      <c r="B569" t="str">
        <f t="shared" si="16"/>
        <v>2804</v>
      </c>
      <c r="C569" t="s">
        <v>992</v>
      </c>
      <c r="D569" t="s">
        <v>3</v>
      </c>
      <c r="E569" t="s">
        <v>52</v>
      </c>
      <c r="F569" t="s">
        <v>53</v>
      </c>
      <c r="G569" t="s">
        <v>757</v>
      </c>
      <c r="H569" t="s">
        <v>42</v>
      </c>
      <c r="I569" t="s">
        <v>43</v>
      </c>
      <c r="J569" t="s">
        <v>990</v>
      </c>
      <c r="K569" t="s">
        <v>56</v>
      </c>
      <c r="M569" t="s">
        <v>106</v>
      </c>
      <c r="P569" t="s">
        <v>58</v>
      </c>
      <c r="Q569" t="s">
        <v>47</v>
      </c>
      <c r="R569" t="s">
        <v>48</v>
      </c>
      <c r="V569" t="s">
        <v>49</v>
      </c>
      <c r="X569" t="s">
        <v>49</v>
      </c>
      <c r="Y569" t="s">
        <v>59</v>
      </c>
      <c r="Z569" t="s">
        <v>993</v>
      </c>
      <c r="AA569" t="s">
        <v>993</v>
      </c>
    </row>
    <row r="570" spans="1:27" x14ac:dyDescent="0.35">
      <c r="A570" t="str">
        <f t="shared" si="17"/>
        <v>2804D2</v>
      </c>
      <c r="B570" t="str">
        <f t="shared" si="16"/>
        <v>2804</v>
      </c>
      <c r="C570" t="s">
        <v>994</v>
      </c>
      <c r="D570" t="s">
        <v>2</v>
      </c>
      <c r="E570" t="s">
        <v>62</v>
      </c>
      <c r="F570" t="s">
        <v>63</v>
      </c>
      <c r="G570" t="s">
        <v>757</v>
      </c>
      <c r="H570" t="s">
        <v>42</v>
      </c>
      <c r="I570" t="s">
        <v>43</v>
      </c>
      <c r="J570" t="s">
        <v>990</v>
      </c>
      <c r="K570" t="s">
        <v>56</v>
      </c>
      <c r="M570" t="s">
        <v>106</v>
      </c>
      <c r="P570" t="s">
        <v>58</v>
      </c>
      <c r="Q570" t="s">
        <v>47</v>
      </c>
      <c r="R570" t="s">
        <v>48</v>
      </c>
      <c r="V570" t="s">
        <v>49</v>
      </c>
      <c r="X570" t="s">
        <v>49</v>
      </c>
      <c r="Y570" t="s">
        <v>59</v>
      </c>
      <c r="Z570" t="s">
        <v>995</v>
      </c>
      <c r="AA570" t="s">
        <v>995</v>
      </c>
    </row>
    <row r="571" spans="1:27" x14ac:dyDescent="0.35">
      <c r="A571" t="str">
        <f t="shared" si="17"/>
        <v>2804F3</v>
      </c>
      <c r="B571" t="str">
        <f t="shared" si="16"/>
        <v>2804</v>
      </c>
      <c r="C571" t="s">
        <v>996</v>
      </c>
      <c r="D571" t="s">
        <v>5</v>
      </c>
      <c r="E571" t="s">
        <v>40</v>
      </c>
      <c r="F571" t="s">
        <v>73</v>
      </c>
      <c r="G571" t="s">
        <v>757</v>
      </c>
      <c r="H571" t="s">
        <v>42</v>
      </c>
      <c r="I571" t="s">
        <v>67</v>
      </c>
      <c r="J571" t="s">
        <v>990</v>
      </c>
      <c r="M571" t="s">
        <v>106</v>
      </c>
      <c r="P571" t="s">
        <v>46</v>
      </c>
      <c r="Q571" t="s">
        <v>47</v>
      </c>
      <c r="R571" t="s">
        <v>48</v>
      </c>
      <c r="V571" t="s">
        <v>49</v>
      </c>
      <c r="X571" t="s">
        <v>49</v>
      </c>
      <c r="Y571" t="s">
        <v>74</v>
      </c>
      <c r="Z571" t="s">
        <v>991</v>
      </c>
      <c r="AA571" t="s">
        <v>991</v>
      </c>
    </row>
    <row r="572" spans="1:27" x14ac:dyDescent="0.35">
      <c r="A572" t="str">
        <f t="shared" si="17"/>
        <v>2804C2</v>
      </c>
      <c r="B572" t="str">
        <f t="shared" si="16"/>
        <v>2804</v>
      </c>
      <c r="C572" t="s">
        <v>997</v>
      </c>
      <c r="D572" t="s">
        <v>1</v>
      </c>
      <c r="E572" t="s">
        <v>65</v>
      </c>
      <c r="F572" t="s">
        <v>66</v>
      </c>
      <c r="G572" t="s">
        <v>757</v>
      </c>
      <c r="H572" t="s">
        <v>42</v>
      </c>
      <c r="I572" t="s">
        <v>67</v>
      </c>
      <c r="J572" t="s">
        <v>990</v>
      </c>
      <c r="M572" t="s">
        <v>106</v>
      </c>
      <c r="P572" t="s">
        <v>58</v>
      </c>
      <c r="Q572" t="s">
        <v>47</v>
      </c>
      <c r="R572" t="s">
        <v>48</v>
      </c>
      <c r="V572" t="s">
        <v>49</v>
      </c>
      <c r="X572" t="s">
        <v>49</v>
      </c>
      <c r="Y572" t="s">
        <v>70</v>
      </c>
      <c r="Z572" t="s">
        <v>995</v>
      </c>
      <c r="AA572" t="s">
        <v>995</v>
      </c>
    </row>
    <row r="573" spans="1:27" x14ac:dyDescent="0.35">
      <c r="A573" t="str">
        <f t="shared" si="17"/>
        <v>2804D7</v>
      </c>
      <c r="B573" t="str">
        <f t="shared" si="16"/>
        <v>2804</v>
      </c>
      <c r="C573" t="s">
        <v>998</v>
      </c>
      <c r="D573" t="s">
        <v>6</v>
      </c>
      <c r="E573" t="s">
        <v>94</v>
      </c>
      <c r="F573" t="s">
        <v>111</v>
      </c>
      <c r="G573" t="s">
        <v>757</v>
      </c>
      <c r="H573" t="s">
        <v>42</v>
      </c>
      <c r="I573" t="s">
        <v>43</v>
      </c>
      <c r="J573" t="s">
        <v>990</v>
      </c>
      <c r="M573" t="s">
        <v>106</v>
      </c>
      <c r="P573" t="s">
        <v>46</v>
      </c>
      <c r="Q573" t="s">
        <v>47</v>
      </c>
      <c r="R573" t="s">
        <v>48</v>
      </c>
      <c r="V573" t="s">
        <v>49</v>
      </c>
      <c r="X573" t="s">
        <v>49</v>
      </c>
      <c r="Y573" t="s">
        <v>59</v>
      </c>
      <c r="Z573" t="s">
        <v>988</v>
      </c>
      <c r="AA573" t="s">
        <v>988</v>
      </c>
    </row>
    <row r="574" spans="1:27" x14ac:dyDescent="0.35">
      <c r="A574" t="str">
        <f t="shared" si="17"/>
        <v>2709F2</v>
      </c>
      <c r="B574" t="str">
        <f t="shared" si="16"/>
        <v>2709</v>
      </c>
      <c r="C574" t="s">
        <v>999</v>
      </c>
      <c r="D574" t="s">
        <v>4</v>
      </c>
      <c r="E574" t="s">
        <v>77</v>
      </c>
      <c r="F574" t="s">
        <v>78</v>
      </c>
      <c r="G574" t="s">
        <v>757</v>
      </c>
      <c r="H574" t="s">
        <v>42</v>
      </c>
      <c r="I574" t="s">
        <v>67</v>
      </c>
      <c r="J574" t="s">
        <v>1000</v>
      </c>
      <c r="M574" t="s">
        <v>106</v>
      </c>
      <c r="P574" t="s">
        <v>79</v>
      </c>
      <c r="Q574" t="s">
        <v>47</v>
      </c>
      <c r="R574" t="s">
        <v>48</v>
      </c>
      <c r="V574" t="s">
        <v>49</v>
      </c>
      <c r="X574" t="s">
        <v>49</v>
      </c>
      <c r="Y574" t="s">
        <v>74</v>
      </c>
      <c r="Z574" t="s">
        <v>1001</v>
      </c>
      <c r="AA574" t="s">
        <v>1001</v>
      </c>
    </row>
    <row r="575" spans="1:27" x14ac:dyDescent="0.35">
      <c r="A575" t="str">
        <f t="shared" si="17"/>
        <v>2709D4</v>
      </c>
      <c r="B575" t="str">
        <f t="shared" si="16"/>
        <v>2709</v>
      </c>
      <c r="C575" t="s">
        <v>1002</v>
      </c>
      <c r="D575" t="s">
        <v>3</v>
      </c>
      <c r="E575" t="s">
        <v>52</v>
      </c>
      <c r="F575" t="s">
        <v>53</v>
      </c>
      <c r="G575" t="s">
        <v>757</v>
      </c>
      <c r="H575" t="s">
        <v>42</v>
      </c>
      <c r="I575" t="s">
        <v>43</v>
      </c>
      <c r="J575" t="s">
        <v>1000</v>
      </c>
      <c r="K575" t="s">
        <v>56</v>
      </c>
      <c r="M575" t="s">
        <v>106</v>
      </c>
      <c r="P575" t="s">
        <v>58</v>
      </c>
      <c r="Q575" t="s">
        <v>47</v>
      </c>
      <c r="R575" t="s">
        <v>48</v>
      </c>
      <c r="V575" t="s">
        <v>49</v>
      </c>
      <c r="X575" t="s">
        <v>49</v>
      </c>
      <c r="Y575" t="s">
        <v>59</v>
      </c>
      <c r="Z575" t="s">
        <v>1003</v>
      </c>
      <c r="AA575" t="s">
        <v>1003</v>
      </c>
    </row>
    <row r="576" spans="1:27" x14ac:dyDescent="0.35">
      <c r="A576" t="str">
        <f t="shared" si="17"/>
        <v>2709D2</v>
      </c>
      <c r="B576" t="str">
        <f t="shared" si="16"/>
        <v>2709</v>
      </c>
      <c r="C576" t="s">
        <v>1004</v>
      </c>
      <c r="D576" t="s">
        <v>2</v>
      </c>
      <c r="E576" t="s">
        <v>62</v>
      </c>
      <c r="F576" t="s">
        <v>63</v>
      </c>
      <c r="G576" t="s">
        <v>757</v>
      </c>
      <c r="H576" t="s">
        <v>42</v>
      </c>
      <c r="I576" t="s">
        <v>43</v>
      </c>
      <c r="J576" t="s">
        <v>1000</v>
      </c>
      <c r="K576" t="s">
        <v>56</v>
      </c>
      <c r="M576" t="s">
        <v>106</v>
      </c>
      <c r="P576" t="s">
        <v>58</v>
      </c>
      <c r="Q576" t="s">
        <v>47</v>
      </c>
      <c r="R576" t="s">
        <v>48</v>
      </c>
      <c r="V576" t="s">
        <v>49</v>
      </c>
      <c r="X576" t="s">
        <v>49</v>
      </c>
      <c r="Y576" t="s">
        <v>59</v>
      </c>
      <c r="Z576" t="s">
        <v>1003</v>
      </c>
      <c r="AA576" t="s">
        <v>1003</v>
      </c>
    </row>
    <row r="577" spans="1:27" x14ac:dyDescent="0.35">
      <c r="A577" t="str">
        <f t="shared" si="17"/>
        <v>2709F3</v>
      </c>
      <c r="B577" t="str">
        <f t="shared" si="16"/>
        <v>2709</v>
      </c>
      <c r="C577" t="s">
        <v>1005</v>
      </c>
      <c r="D577" t="s">
        <v>5</v>
      </c>
      <c r="E577" t="s">
        <v>40</v>
      </c>
      <c r="F577" t="s">
        <v>73</v>
      </c>
      <c r="G577" t="s">
        <v>757</v>
      </c>
      <c r="H577" t="s">
        <v>42</v>
      </c>
      <c r="I577" t="s">
        <v>67</v>
      </c>
      <c r="J577" t="s">
        <v>1000</v>
      </c>
      <c r="M577" t="s">
        <v>106</v>
      </c>
      <c r="P577" t="s">
        <v>46</v>
      </c>
      <c r="Q577" t="s">
        <v>47</v>
      </c>
      <c r="R577" t="s">
        <v>48</v>
      </c>
      <c r="V577" t="s">
        <v>49</v>
      </c>
      <c r="X577" t="s">
        <v>49</v>
      </c>
      <c r="Y577" t="s">
        <v>74</v>
      </c>
      <c r="Z577" t="s">
        <v>1001</v>
      </c>
      <c r="AA577" t="s">
        <v>1001</v>
      </c>
    </row>
    <row r="578" spans="1:27" x14ac:dyDescent="0.35">
      <c r="A578" t="str">
        <f t="shared" si="17"/>
        <v>2709C2</v>
      </c>
      <c r="B578" t="str">
        <f t="shared" ref="B578:B641" si="18">LEFT($J:$J,4)</f>
        <v>2709</v>
      </c>
      <c r="C578" t="s">
        <v>1006</v>
      </c>
      <c r="D578" t="s">
        <v>1</v>
      </c>
      <c r="E578" t="s">
        <v>65</v>
      </c>
      <c r="F578" t="s">
        <v>66</v>
      </c>
      <c r="G578" t="s">
        <v>757</v>
      </c>
      <c r="H578" t="s">
        <v>42</v>
      </c>
      <c r="I578" t="s">
        <v>67</v>
      </c>
      <c r="J578" t="s">
        <v>1000</v>
      </c>
      <c r="M578" t="s">
        <v>106</v>
      </c>
      <c r="P578" t="s">
        <v>69</v>
      </c>
      <c r="Q578" t="s">
        <v>47</v>
      </c>
      <c r="R578" t="s">
        <v>48</v>
      </c>
      <c r="V578" t="s">
        <v>49</v>
      </c>
      <c r="X578" t="s">
        <v>49</v>
      </c>
      <c r="Y578" t="s">
        <v>70</v>
      </c>
      <c r="Z578" t="s">
        <v>1007</v>
      </c>
      <c r="AA578" t="s">
        <v>1007</v>
      </c>
    </row>
    <row r="579" spans="1:27" x14ac:dyDescent="0.35">
      <c r="A579" t="str">
        <f t="shared" ref="A579:A642" si="19">B579&amp;D579</f>
        <v>2709D7</v>
      </c>
      <c r="B579" t="str">
        <f t="shared" si="18"/>
        <v>2709</v>
      </c>
      <c r="C579" t="s">
        <v>1008</v>
      </c>
      <c r="D579" t="s">
        <v>6</v>
      </c>
      <c r="E579" t="s">
        <v>94</v>
      </c>
      <c r="F579" t="s">
        <v>111</v>
      </c>
      <c r="G579" t="s">
        <v>757</v>
      </c>
      <c r="H579" t="s">
        <v>42</v>
      </c>
      <c r="I579" t="s">
        <v>43</v>
      </c>
      <c r="J579" t="s">
        <v>1000</v>
      </c>
      <c r="M579" t="s">
        <v>106</v>
      </c>
      <c r="P579" t="s">
        <v>46</v>
      </c>
      <c r="Q579" t="s">
        <v>47</v>
      </c>
      <c r="R579" t="s">
        <v>48</v>
      </c>
      <c r="V579" t="s">
        <v>49</v>
      </c>
      <c r="X579" t="s">
        <v>49</v>
      </c>
      <c r="Y579" t="s">
        <v>59</v>
      </c>
      <c r="Z579" t="s">
        <v>1009</v>
      </c>
      <c r="AA579" t="s">
        <v>1009</v>
      </c>
    </row>
    <row r="580" spans="1:27" x14ac:dyDescent="0.35">
      <c r="A580" t="str">
        <f t="shared" si="19"/>
        <v>2803F2</v>
      </c>
      <c r="B580" t="str">
        <f t="shared" si="18"/>
        <v>2803</v>
      </c>
      <c r="C580" t="s">
        <v>1010</v>
      </c>
      <c r="D580" t="s">
        <v>4</v>
      </c>
      <c r="E580" t="s">
        <v>77</v>
      </c>
      <c r="F580" t="s">
        <v>78</v>
      </c>
      <c r="G580" t="s">
        <v>757</v>
      </c>
      <c r="H580" t="s">
        <v>42</v>
      </c>
      <c r="I580" t="s">
        <v>67</v>
      </c>
      <c r="J580" t="s">
        <v>1011</v>
      </c>
      <c r="M580" t="s">
        <v>106</v>
      </c>
      <c r="P580" t="s">
        <v>91</v>
      </c>
      <c r="Q580" t="s">
        <v>47</v>
      </c>
      <c r="R580" t="s">
        <v>48</v>
      </c>
      <c r="V580" t="s">
        <v>49</v>
      </c>
      <c r="X580" t="s">
        <v>49</v>
      </c>
      <c r="Y580" t="s">
        <v>74</v>
      </c>
      <c r="Z580" t="s">
        <v>991</v>
      </c>
      <c r="AA580" t="s">
        <v>991</v>
      </c>
    </row>
    <row r="581" spans="1:27" x14ac:dyDescent="0.35">
      <c r="A581" t="str">
        <f t="shared" si="19"/>
        <v>2803D4</v>
      </c>
      <c r="B581" t="str">
        <f t="shared" si="18"/>
        <v>2803</v>
      </c>
      <c r="C581" t="s">
        <v>1012</v>
      </c>
      <c r="D581" t="s">
        <v>3</v>
      </c>
      <c r="E581" t="s">
        <v>52</v>
      </c>
      <c r="F581" t="s">
        <v>53</v>
      </c>
      <c r="G581" t="s">
        <v>757</v>
      </c>
      <c r="H581" t="s">
        <v>42</v>
      </c>
      <c r="I581" t="s">
        <v>43</v>
      </c>
      <c r="J581" t="s">
        <v>1011</v>
      </c>
      <c r="K581" t="s">
        <v>56</v>
      </c>
      <c r="M581" t="s">
        <v>106</v>
      </c>
      <c r="P581" t="s">
        <v>58</v>
      </c>
      <c r="Q581" t="s">
        <v>47</v>
      </c>
      <c r="R581" t="s">
        <v>48</v>
      </c>
      <c r="V581" t="s">
        <v>49</v>
      </c>
      <c r="X581" t="s">
        <v>49</v>
      </c>
      <c r="Y581" t="s">
        <v>59</v>
      </c>
      <c r="Z581" t="s">
        <v>995</v>
      </c>
      <c r="AA581" t="s">
        <v>995</v>
      </c>
    </row>
    <row r="582" spans="1:27" x14ac:dyDescent="0.35">
      <c r="A582" t="str">
        <f t="shared" si="19"/>
        <v>2803D2</v>
      </c>
      <c r="B582" t="str">
        <f t="shared" si="18"/>
        <v>2803</v>
      </c>
      <c r="C582" t="s">
        <v>1013</v>
      </c>
      <c r="D582" t="s">
        <v>2</v>
      </c>
      <c r="E582" t="s">
        <v>62</v>
      </c>
      <c r="F582" t="s">
        <v>63</v>
      </c>
      <c r="G582" t="s">
        <v>757</v>
      </c>
      <c r="H582" t="s">
        <v>42</v>
      </c>
      <c r="I582" t="s">
        <v>43</v>
      </c>
      <c r="J582" t="s">
        <v>1011</v>
      </c>
      <c r="K582" t="s">
        <v>56</v>
      </c>
      <c r="M582" t="s">
        <v>106</v>
      </c>
      <c r="P582" t="s">
        <v>58</v>
      </c>
      <c r="Q582" t="s">
        <v>47</v>
      </c>
      <c r="R582" t="s">
        <v>48</v>
      </c>
      <c r="V582" t="s">
        <v>49</v>
      </c>
      <c r="X582" t="s">
        <v>49</v>
      </c>
      <c r="Y582" t="s">
        <v>59</v>
      </c>
      <c r="Z582" t="s">
        <v>995</v>
      </c>
      <c r="AA582" t="s">
        <v>995</v>
      </c>
    </row>
    <row r="583" spans="1:27" x14ac:dyDescent="0.35">
      <c r="A583" t="str">
        <f t="shared" si="19"/>
        <v>2803F3</v>
      </c>
      <c r="B583" t="str">
        <f t="shared" si="18"/>
        <v>2803</v>
      </c>
      <c r="C583" t="s">
        <v>1014</v>
      </c>
      <c r="D583" t="s">
        <v>5</v>
      </c>
      <c r="E583" t="s">
        <v>40</v>
      </c>
      <c r="F583" t="s">
        <v>73</v>
      </c>
      <c r="G583" t="s">
        <v>757</v>
      </c>
      <c r="H583" t="s">
        <v>42</v>
      </c>
      <c r="I583" t="s">
        <v>67</v>
      </c>
      <c r="J583" t="s">
        <v>1011</v>
      </c>
      <c r="M583" t="s">
        <v>106</v>
      </c>
      <c r="P583" t="s">
        <v>46</v>
      </c>
      <c r="Q583" t="s">
        <v>47</v>
      </c>
      <c r="R583" t="s">
        <v>48</v>
      </c>
      <c r="V583" t="s">
        <v>49</v>
      </c>
      <c r="X583" t="s">
        <v>49</v>
      </c>
      <c r="Y583" t="s">
        <v>74</v>
      </c>
      <c r="Z583" t="s">
        <v>991</v>
      </c>
      <c r="AA583" t="s">
        <v>991</v>
      </c>
    </row>
    <row r="584" spans="1:27" x14ac:dyDescent="0.35">
      <c r="A584" t="str">
        <f t="shared" si="19"/>
        <v>2803C2</v>
      </c>
      <c r="B584" t="str">
        <f t="shared" si="18"/>
        <v>2803</v>
      </c>
      <c r="C584" t="s">
        <v>1015</v>
      </c>
      <c r="D584" t="s">
        <v>1</v>
      </c>
      <c r="E584" t="s">
        <v>65</v>
      </c>
      <c r="F584" t="s">
        <v>66</v>
      </c>
      <c r="G584" t="s">
        <v>757</v>
      </c>
      <c r="H584" t="s">
        <v>42</v>
      </c>
      <c r="I584" t="s">
        <v>67</v>
      </c>
      <c r="J584" t="s">
        <v>1011</v>
      </c>
      <c r="M584" t="s">
        <v>106</v>
      </c>
      <c r="P584" t="s">
        <v>58</v>
      </c>
      <c r="Q584" t="s">
        <v>47</v>
      </c>
      <c r="R584" t="s">
        <v>48</v>
      </c>
      <c r="V584" t="s">
        <v>49</v>
      </c>
      <c r="X584" t="s">
        <v>49</v>
      </c>
      <c r="Y584" t="s">
        <v>70</v>
      </c>
      <c r="Z584" t="s">
        <v>995</v>
      </c>
      <c r="AA584" t="s">
        <v>995</v>
      </c>
    </row>
    <row r="585" spans="1:27" x14ac:dyDescent="0.35">
      <c r="A585" t="str">
        <f t="shared" si="19"/>
        <v>2803D7</v>
      </c>
      <c r="B585" t="str">
        <f t="shared" si="18"/>
        <v>2803</v>
      </c>
      <c r="C585" t="s">
        <v>1016</v>
      </c>
      <c r="D585" t="s">
        <v>6</v>
      </c>
      <c r="E585" t="s">
        <v>94</v>
      </c>
      <c r="F585" t="s">
        <v>111</v>
      </c>
      <c r="G585" t="s">
        <v>757</v>
      </c>
      <c r="H585" t="s">
        <v>42</v>
      </c>
      <c r="I585" t="s">
        <v>43</v>
      </c>
      <c r="J585" t="s">
        <v>1011</v>
      </c>
      <c r="M585" t="s">
        <v>106</v>
      </c>
      <c r="P585" t="s">
        <v>46</v>
      </c>
      <c r="Q585" t="s">
        <v>47</v>
      </c>
      <c r="R585" t="s">
        <v>48</v>
      </c>
      <c r="V585" t="s">
        <v>49</v>
      </c>
      <c r="X585" t="s">
        <v>49</v>
      </c>
      <c r="Y585" t="s">
        <v>59</v>
      </c>
      <c r="Z585" t="s">
        <v>1017</v>
      </c>
      <c r="AA585" t="s">
        <v>1017</v>
      </c>
    </row>
    <row r="586" spans="1:27" x14ac:dyDescent="0.35">
      <c r="A586" t="str">
        <f t="shared" si="19"/>
        <v>2802F2</v>
      </c>
      <c r="B586" t="str">
        <f t="shared" si="18"/>
        <v>2802</v>
      </c>
      <c r="C586" t="s">
        <v>1018</v>
      </c>
      <c r="D586" t="s">
        <v>4</v>
      </c>
      <c r="E586" t="s">
        <v>77</v>
      </c>
      <c r="F586" t="s">
        <v>78</v>
      </c>
      <c r="G586" t="s">
        <v>757</v>
      </c>
      <c r="H586" t="s">
        <v>42</v>
      </c>
      <c r="I586" t="s">
        <v>67</v>
      </c>
      <c r="J586" t="s">
        <v>1019</v>
      </c>
      <c r="M586" t="s">
        <v>106</v>
      </c>
      <c r="P586" t="s">
        <v>91</v>
      </c>
      <c r="Q586" t="s">
        <v>47</v>
      </c>
      <c r="R586" t="s">
        <v>48</v>
      </c>
      <c r="V586" t="s">
        <v>49</v>
      </c>
      <c r="X586" t="s">
        <v>49</v>
      </c>
      <c r="Y586" t="s">
        <v>74</v>
      </c>
      <c r="Z586" t="s">
        <v>991</v>
      </c>
      <c r="AA586" t="s">
        <v>991</v>
      </c>
    </row>
    <row r="587" spans="1:27" x14ac:dyDescent="0.35">
      <c r="A587" t="str">
        <f t="shared" si="19"/>
        <v>2802D4</v>
      </c>
      <c r="B587" t="str">
        <f t="shared" si="18"/>
        <v>2802</v>
      </c>
      <c r="C587" t="s">
        <v>1020</v>
      </c>
      <c r="D587" t="s">
        <v>3</v>
      </c>
      <c r="E587" t="s">
        <v>52</v>
      </c>
      <c r="F587" t="s">
        <v>53</v>
      </c>
      <c r="G587" t="s">
        <v>757</v>
      </c>
      <c r="H587" t="s">
        <v>42</v>
      </c>
      <c r="I587" t="s">
        <v>43</v>
      </c>
      <c r="J587" t="s">
        <v>1019</v>
      </c>
      <c r="K587" t="s">
        <v>56</v>
      </c>
      <c r="M587" t="s">
        <v>106</v>
      </c>
      <c r="P587" t="s">
        <v>58</v>
      </c>
      <c r="Q587" t="s">
        <v>47</v>
      </c>
      <c r="R587" t="s">
        <v>48</v>
      </c>
      <c r="V587" t="s">
        <v>49</v>
      </c>
      <c r="X587" t="s">
        <v>49</v>
      </c>
      <c r="Y587" t="s">
        <v>59</v>
      </c>
      <c r="Z587" t="s">
        <v>3591</v>
      </c>
      <c r="AA587" t="s">
        <v>3591</v>
      </c>
    </row>
    <row r="588" spans="1:27" x14ac:dyDescent="0.35">
      <c r="A588" t="str">
        <f t="shared" si="19"/>
        <v>2802D2</v>
      </c>
      <c r="B588" t="str">
        <f t="shared" si="18"/>
        <v>2802</v>
      </c>
      <c r="C588" t="s">
        <v>1021</v>
      </c>
      <c r="D588" t="s">
        <v>2</v>
      </c>
      <c r="E588" t="s">
        <v>62</v>
      </c>
      <c r="F588" t="s">
        <v>63</v>
      </c>
      <c r="G588" t="s">
        <v>757</v>
      </c>
      <c r="H588" t="s">
        <v>42</v>
      </c>
      <c r="I588" t="s">
        <v>43</v>
      </c>
      <c r="J588" t="s">
        <v>1019</v>
      </c>
      <c r="K588" t="s">
        <v>56</v>
      </c>
      <c r="M588" t="s">
        <v>106</v>
      </c>
      <c r="P588" t="s">
        <v>58</v>
      </c>
      <c r="Q588" t="s">
        <v>47</v>
      </c>
      <c r="R588" t="s">
        <v>48</v>
      </c>
      <c r="V588" t="s">
        <v>49</v>
      </c>
      <c r="X588" t="s">
        <v>49</v>
      </c>
      <c r="Y588" t="s">
        <v>59</v>
      </c>
      <c r="Z588" t="s">
        <v>1022</v>
      </c>
      <c r="AA588" t="s">
        <v>1022</v>
      </c>
    </row>
    <row r="589" spans="1:27" x14ac:dyDescent="0.35">
      <c r="A589" t="str">
        <f t="shared" si="19"/>
        <v>2802F3</v>
      </c>
      <c r="B589" t="str">
        <f t="shared" si="18"/>
        <v>2802</v>
      </c>
      <c r="C589" t="s">
        <v>1023</v>
      </c>
      <c r="D589" t="s">
        <v>5</v>
      </c>
      <c r="E589" t="s">
        <v>40</v>
      </c>
      <c r="F589" t="s">
        <v>73</v>
      </c>
      <c r="G589" t="s">
        <v>757</v>
      </c>
      <c r="H589" t="s">
        <v>42</v>
      </c>
      <c r="I589" t="s">
        <v>67</v>
      </c>
      <c r="J589" t="s">
        <v>1019</v>
      </c>
      <c r="M589" t="s">
        <v>106</v>
      </c>
      <c r="P589" t="s">
        <v>46</v>
      </c>
      <c r="Q589" t="s">
        <v>47</v>
      </c>
      <c r="R589" t="s">
        <v>48</v>
      </c>
      <c r="V589" t="s">
        <v>49</v>
      </c>
      <c r="X589" t="s">
        <v>49</v>
      </c>
      <c r="Y589" t="s">
        <v>74</v>
      </c>
      <c r="Z589" t="s">
        <v>1024</v>
      </c>
      <c r="AA589" t="s">
        <v>1024</v>
      </c>
    </row>
    <row r="590" spans="1:27" x14ac:dyDescent="0.35">
      <c r="A590" t="str">
        <f t="shared" si="19"/>
        <v>2802C2</v>
      </c>
      <c r="B590" t="str">
        <f t="shared" si="18"/>
        <v>2802</v>
      </c>
      <c r="C590" t="s">
        <v>1025</v>
      </c>
      <c r="D590" t="s">
        <v>1</v>
      </c>
      <c r="E590" t="s">
        <v>65</v>
      </c>
      <c r="F590" t="s">
        <v>66</v>
      </c>
      <c r="G590" t="s">
        <v>757</v>
      </c>
      <c r="H590" t="s">
        <v>42</v>
      </c>
      <c r="I590" t="s">
        <v>67</v>
      </c>
      <c r="J590" t="s">
        <v>1019</v>
      </c>
      <c r="M590" t="s">
        <v>106</v>
      </c>
      <c r="P590" t="s">
        <v>69</v>
      </c>
      <c r="Q590" t="s">
        <v>47</v>
      </c>
      <c r="R590" t="s">
        <v>48</v>
      </c>
      <c r="V590" t="s">
        <v>49</v>
      </c>
      <c r="X590" t="s">
        <v>49</v>
      </c>
      <c r="Y590" t="s">
        <v>70</v>
      </c>
      <c r="Z590" t="s">
        <v>1022</v>
      </c>
      <c r="AA590" t="s">
        <v>1022</v>
      </c>
    </row>
    <row r="591" spans="1:27" x14ac:dyDescent="0.35">
      <c r="A591" t="str">
        <f t="shared" si="19"/>
        <v>2802D7</v>
      </c>
      <c r="B591" t="str">
        <f t="shared" si="18"/>
        <v>2802</v>
      </c>
      <c r="C591" t="s">
        <v>1026</v>
      </c>
      <c r="D591" t="s">
        <v>6</v>
      </c>
      <c r="E591" t="s">
        <v>94</v>
      </c>
      <c r="F591" t="s">
        <v>111</v>
      </c>
      <c r="G591" t="s">
        <v>757</v>
      </c>
      <c r="H591" t="s">
        <v>42</v>
      </c>
      <c r="I591" t="s">
        <v>43</v>
      </c>
      <c r="J591" t="s">
        <v>1019</v>
      </c>
      <c r="M591" t="s">
        <v>106</v>
      </c>
      <c r="P591" t="s">
        <v>46</v>
      </c>
      <c r="Q591" t="s">
        <v>47</v>
      </c>
      <c r="R591" t="s">
        <v>48</v>
      </c>
      <c r="V591" t="s">
        <v>49</v>
      </c>
      <c r="X591" t="s">
        <v>49</v>
      </c>
      <c r="Y591" t="s">
        <v>59</v>
      </c>
      <c r="Z591" t="s">
        <v>1027</v>
      </c>
      <c r="AA591" t="s">
        <v>1027</v>
      </c>
    </row>
    <row r="592" spans="1:27" x14ac:dyDescent="0.35">
      <c r="A592" t="str">
        <f t="shared" si="19"/>
        <v>2801F2</v>
      </c>
      <c r="B592" t="str">
        <f t="shared" si="18"/>
        <v>2801</v>
      </c>
      <c r="C592" t="s">
        <v>1028</v>
      </c>
      <c r="D592" t="s">
        <v>4</v>
      </c>
      <c r="E592" t="s">
        <v>77</v>
      </c>
      <c r="F592" t="s">
        <v>78</v>
      </c>
      <c r="G592" t="s">
        <v>757</v>
      </c>
      <c r="H592" t="s">
        <v>42</v>
      </c>
      <c r="I592" t="s">
        <v>67</v>
      </c>
      <c r="J592" t="s">
        <v>1029</v>
      </c>
      <c r="M592" t="s">
        <v>106</v>
      </c>
      <c r="P592" t="s">
        <v>138</v>
      </c>
      <c r="Q592" t="s">
        <v>47</v>
      </c>
      <c r="R592" t="s">
        <v>48</v>
      </c>
      <c r="V592" t="s">
        <v>49</v>
      </c>
      <c r="X592" t="s">
        <v>49</v>
      </c>
      <c r="Y592" t="s">
        <v>74</v>
      </c>
      <c r="Z592" t="s">
        <v>1024</v>
      </c>
      <c r="AA592" t="s">
        <v>1024</v>
      </c>
    </row>
    <row r="593" spans="1:27" x14ac:dyDescent="0.35">
      <c r="A593" t="str">
        <f t="shared" si="19"/>
        <v>2801D4</v>
      </c>
      <c r="B593" t="str">
        <f t="shared" si="18"/>
        <v>2801</v>
      </c>
      <c r="C593" t="s">
        <v>1030</v>
      </c>
      <c r="D593" t="s">
        <v>3</v>
      </c>
      <c r="E593" t="s">
        <v>52</v>
      </c>
      <c r="F593" t="s">
        <v>53</v>
      </c>
      <c r="G593" t="s">
        <v>757</v>
      </c>
      <c r="H593" t="s">
        <v>42</v>
      </c>
      <c r="I593" t="s">
        <v>43</v>
      </c>
      <c r="J593" t="s">
        <v>1029</v>
      </c>
      <c r="K593" t="s">
        <v>56</v>
      </c>
      <c r="M593" t="s">
        <v>106</v>
      </c>
      <c r="P593" t="s">
        <v>58</v>
      </c>
      <c r="Q593" t="s">
        <v>47</v>
      </c>
      <c r="R593" t="s">
        <v>48</v>
      </c>
      <c r="V593" t="s">
        <v>49</v>
      </c>
      <c r="X593" t="s">
        <v>49</v>
      </c>
      <c r="Y593" t="s">
        <v>59</v>
      </c>
      <c r="Z593" t="s">
        <v>1031</v>
      </c>
      <c r="AA593" t="s">
        <v>1031</v>
      </c>
    </row>
    <row r="594" spans="1:27" x14ac:dyDescent="0.35">
      <c r="A594" t="str">
        <f t="shared" si="19"/>
        <v>2801D2</v>
      </c>
      <c r="B594" t="str">
        <f t="shared" si="18"/>
        <v>2801</v>
      </c>
      <c r="C594" t="s">
        <v>1032</v>
      </c>
      <c r="D594" t="s">
        <v>2</v>
      </c>
      <c r="E594" t="s">
        <v>62</v>
      </c>
      <c r="F594" t="s">
        <v>63</v>
      </c>
      <c r="G594" t="s">
        <v>757</v>
      </c>
      <c r="H594" t="s">
        <v>42</v>
      </c>
      <c r="I594" t="s">
        <v>43</v>
      </c>
      <c r="J594" t="s">
        <v>1029</v>
      </c>
      <c r="K594" t="s">
        <v>56</v>
      </c>
      <c r="M594" t="s">
        <v>106</v>
      </c>
      <c r="P594" t="s">
        <v>58</v>
      </c>
      <c r="Q594" t="s">
        <v>47</v>
      </c>
      <c r="R594" t="s">
        <v>48</v>
      </c>
      <c r="V594" t="s">
        <v>49</v>
      </c>
      <c r="X594" t="s">
        <v>49</v>
      </c>
      <c r="Y594" t="s">
        <v>59</v>
      </c>
      <c r="Z594" t="s">
        <v>1033</v>
      </c>
      <c r="AA594" t="s">
        <v>1033</v>
      </c>
    </row>
    <row r="595" spans="1:27" x14ac:dyDescent="0.35">
      <c r="A595" t="str">
        <f t="shared" si="19"/>
        <v>2801F3</v>
      </c>
      <c r="B595" t="str">
        <f t="shared" si="18"/>
        <v>2801</v>
      </c>
      <c r="C595" t="s">
        <v>1034</v>
      </c>
      <c r="D595" t="s">
        <v>5</v>
      </c>
      <c r="E595" t="s">
        <v>40</v>
      </c>
      <c r="F595" t="s">
        <v>73</v>
      </c>
      <c r="G595" t="s">
        <v>757</v>
      </c>
      <c r="H595" t="s">
        <v>42</v>
      </c>
      <c r="I595" t="s">
        <v>67</v>
      </c>
      <c r="J595" t="s">
        <v>1029</v>
      </c>
      <c r="M595" t="s">
        <v>106</v>
      </c>
      <c r="P595" t="s">
        <v>46</v>
      </c>
      <c r="Q595" t="s">
        <v>47</v>
      </c>
      <c r="R595" t="s">
        <v>48</v>
      </c>
      <c r="V595" t="s">
        <v>49</v>
      </c>
      <c r="X595" t="s">
        <v>49</v>
      </c>
      <c r="Y595" t="s">
        <v>74</v>
      </c>
      <c r="Z595" t="s">
        <v>1024</v>
      </c>
      <c r="AA595" t="s">
        <v>1024</v>
      </c>
    </row>
    <row r="596" spans="1:27" x14ac:dyDescent="0.35">
      <c r="A596" t="str">
        <f t="shared" si="19"/>
        <v>2801C2</v>
      </c>
      <c r="B596" t="str">
        <f t="shared" si="18"/>
        <v>2801</v>
      </c>
      <c r="C596" t="s">
        <v>1035</v>
      </c>
      <c r="D596" t="s">
        <v>1</v>
      </c>
      <c r="E596" t="s">
        <v>65</v>
      </c>
      <c r="F596" t="s">
        <v>66</v>
      </c>
      <c r="G596" t="s">
        <v>757</v>
      </c>
      <c r="H596" t="s">
        <v>42</v>
      </c>
      <c r="I596" t="s">
        <v>67</v>
      </c>
      <c r="J596" t="s">
        <v>1029</v>
      </c>
      <c r="M596" t="s">
        <v>106</v>
      </c>
      <c r="P596" t="s">
        <v>69</v>
      </c>
      <c r="Q596" t="s">
        <v>47</v>
      </c>
      <c r="R596" t="s">
        <v>48</v>
      </c>
      <c r="V596" t="s">
        <v>49</v>
      </c>
      <c r="X596" t="s">
        <v>49</v>
      </c>
      <c r="Y596" t="s">
        <v>70</v>
      </c>
      <c r="Z596" t="s">
        <v>1033</v>
      </c>
      <c r="AA596" t="s">
        <v>1033</v>
      </c>
    </row>
    <row r="597" spans="1:27" x14ac:dyDescent="0.35">
      <c r="A597" t="str">
        <f t="shared" si="19"/>
        <v>2801D7</v>
      </c>
      <c r="B597" t="str">
        <f t="shared" si="18"/>
        <v>2801</v>
      </c>
      <c r="C597" t="s">
        <v>1036</v>
      </c>
      <c r="D597" t="s">
        <v>6</v>
      </c>
      <c r="E597" t="s">
        <v>94</v>
      </c>
      <c r="F597" t="s">
        <v>111</v>
      </c>
      <c r="G597" t="s">
        <v>757</v>
      </c>
      <c r="H597" t="s">
        <v>42</v>
      </c>
      <c r="I597" t="s">
        <v>43</v>
      </c>
      <c r="J597" t="s">
        <v>1029</v>
      </c>
      <c r="M597" t="s">
        <v>106</v>
      </c>
      <c r="P597" t="s">
        <v>46</v>
      </c>
      <c r="Q597" t="s">
        <v>47</v>
      </c>
      <c r="R597" t="s">
        <v>48</v>
      </c>
      <c r="V597" t="s">
        <v>49</v>
      </c>
      <c r="X597" t="s">
        <v>49</v>
      </c>
      <c r="Y597" t="s">
        <v>59</v>
      </c>
      <c r="Z597" t="s">
        <v>1037</v>
      </c>
      <c r="AA597" t="s">
        <v>1037</v>
      </c>
    </row>
    <row r="598" spans="1:27" x14ac:dyDescent="0.35">
      <c r="A598" t="str">
        <f t="shared" si="19"/>
        <v>2708F2</v>
      </c>
      <c r="B598" t="str">
        <f t="shared" si="18"/>
        <v>2708</v>
      </c>
      <c r="C598" t="s">
        <v>1038</v>
      </c>
      <c r="D598" t="s">
        <v>4</v>
      </c>
      <c r="E598" t="s">
        <v>77</v>
      </c>
      <c r="F598" t="s">
        <v>78</v>
      </c>
      <c r="G598" t="s">
        <v>757</v>
      </c>
      <c r="H598" t="s">
        <v>42</v>
      </c>
      <c r="I598" t="s">
        <v>67</v>
      </c>
      <c r="J598" t="s">
        <v>1039</v>
      </c>
      <c r="M598" t="s">
        <v>106</v>
      </c>
      <c r="P598" t="s">
        <v>189</v>
      </c>
      <c r="Q598" t="s">
        <v>47</v>
      </c>
      <c r="R598" t="s">
        <v>48</v>
      </c>
      <c r="V598" t="s">
        <v>49</v>
      </c>
      <c r="X598" t="s">
        <v>49</v>
      </c>
      <c r="Y598" t="s">
        <v>74</v>
      </c>
      <c r="Z598" t="s">
        <v>1040</v>
      </c>
      <c r="AA598" t="s">
        <v>1040</v>
      </c>
    </row>
    <row r="599" spans="1:27" x14ac:dyDescent="0.35">
      <c r="A599" t="str">
        <f t="shared" si="19"/>
        <v>2708D4</v>
      </c>
      <c r="B599" t="str">
        <f t="shared" si="18"/>
        <v>2708</v>
      </c>
      <c r="C599" t="s">
        <v>1041</v>
      </c>
      <c r="D599" t="s">
        <v>3</v>
      </c>
      <c r="E599" t="s">
        <v>52</v>
      </c>
      <c r="F599" t="s">
        <v>53</v>
      </c>
      <c r="G599" t="s">
        <v>757</v>
      </c>
      <c r="H599" t="s">
        <v>42</v>
      </c>
      <c r="I599" t="s">
        <v>43</v>
      </c>
      <c r="J599" t="s">
        <v>1039</v>
      </c>
      <c r="K599" t="s">
        <v>56</v>
      </c>
      <c r="M599" t="s">
        <v>106</v>
      </c>
      <c r="P599" t="s">
        <v>58</v>
      </c>
      <c r="Q599" t="s">
        <v>47</v>
      </c>
      <c r="R599" t="s">
        <v>48</v>
      </c>
      <c r="V599" t="s">
        <v>49</v>
      </c>
      <c r="X599" t="s">
        <v>49</v>
      </c>
      <c r="Y599" t="s">
        <v>59</v>
      </c>
      <c r="Z599" t="s">
        <v>1042</v>
      </c>
      <c r="AA599" t="s">
        <v>1042</v>
      </c>
    </row>
    <row r="600" spans="1:27" x14ac:dyDescent="0.35">
      <c r="A600" t="str">
        <f t="shared" si="19"/>
        <v>2708D2</v>
      </c>
      <c r="B600" t="str">
        <f t="shared" si="18"/>
        <v>2708</v>
      </c>
      <c r="C600" t="s">
        <v>1043</v>
      </c>
      <c r="D600" t="s">
        <v>2</v>
      </c>
      <c r="E600" t="s">
        <v>62</v>
      </c>
      <c r="F600" t="s">
        <v>63</v>
      </c>
      <c r="G600" t="s">
        <v>757</v>
      </c>
      <c r="H600" t="s">
        <v>42</v>
      </c>
      <c r="I600" t="s">
        <v>43</v>
      </c>
      <c r="J600" t="s">
        <v>1039</v>
      </c>
      <c r="K600" t="s">
        <v>56</v>
      </c>
      <c r="M600" t="s">
        <v>106</v>
      </c>
      <c r="P600" t="s">
        <v>58</v>
      </c>
      <c r="Q600" t="s">
        <v>47</v>
      </c>
      <c r="R600" t="s">
        <v>48</v>
      </c>
      <c r="V600" t="s">
        <v>49</v>
      </c>
      <c r="X600" t="s">
        <v>49</v>
      </c>
      <c r="Y600" t="s">
        <v>59</v>
      </c>
      <c r="Z600" t="s">
        <v>1042</v>
      </c>
      <c r="AA600" t="s">
        <v>1042</v>
      </c>
    </row>
    <row r="601" spans="1:27" x14ac:dyDescent="0.35">
      <c r="A601" t="str">
        <f t="shared" si="19"/>
        <v>2708F3</v>
      </c>
      <c r="B601" t="str">
        <f t="shared" si="18"/>
        <v>2708</v>
      </c>
      <c r="C601" t="s">
        <v>1044</v>
      </c>
      <c r="D601" t="s">
        <v>5</v>
      </c>
      <c r="E601" t="s">
        <v>40</v>
      </c>
      <c r="F601" t="s">
        <v>73</v>
      </c>
      <c r="G601" t="s">
        <v>757</v>
      </c>
      <c r="H601" t="s">
        <v>42</v>
      </c>
      <c r="I601" t="s">
        <v>67</v>
      </c>
      <c r="J601" t="s">
        <v>1039</v>
      </c>
      <c r="M601" t="s">
        <v>106</v>
      </c>
      <c r="P601" t="s">
        <v>46</v>
      </c>
      <c r="Q601" t="s">
        <v>47</v>
      </c>
      <c r="R601" t="s">
        <v>48</v>
      </c>
      <c r="V601" t="s">
        <v>49</v>
      </c>
      <c r="X601" t="s">
        <v>49</v>
      </c>
      <c r="Y601" t="s">
        <v>74</v>
      </c>
      <c r="Z601" t="s">
        <v>1040</v>
      </c>
      <c r="AA601" t="s">
        <v>1040</v>
      </c>
    </row>
    <row r="602" spans="1:27" x14ac:dyDescent="0.35">
      <c r="A602" t="str">
        <f t="shared" si="19"/>
        <v>2708C2</v>
      </c>
      <c r="B602" t="str">
        <f t="shared" si="18"/>
        <v>2708</v>
      </c>
      <c r="C602" t="s">
        <v>1045</v>
      </c>
      <c r="D602" t="s">
        <v>1</v>
      </c>
      <c r="E602" t="s">
        <v>65</v>
      </c>
      <c r="F602" t="s">
        <v>66</v>
      </c>
      <c r="G602" t="s">
        <v>757</v>
      </c>
      <c r="H602" t="s">
        <v>42</v>
      </c>
      <c r="I602" t="s">
        <v>67</v>
      </c>
      <c r="J602" t="s">
        <v>1039</v>
      </c>
      <c r="M602" t="s">
        <v>106</v>
      </c>
      <c r="P602" t="s">
        <v>69</v>
      </c>
      <c r="Q602" t="s">
        <v>47</v>
      </c>
      <c r="R602" t="s">
        <v>48</v>
      </c>
      <c r="V602" t="s">
        <v>49</v>
      </c>
      <c r="X602" t="s">
        <v>49</v>
      </c>
      <c r="Y602" t="s">
        <v>70</v>
      </c>
      <c r="Z602" t="s">
        <v>1042</v>
      </c>
      <c r="AA602" t="s">
        <v>1042</v>
      </c>
    </row>
    <row r="603" spans="1:27" x14ac:dyDescent="0.35">
      <c r="A603" t="str">
        <f t="shared" si="19"/>
        <v>2708D7</v>
      </c>
      <c r="B603" t="str">
        <f t="shared" si="18"/>
        <v>2708</v>
      </c>
      <c r="C603" t="s">
        <v>1046</v>
      </c>
      <c r="D603" t="s">
        <v>6</v>
      </c>
      <c r="E603" t="s">
        <v>94</v>
      </c>
      <c r="F603" t="s">
        <v>111</v>
      </c>
      <c r="G603" t="s">
        <v>757</v>
      </c>
      <c r="H603" t="s">
        <v>42</v>
      </c>
      <c r="I603" t="s">
        <v>43</v>
      </c>
      <c r="J603" t="s">
        <v>1039</v>
      </c>
      <c r="M603" t="s">
        <v>106</v>
      </c>
      <c r="P603" t="s">
        <v>46</v>
      </c>
      <c r="Q603" t="s">
        <v>47</v>
      </c>
      <c r="R603" t="s">
        <v>48</v>
      </c>
      <c r="V603" t="s">
        <v>49</v>
      </c>
      <c r="X603" t="s">
        <v>49</v>
      </c>
      <c r="Y603" t="s">
        <v>59</v>
      </c>
      <c r="Z603" t="s">
        <v>1047</v>
      </c>
      <c r="AA603" t="s">
        <v>1047</v>
      </c>
    </row>
    <row r="604" spans="1:27" x14ac:dyDescent="0.35">
      <c r="A604" t="str">
        <f t="shared" si="19"/>
        <v>2707F2</v>
      </c>
      <c r="B604" t="str">
        <f t="shared" si="18"/>
        <v>2707</v>
      </c>
      <c r="C604" t="s">
        <v>1048</v>
      </c>
      <c r="D604" t="s">
        <v>4</v>
      </c>
      <c r="E604" t="s">
        <v>77</v>
      </c>
      <c r="F604" t="s">
        <v>78</v>
      </c>
      <c r="G604" t="s">
        <v>757</v>
      </c>
      <c r="H604" t="s">
        <v>42</v>
      </c>
      <c r="I604" t="s">
        <v>67</v>
      </c>
      <c r="J604" t="s">
        <v>1049</v>
      </c>
      <c r="M604" t="s">
        <v>106</v>
      </c>
      <c r="P604" t="s">
        <v>79</v>
      </c>
      <c r="Q604" t="s">
        <v>47</v>
      </c>
      <c r="R604" t="s">
        <v>48</v>
      </c>
      <c r="V604" t="s">
        <v>49</v>
      </c>
      <c r="X604" t="s">
        <v>49</v>
      </c>
      <c r="Y604" t="s">
        <v>74</v>
      </c>
      <c r="Z604" t="s">
        <v>1040</v>
      </c>
      <c r="AA604" t="s">
        <v>1040</v>
      </c>
    </row>
    <row r="605" spans="1:27" x14ac:dyDescent="0.35">
      <c r="A605" t="str">
        <f t="shared" si="19"/>
        <v>2707D4</v>
      </c>
      <c r="B605" t="str">
        <f t="shared" si="18"/>
        <v>2707</v>
      </c>
      <c r="C605" t="s">
        <v>1050</v>
      </c>
      <c r="D605" t="s">
        <v>3</v>
      </c>
      <c r="E605" t="s">
        <v>52</v>
      </c>
      <c r="F605" t="s">
        <v>53</v>
      </c>
      <c r="G605" t="s">
        <v>757</v>
      </c>
      <c r="H605" t="s">
        <v>42</v>
      </c>
      <c r="I605" t="s">
        <v>43</v>
      </c>
      <c r="J605" t="s">
        <v>1049</v>
      </c>
      <c r="K605" t="s">
        <v>56</v>
      </c>
      <c r="M605" t="s">
        <v>106</v>
      </c>
      <c r="P605" t="s">
        <v>58</v>
      </c>
      <c r="Q605" t="s">
        <v>47</v>
      </c>
      <c r="R605" t="s">
        <v>48</v>
      </c>
      <c r="V605" t="s">
        <v>49</v>
      </c>
      <c r="X605" t="s">
        <v>49</v>
      </c>
      <c r="Y605" t="s">
        <v>59</v>
      </c>
      <c r="Z605" t="s">
        <v>1051</v>
      </c>
      <c r="AA605" t="s">
        <v>1051</v>
      </c>
    </row>
    <row r="606" spans="1:27" x14ac:dyDescent="0.35">
      <c r="A606" t="str">
        <f t="shared" si="19"/>
        <v>2707D2</v>
      </c>
      <c r="B606" t="str">
        <f t="shared" si="18"/>
        <v>2707</v>
      </c>
      <c r="C606" t="s">
        <v>1052</v>
      </c>
      <c r="D606" t="s">
        <v>2</v>
      </c>
      <c r="E606" t="s">
        <v>62</v>
      </c>
      <c r="F606" t="s">
        <v>63</v>
      </c>
      <c r="G606" t="s">
        <v>757</v>
      </c>
      <c r="H606" t="s">
        <v>42</v>
      </c>
      <c r="I606" t="s">
        <v>43</v>
      </c>
      <c r="J606" t="s">
        <v>1049</v>
      </c>
      <c r="K606" t="s">
        <v>56</v>
      </c>
      <c r="M606" t="s">
        <v>106</v>
      </c>
      <c r="P606" t="s">
        <v>58</v>
      </c>
      <c r="Q606" t="s">
        <v>47</v>
      </c>
      <c r="R606" t="s">
        <v>48</v>
      </c>
      <c r="V606" t="s">
        <v>49</v>
      </c>
      <c r="X606" t="s">
        <v>49</v>
      </c>
      <c r="Y606" t="s">
        <v>59</v>
      </c>
      <c r="Z606" t="s">
        <v>1051</v>
      </c>
      <c r="AA606" t="s">
        <v>1051</v>
      </c>
    </row>
    <row r="607" spans="1:27" x14ac:dyDescent="0.35">
      <c r="A607" t="str">
        <f t="shared" si="19"/>
        <v>2707F3</v>
      </c>
      <c r="B607" t="str">
        <f t="shared" si="18"/>
        <v>2707</v>
      </c>
      <c r="C607" t="s">
        <v>1053</v>
      </c>
      <c r="D607" t="s">
        <v>5</v>
      </c>
      <c r="E607" t="s">
        <v>40</v>
      </c>
      <c r="F607" t="s">
        <v>73</v>
      </c>
      <c r="G607" t="s">
        <v>757</v>
      </c>
      <c r="H607" t="s">
        <v>42</v>
      </c>
      <c r="I607" t="s">
        <v>67</v>
      </c>
      <c r="J607" t="s">
        <v>1049</v>
      </c>
      <c r="M607" t="s">
        <v>106</v>
      </c>
      <c r="P607" t="s">
        <v>46</v>
      </c>
      <c r="Q607" t="s">
        <v>47</v>
      </c>
      <c r="R607" t="s">
        <v>48</v>
      </c>
      <c r="V607" t="s">
        <v>49</v>
      </c>
      <c r="X607" t="s">
        <v>49</v>
      </c>
      <c r="Y607" t="s">
        <v>74</v>
      </c>
      <c r="Z607" t="s">
        <v>1054</v>
      </c>
      <c r="AA607" t="s">
        <v>1054</v>
      </c>
    </row>
    <row r="608" spans="1:27" x14ac:dyDescent="0.35">
      <c r="A608" t="str">
        <f t="shared" si="19"/>
        <v>2707C2</v>
      </c>
      <c r="B608" t="str">
        <f t="shared" si="18"/>
        <v>2707</v>
      </c>
      <c r="C608" t="s">
        <v>1055</v>
      </c>
      <c r="D608" t="s">
        <v>1</v>
      </c>
      <c r="E608" t="s">
        <v>65</v>
      </c>
      <c r="F608" t="s">
        <v>66</v>
      </c>
      <c r="G608" t="s">
        <v>757</v>
      </c>
      <c r="H608" t="s">
        <v>42</v>
      </c>
      <c r="I608" t="s">
        <v>67</v>
      </c>
      <c r="J608" t="s">
        <v>1049</v>
      </c>
      <c r="M608" t="s">
        <v>106</v>
      </c>
      <c r="P608" t="s">
        <v>69</v>
      </c>
      <c r="Q608" t="s">
        <v>47</v>
      </c>
      <c r="R608" t="s">
        <v>48</v>
      </c>
      <c r="V608" t="s">
        <v>49</v>
      </c>
      <c r="X608" t="s">
        <v>49</v>
      </c>
      <c r="Y608" t="s">
        <v>70</v>
      </c>
      <c r="Z608" t="s">
        <v>1056</v>
      </c>
      <c r="AA608" t="s">
        <v>1056</v>
      </c>
    </row>
    <row r="609" spans="1:27" x14ac:dyDescent="0.35">
      <c r="A609" t="str">
        <f t="shared" si="19"/>
        <v>2707D7</v>
      </c>
      <c r="B609" t="str">
        <f t="shared" si="18"/>
        <v>2707</v>
      </c>
      <c r="C609" t="s">
        <v>1057</v>
      </c>
      <c r="D609" t="s">
        <v>6</v>
      </c>
      <c r="E609" t="s">
        <v>94</v>
      </c>
      <c r="F609" t="s">
        <v>111</v>
      </c>
      <c r="G609" t="s">
        <v>757</v>
      </c>
      <c r="H609" t="s">
        <v>42</v>
      </c>
      <c r="I609" t="s">
        <v>43</v>
      </c>
      <c r="J609" t="s">
        <v>1049</v>
      </c>
      <c r="M609" t="s">
        <v>106</v>
      </c>
      <c r="P609" t="s">
        <v>46</v>
      </c>
      <c r="Q609" t="s">
        <v>47</v>
      </c>
      <c r="R609" t="s">
        <v>48</v>
      </c>
      <c r="V609" t="s">
        <v>49</v>
      </c>
      <c r="X609" t="s">
        <v>49</v>
      </c>
      <c r="Y609" t="s">
        <v>59</v>
      </c>
      <c r="Z609" t="s">
        <v>1058</v>
      </c>
      <c r="AA609" t="s">
        <v>1058</v>
      </c>
    </row>
    <row r="610" spans="1:27" x14ac:dyDescent="0.35">
      <c r="A610" t="str">
        <f t="shared" si="19"/>
        <v>2706F2</v>
      </c>
      <c r="B610" t="str">
        <f t="shared" si="18"/>
        <v>2706</v>
      </c>
      <c r="C610" t="s">
        <v>1059</v>
      </c>
      <c r="D610" t="s">
        <v>4</v>
      </c>
      <c r="E610" t="s">
        <v>77</v>
      </c>
      <c r="F610" t="s">
        <v>78</v>
      </c>
      <c r="G610" t="s">
        <v>757</v>
      </c>
      <c r="H610" t="s">
        <v>42</v>
      </c>
      <c r="I610" t="s">
        <v>67</v>
      </c>
      <c r="J610" t="s">
        <v>1060</v>
      </c>
      <c r="M610" t="s">
        <v>106</v>
      </c>
      <c r="P610" t="s">
        <v>189</v>
      </c>
      <c r="Q610" t="s">
        <v>47</v>
      </c>
      <c r="R610" t="s">
        <v>48</v>
      </c>
      <c r="V610" t="s">
        <v>49</v>
      </c>
      <c r="X610" t="s">
        <v>49</v>
      </c>
      <c r="Y610" t="s">
        <v>74</v>
      </c>
      <c r="Z610" t="s">
        <v>1054</v>
      </c>
      <c r="AA610" t="s">
        <v>1054</v>
      </c>
    </row>
    <row r="611" spans="1:27" x14ac:dyDescent="0.35">
      <c r="A611" t="str">
        <f t="shared" si="19"/>
        <v>2706D4</v>
      </c>
      <c r="B611" t="str">
        <f t="shared" si="18"/>
        <v>2706</v>
      </c>
      <c r="C611" t="s">
        <v>1061</v>
      </c>
      <c r="D611" t="s">
        <v>3</v>
      </c>
      <c r="E611" t="s">
        <v>52</v>
      </c>
      <c r="F611" t="s">
        <v>53</v>
      </c>
      <c r="G611" t="s">
        <v>757</v>
      </c>
      <c r="H611" t="s">
        <v>42</v>
      </c>
      <c r="I611" t="s">
        <v>43</v>
      </c>
      <c r="J611" t="s">
        <v>1060</v>
      </c>
      <c r="K611" t="s">
        <v>56</v>
      </c>
      <c r="M611" t="s">
        <v>106</v>
      </c>
      <c r="P611" t="s">
        <v>58</v>
      </c>
      <c r="Q611" t="s">
        <v>47</v>
      </c>
      <c r="R611" t="s">
        <v>48</v>
      </c>
      <c r="V611" t="s">
        <v>49</v>
      </c>
      <c r="X611" t="s">
        <v>49</v>
      </c>
      <c r="Y611" t="s">
        <v>59</v>
      </c>
      <c r="Z611" t="s">
        <v>1062</v>
      </c>
      <c r="AA611" t="s">
        <v>1062</v>
      </c>
    </row>
    <row r="612" spans="1:27" x14ac:dyDescent="0.35">
      <c r="A612" t="str">
        <f t="shared" si="19"/>
        <v>2706D2</v>
      </c>
      <c r="B612" t="str">
        <f t="shared" si="18"/>
        <v>2706</v>
      </c>
      <c r="C612" t="s">
        <v>1063</v>
      </c>
      <c r="D612" t="s">
        <v>2</v>
      </c>
      <c r="E612" t="s">
        <v>62</v>
      </c>
      <c r="F612" t="s">
        <v>63</v>
      </c>
      <c r="G612" t="s">
        <v>757</v>
      </c>
      <c r="H612" t="s">
        <v>42</v>
      </c>
      <c r="I612" t="s">
        <v>43</v>
      </c>
      <c r="J612" t="s">
        <v>1060</v>
      </c>
      <c r="K612" t="s">
        <v>56</v>
      </c>
      <c r="M612" t="s">
        <v>106</v>
      </c>
      <c r="P612" t="s">
        <v>58</v>
      </c>
      <c r="Q612" t="s">
        <v>47</v>
      </c>
      <c r="R612" t="s">
        <v>48</v>
      </c>
      <c r="V612" t="s">
        <v>49</v>
      </c>
      <c r="X612" t="s">
        <v>49</v>
      </c>
      <c r="Y612" t="s">
        <v>59</v>
      </c>
      <c r="Z612" t="s">
        <v>1062</v>
      </c>
      <c r="AA612" t="s">
        <v>1062</v>
      </c>
    </row>
    <row r="613" spans="1:27" x14ac:dyDescent="0.35">
      <c r="A613" t="str">
        <f t="shared" si="19"/>
        <v>2706F3</v>
      </c>
      <c r="B613" t="str">
        <f t="shared" si="18"/>
        <v>2706</v>
      </c>
      <c r="C613" t="s">
        <v>1064</v>
      </c>
      <c r="D613" t="s">
        <v>5</v>
      </c>
      <c r="E613" t="s">
        <v>40</v>
      </c>
      <c r="F613" t="s">
        <v>73</v>
      </c>
      <c r="G613" t="s">
        <v>757</v>
      </c>
      <c r="H613" t="s">
        <v>42</v>
      </c>
      <c r="I613" t="s">
        <v>67</v>
      </c>
      <c r="J613" t="s">
        <v>1060</v>
      </c>
      <c r="M613" t="s">
        <v>106</v>
      </c>
      <c r="P613" t="s">
        <v>46</v>
      </c>
      <c r="Q613" t="s">
        <v>47</v>
      </c>
      <c r="R613" t="s">
        <v>48</v>
      </c>
      <c r="V613" t="s">
        <v>49</v>
      </c>
      <c r="X613" t="s">
        <v>49</v>
      </c>
      <c r="Y613" t="s">
        <v>74</v>
      </c>
      <c r="Z613" t="s">
        <v>1054</v>
      </c>
      <c r="AA613" t="s">
        <v>1054</v>
      </c>
    </row>
    <row r="614" spans="1:27" x14ac:dyDescent="0.35">
      <c r="A614" t="str">
        <f t="shared" si="19"/>
        <v>2706C2</v>
      </c>
      <c r="B614" t="str">
        <f t="shared" si="18"/>
        <v>2706</v>
      </c>
      <c r="C614" t="s">
        <v>1065</v>
      </c>
      <c r="D614" t="s">
        <v>1</v>
      </c>
      <c r="E614" t="s">
        <v>65</v>
      </c>
      <c r="F614" t="s">
        <v>66</v>
      </c>
      <c r="G614" t="s">
        <v>757</v>
      </c>
      <c r="H614" t="s">
        <v>42</v>
      </c>
      <c r="I614" t="s">
        <v>67</v>
      </c>
      <c r="J614" t="s">
        <v>1060</v>
      </c>
      <c r="M614" t="s">
        <v>106</v>
      </c>
      <c r="P614" t="s">
        <v>69</v>
      </c>
      <c r="Q614" t="s">
        <v>47</v>
      </c>
      <c r="R614" t="s">
        <v>48</v>
      </c>
      <c r="V614" t="s">
        <v>49</v>
      </c>
      <c r="X614" t="s">
        <v>49</v>
      </c>
      <c r="Y614" t="s">
        <v>70</v>
      </c>
      <c r="Z614" t="s">
        <v>1066</v>
      </c>
      <c r="AA614" t="s">
        <v>1066</v>
      </c>
    </row>
    <row r="615" spans="1:27" x14ac:dyDescent="0.35">
      <c r="A615" t="str">
        <f t="shared" si="19"/>
        <v>2706D7</v>
      </c>
      <c r="B615" t="str">
        <f t="shared" si="18"/>
        <v>2706</v>
      </c>
      <c r="C615" t="s">
        <v>1067</v>
      </c>
      <c r="D615" t="s">
        <v>6</v>
      </c>
      <c r="E615" t="s">
        <v>94</v>
      </c>
      <c r="F615" t="s">
        <v>111</v>
      </c>
      <c r="G615" t="s">
        <v>757</v>
      </c>
      <c r="H615" t="s">
        <v>42</v>
      </c>
      <c r="I615" t="s">
        <v>43</v>
      </c>
      <c r="J615" t="s">
        <v>1060</v>
      </c>
      <c r="M615" t="s">
        <v>106</v>
      </c>
      <c r="P615" t="s">
        <v>46</v>
      </c>
      <c r="Q615" t="s">
        <v>47</v>
      </c>
      <c r="R615" t="s">
        <v>48</v>
      </c>
      <c r="V615" t="s">
        <v>49</v>
      </c>
      <c r="X615" t="s">
        <v>49</v>
      </c>
      <c r="Y615" t="s">
        <v>59</v>
      </c>
      <c r="Z615" t="s">
        <v>1058</v>
      </c>
      <c r="AA615" t="s">
        <v>1058</v>
      </c>
    </row>
    <row r="616" spans="1:27" x14ac:dyDescent="0.35">
      <c r="A616" t="str">
        <f t="shared" si="19"/>
        <v>2705F2</v>
      </c>
      <c r="B616" t="str">
        <f t="shared" si="18"/>
        <v>2705</v>
      </c>
      <c r="C616" t="s">
        <v>1068</v>
      </c>
      <c r="D616" t="s">
        <v>4</v>
      </c>
      <c r="E616" t="s">
        <v>77</v>
      </c>
      <c r="F616" t="s">
        <v>78</v>
      </c>
      <c r="G616" t="s">
        <v>757</v>
      </c>
      <c r="H616" t="s">
        <v>42</v>
      </c>
      <c r="I616" t="s">
        <v>67</v>
      </c>
      <c r="J616" t="s">
        <v>1069</v>
      </c>
      <c r="M616" t="s">
        <v>106</v>
      </c>
      <c r="P616" t="s">
        <v>178</v>
      </c>
      <c r="Q616" t="s">
        <v>47</v>
      </c>
      <c r="R616" t="s">
        <v>48</v>
      </c>
      <c r="V616" t="s">
        <v>49</v>
      </c>
      <c r="X616" t="s">
        <v>49</v>
      </c>
      <c r="Y616" t="s">
        <v>74</v>
      </c>
      <c r="Z616" t="s">
        <v>1054</v>
      </c>
      <c r="AA616" t="s">
        <v>1054</v>
      </c>
    </row>
    <row r="617" spans="1:27" x14ac:dyDescent="0.35">
      <c r="A617" t="str">
        <f t="shared" si="19"/>
        <v>2705D4</v>
      </c>
      <c r="B617" t="str">
        <f t="shared" si="18"/>
        <v>2705</v>
      </c>
      <c r="C617" t="s">
        <v>1070</v>
      </c>
      <c r="D617" t="s">
        <v>3</v>
      </c>
      <c r="E617" t="s">
        <v>52</v>
      </c>
      <c r="F617" t="s">
        <v>53</v>
      </c>
      <c r="G617" t="s">
        <v>757</v>
      </c>
      <c r="H617" t="s">
        <v>42</v>
      </c>
      <c r="I617" t="s">
        <v>43</v>
      </c>
      <c r="J617" t="s">
        <v>1069</v>
      </c>
      <c r="K617" t="s">
        <v>56</v>
      </c>
      <c r="M617" t="s">
        <v>106</v>
      </c>
      <c r="P617" t="s">
        <v>58</v>
      </c>
      <c r="Q617" t="s">
        <v>47</v>
      </c>
      <c r="R617" t="s">
        <v>48</v>
      </c>
      <c r="V617" t="s">
        <v>49</v>
      </c>
      <c r="X617" t="s">
        <v>49</v>
      </c>
      <c r="Y617" t="s">
        <v>59</v>
      </c>
      <c r="Z617" t="s">
        <v>3591</v>
      </c>
      <c r="AA617" t="s">
        <v>3591</v>
      </c>
    </row>
    <row r="618" spans="1:27" x14ac:dyDescent="0.35">
      <c r="A618" t="str">
        <f t="shared" si="19"/>
        <v>2705D2</v>
      </c>
      <c r="B618" t="str">
        <f t="shared" si="18"/>
        <v>2705</v>
      </c>
      <c r="C618" t="s">
        <v>1071</v>
      </c>
      <c r="D618" t="s">
        <v>2</v>
      </c>
      <c r="E618" t="s">
        <v>62</v>
      </c>
      <c r="F618" t="s">
        <v>63</v>
      </c>
      <c r="G618" t="s">
        <v>757</v>
      </c>
      <c r="H618" t="s">
        <v>42</v>
      </c>
      <c r="I618" t="s">
        <v>43</v>
      </c>
      <c r="J618" t="s">
        <v>1069</v>
      </c>
      <c r="K618" t="s">
        <v>56</v>
      </c>
      <c r="M618" t="s">
        <v>106</v>
      </c>
      <c r="P618" t="s">
        <v>58</v>
      </c>
      <c r="Q618" t="s">
        <v>47</v>
      </c>
      <c r="R618" t="s">
        <v>48</v>
      </c>
      <c r="V618" t="s">
        <v>49</v>
      </c>
      <c r="X618" t="s">
        <v>49</v>
      </c>
      <c r="Y618" t="s">
        <v>59</v>
      </c>
      <c r="Z618" t="s">
        <v>211</v>
      </c>
      <c r="AA618" t="s">
        <v>211</v>
      </c>
    </row>
    <row r="619" spans="1:27" x14ac:dyDescent="0.35">
      <c r="A619" t="str">
        <f t="shared" si="19"/>
        <v>2705F3</v>
      </c>
      <c r="B619" t="str">
        <f t="shared" si="18"/>
        <v>2705</v>
      </c>
      <c r="C619" t="s">
        <v>1072</v>
      </c>
      <c r="D619" t="s">
        <v>5</v>
      </c>
      <c r="E619" t="s">
        <v>40</v>
      </c>
      <c r="F619" t="s">
        <v>73</v>
      </c>
      <c r="G619" t="s">
        <v>757</v>
      </c>
      <c r="H619" t="s">
        <v>42</v>
      </c>
      <c r="I619" t="s">
        <v>67</v>
      </c>
      <c r="J619" t="s">
        <v>1069</v>
      </c>
      <c r="M619" t="s">
        <v>106</v>
      </c>
      <c r="P619" t="s">
        <v>46</v>
      </c>
      <c r="Q619" t="s">
        <v>47</v>
      </c>
      <c r="R619" t="s">
        <v>48</v>
      </c>
      <c r="V619" t="s">
        <v>49</v>
      </c>
      <c r="X619" t="s">
        <v>49</v>
      </c>
      <c r="Y619" t="s">
        <v>74</v>
      </c>
      <c r="Z619" t="s">
        <v>1054</v>
      </c>
      <c r="AA619" t="s">
        <v>1054</v>
      </c>
    </row>
    <row r="620" spans="1:27" x14ac:dyDescent="0.35">
      <c r="A620" t="str">
        <f t="shared" si="19"/>
        <v>2705C2</v>
      </c>
      <c r="B620" t="str">
        <f t="shared" si="18"/>
        <v>2705</v>
      </c>
      <c r="C620" t="s">
        <v>1073</v>
      </c>
      <c r="D620" t="s">
        <v>1</v>
      </c>
      <c r="E620" t="s">
        <v>65</v>
      </c>
      <c r="F620" t="s">
        <v>66</v>
      </c>
      <c r="G620" t="s">
        <v>757</v>
      </c>
      <c r="H620" t="s">
        <v>42</v>
      </c>
      <c r="I620" t="s">
        <v>67</v>
      </c>
      <c r="J620" t="s">
        <v>1069</v>
      </c>
      <c r="M620" t="s">
        <v>106</v>
      </c>
      <c r="P620" t="s">
        <v>69</v>
      </c>
      <c r="Q620" t="s">
        <v>47</v>
      </c>
      <c r="R620" t="s">
        <v>48</v>
      </c>
      <c r="V620" t="s">
        <v>49</v>
      </c>
      <c r="X620" t="s">
        <v>49</v>
      </c>
      <c r="Y620" t="s">
        <v>70</v>
      </c>
      <c r="Z620" t="s">
        <v>947</v>
      </c>
      <c r="AA620" t="s">
        <v>947</v>
      </c>
    </row>
    <row r="621" spans="1:27" x14ac:dyDescent="0.35">
      <c r="A621" t="str">
        <f t="shared" si="19"/>
        <v>2705D7</v>
      </c>
      <c r="B621" t="str">
        <f t="shared" si="18"/>
        <v>2705</v>
      </c>
      <c r="C621" t="s">
        <v>1074</v>
      </c>
      <c r="D621" t="s">
        <v>6</v>
      </c>
      <c r="E621" t="s">
        <v>94</v>
      </c>
      <c r="F621" t="s">
        <v>111</v>
      </c>
      <c r="G621" t="s">
        <v>757</v>
      </c>
      <c r="H621" t="s">
        <v>42</v>
      </c>
      <c r="I621" t="s">
        <v>43</v>
      </c>
      <c r="J621" t="s">
        <v>1069</v>
      </c>
      <c r="M621" t="s">
        <v>106</v>
      </c>
      <c r="P621" t="s">
        <v>46</v>
      </c>
      <c r="Q621" t="s">
        <v>47</v>
      </c>
      <c r="R621" t="s">
        <v>48</v>
      </c>
      <c r="V621" t="s">
        <v>49</v>
      </c>
      <c r="X621" t="s">
        <v>49</v>
      </c>
      <c r="Y621" t="s">
        <v>59</v>
      </c>
      <c r="Z621" t="s">
        <v>1058</v>
      </c>
      <c r="AA621" t="s">
        <v>1058</v>
      </c>
    </row>
    <row r="622" spans="1:27" x14ac:dyDescent="0.35">
      <c r="A622" t="str">
        <f t="shared" si="19"/>
        <v>2704F2</v>
      </c>
      <c r="B622" t="str">
        <f t="shared" si="18"/>
        <v>2704</v>
      </c>
      <c r="C622" t="s">
        <v>1075</v>
      </c>
      <c r="D622" t="s">
        <v>4</v>
      </c>
      <c r="E622" t="s">
        <v>77</v>
      </c>
      <c r="F622" t="s">
        <v>78</v>
      </c>
      <c r="G622" t="s">
        <v>757</v>
      </c>
      <c r="H622" t="s">
        <v>42</v>
      </c>
      <c r="I622" t="s">
        <v>67</v>
      </c>
      <c r="J622" t="s">
        <v>1076</v>
      </c>
      <c r="M622" t="s">
        <v>106</v>
      </c>
      <c r="P622" t="s">
        <v>138</v>
      </c>
      <c r="Q622" t="s">
        <v>47</v>
      </c>
      <c r="R622" t="s">
        <v>48</v>
      </c>
      <c r="V622" t="s">
        <v>49</v>
      </c>
      <c r="X622" t="s">
        <v>49</v>
      </c>
      <c r="Y622" t="s">
        <v>74</v>
      </c>
      <c r="Z622" t="s">
        <v>1054</v>
      </c>
      <c r="AA622" t="s">
        <v>1054</v>
      </c>
    </row>
    <row r="623" spans="1:27" x14ac:dyDescent="0.35">
      <c r="A623" t="str">
        <f t="shared" si="19"/>
        <v>2704D4</v>
      </c>
      <c r="B623" t="str">
        <f t="shared" si="18"/>
        <v>2704</v>
      </c>
      <c r="C623" t="s">
        <v>1077</v>
      </c>
      <c r="D623" t="s">
        <v>3</v>
      </c>
      <c r="E623" t="s">
        <v>52</v>
      </c>
      <c r="F623" t="s">
        <v>53</v>
      </c>
      <c r="G623" t="s">
        <v>757</v>
      </c>
      <c r="H623" t="s">
        <v>42</v>
      </c>
      <c r="I623" t="s">
        <v>43</v>
      </c>
      <c r="J623" t="s">
        <v>1076</v>
      </c>
      <c r="K623" t="s">
        <v>56</v>
      </c>
      <c r="M623" t="s">
        <v>106</v>
      </c>
      <c r="P623" t="s">
        <v>46</v>
      </c>
      <c r="Q623" t="s">
        <v>47</v>
      </c>
      <c r="R623" t="s">
        <v>48</v>
      </c>
      <c r="V623" t="s">
        <v>49</v>
      </c>
      <c r="X623" t="s">
        <v>49</v>
      </c>
      <c r="Y623" t="s">
        <v>59</v>
      </c>
      <c r="Z623" t="s">
        <v>1078</v>
      </c>
      <c r="AA623" t="s">
        <v>1078</v>
      </c>
    </row>
    <row r="624" spans="1:27" x14ac:dyDescent="0.35">
      <c r="A624" t="str">
        <f t="shared" si="19"/>
        <v>2704D2</v>
      </c>
      <c r="B624" t="str">
        <f t="shared" si="18"/>
        <v>2704</v>
      </c>
      <c r="C624" t="s">
        <v>1079</v>
      </c>
      <c r="D624" t="s">
        <v>2</v>
      </c>
      <c r="E624" t="s">
        <v>62</v>
      </c>
      <c r="F624" t="s">
        <v>63</v>
      </c>
      <c r="G624" t="s">
        <v>757</v>
      </c>
      <c r="H624" t="s">
        <v>42</v>
      </c>
      <c r="I624" t="s">
        <v>43</v>
      </c>
      <c r="J624" t="s">
        <v>1076</v>
      </c>
      <c r="K624" t="s">
        <v>56</v>
      </c>
      <c r="M624" t="s">
        <v>106</v>
      </c>
      <c r="P624" t="s">
        <v>58</v>
      </c>
      <c r="Q624" t="s">
        <v>47</v>
      </c>
      <c r="R624" t="s">
        <v>48</v>
      </c>
      <c r="V624" t="s">
        <v>49</v>
      </c>
      <c r="X624" t="s">
        <v>49</v>
      </c>
      <c r="Y624" t="s">
        <v>59</v>
      </c>
      <c r="Z624" t="s">
        <v>1080</v>
      </c>
      <c r="AA624" t="s">
        <v>1080</v>
      </c>
    </row>
    <row r="625" spans="1:27" x14ac:dyDescent="0.35">
      <c r="A625" t="str">
        <f t="shared" si="19"/>
        <v>2704F3</v>
      </c>
      <c r="B625" t="str">
        <f t="shared" si="18"/>
        <v>2704</v>
      </c>
      <c r="C625" t="s">
        <v>1081</v>
      </c>
      <c r="D625" t="s">
        <v>5</v>
      </c>
      <c r="E625" t="s">
        <v>40</v>
      </c>
      <c r="F625" t="s">
        <v>73</v>
      </c>
      <c r="G625" t="s">
        <v>757</v>
      </c>
      <c r="H625" t="s">
        <v>42</v>
      </c>
      <c r="I625" t="s">
        <v>67</v>
      </c>
      <c r="J625" t="s">
        <v>1076</v>
      </c>
      <c r="M625" t="s">
        <v>106</v>
      </c>
      <c r="P625" t="s">
        <v>46</v>
      </c>
      <c r="Q625" t="s">
        <v>47</v>
      </c>
      <c r="R625" t="s">
        <v>48</v>
      </c>
      <c r="V625" t="s">
        <v>49</v>
      </c>
      <c r="X625" t="s">
        <v>49</v>
      </c>
      <c r="Y625" t="s">
        <v>74</v>
      </c>
      <c r="Z625" t="s">
        <v>1082</v>
      </c>
      <c r="AA625" t="s">
        <v>1082</v>
      </c>
    </row>
    <row r="626" spans="1:27" x14ac:dyDescent="0.35">
      <c r="A626" t="str">
        <f t="shared" si="19"/>
        <v>2704C2</v>
      </c>
      <c r="B626" t="str">
        <f t="shared" si="18"/>
        <v>2704</v>
      </c>
      <c r="C626" t="s">
        <v>1083</v>
      </c>
      <c r="D626" t="s">
        <v>1</v>
      </c>
      <c r="E626" t="s">
        <v>65</v>
      </c>
      <c r="F626" t="s">
        <v>66</v>
      </c>
      <c r="G626" t="s">
        <v>757</v>
      </c>
      <c r="H626" t="s">
        <v>42</v>
      </c>
      <c r="I626" t="s">
        <v>67</v>
      </c>
      <c r="J626" t="s">
        <v>1076</v>
      </c>
      <c r="M626" t="s">
        <v>106</v>
      </c>
      <c r="P626" t="s">
        <v>69</v>
      </c>
      <c r="Q626" t="s">
        <v>47</v>
      </c>
      <c r="R626" t="s">
        <v>48</v>
      </c>
      <c r="V626" t="s">
        <v>49</v>
      </c>
      <c r="X626" t="s">
        <v>49</v>
      </c>
      <c r="Y626" t="s">
        <v>70</v>
      </c>
      <c r="Z626" t="s">
        <v>1084</v>
      </c>
      <c r="AA626" t="s">
        <v>1084</v>
      </c>
    </row>
    <row r="627" spans="1:27" x14ac:dyDescent="0.35">
      <c r="A627" t="str">
        <f t="shared" si="19"/>
        <v>2704D7</v>
      </c>
      <c r="B627" t="str">
        <f t="shared" si="18"/>
        <v>2704</v>
      </c>
      <c r="C627" t="s">
        <v>1085</v>
      </c>
      <c r="D627" t="s">
        <v>6</v>
      </c>
      <c r="E627" t="s">
        <v>94</v>
      </c>
      <c r="F627" t="s">
        <v>111</v>
      </c>
      <c r="G627" t="s">
        <v>757</v>
      </c>
      <c r="H627" t="s">
        <v>42</v>
      </c>
      <c r="I627" t="s">
        <v>43</v>
      </c>
      <c r="J627" t="s">
        <v>1076</v>
      </c>
      <c r="M627" t="s">
        <v>106</v>
      </c>
      <c r="P627" t="s">
        <v>46</v>
      </c>
      <c r="Q627" t="s">
        <v>47</v>
      </c>
      <c r="R627" t="s">
        <v>48</v>
      </c>
      <c r="V627" t="s">
        <v>49</v>
      </c>
      <c r="X627" t="s">
        <v>49</v>
      </c>
      <c r="Y627" t="s">
        <v>59</v>
      </c>
      <c r="Z627" t="s">
        <v>1086</v>
      </c>
      <c r="AA627" t="s">
        <v>1086</v>
      </c>
    </row>
    <row r="628" spans="1:27" x14ac:dyDescent="0.35">
      <c r="A628" t="str">
        <f t="shared" si="19"/>
        <v>2703F2</v>
      </c>
      <c r="B628" t="str">
        <f t="shared" si="18"/>
        <v>2703</v>
      </c>
      <c r="C628" t="s">
        <v>1087</v>
      </c>
      <c r="D628" t="s">
        <v>4</v>
      </c>
      <c r="E628" t="s">
        <v>77</v>
      </c>
      <c r="F628" t="s">
        <v>78</v>
      </c>
      <c r="G628" t="s">
        <v>757</v>
      </c>
      <c r="H628" t="s">
        <v>42</v>
      </c>
      <c r="I628" t="s">
        <v>67</v>
      </c>
      <c r="J628" t="s">
        <v>1088</v>
      </c>
      <c r="M628" t="s">
        <v>106</v>
      </c>
      <c r="P628" t="s">
        <v>138</v>
      </c>
      <c r="Q628" t="s">
        <v>47</v>
      </c>
      <c r="R628" t="s">
        <v>48</v>
      </c>
      <c r="V628" t="s">
        <v>49</v>
      </c>
      <c r="X628" t="s">
        <v>49</v>
      </c>
      <c r="Y628" t="s">
        <v>74</v>
      </c>
      <c r="Z628" t="s">
        <v>1082</v>
      </c>
      <c r="AA628" t="s">
        <v>1082</v>
      </c>
    </row>
    <row r="629" spans="1:27" x14ac:dyDescent="0.35">
      <c r="A629" t="str">
        <f t="shared" si="19"/>
        <v>2703D4</v>
      </c>
      <c r="B629" t="str">
        <f t="shared" si="18"/>
        <v>2703</v>
      </c>
      <c r="C629" t="s">
        <v>1089</v>
      </c>
      <c r="D629" t="s">
        <v>3</v>
      </c>
      <c r="E629" t="s">
        <v>52</v>
      </c>
      <c r="F629" t="s">
        <v>53</v>
      </c>
      <c r="G629" t="s">
        <v>757</v>
      </c>
      <c r="H629" t="s">
        <v>42</v>
      </c>
      <c r="I629" t="s">
        <v>43</v>
      </c>
      <c r="J629" t="s">
        <v>1088</v>
      </c>
      <c r="K629" t="s">
        <v>56</v>
      </c>
      <c r="M629" t="s">
        <v>106</v>
      </c>
      <c r="P629" t="s">
        <v>58</v>
      </c>
      <c r="Q629" t="s">
        <v>47</v>
      </c>
      <c r="R629" t="s">
        <v>48</v>
      </c>
      <c r="V629" t="s">
        <v>49</v>
      </c>
      <c r="X629" t="s">
        <v>49</v>
      </c>
      <c r="Y629" t="s">
        <v>59</v>
      </c>
      <c r="Z629" t="s">
        <v>1090</v>
      </c>
      <c r="AA629" t="s">
        <v>1090</v>
      </c>
    </row>
    <row r="630" spans="1:27" x14ac:dyDescent="0.35">
      <c r="A630" t="str">
        <f t="shared" si="19"/>
        <v>2703D2</v>
      </c>
      <c r="B630" t="str">
        <f t="shared" si="18"/>
        <v>2703</v>
      </c>
      <c r="C630" t="s">
        <v>1091</v>
      </c>
      <c r="D630" t="s">
        <v>2</v>
      </c>
      <c r="E630" t="s">
        <v>62</v>
      </c>
      <c r="F630" t="s">
        <v>63</v>
      </c>
      <c r="G630" t="s">
        <v>757</v>
      </c>
      <c r="H630" t="s">
        <v>42</v>
      </c>
      <c r="I630" t="s">
        <v>43</v>
      </c>
      <c r="J630" t="s">
        <v>1088</v>
      </c>
      <c r="K630" t="s">
        <v>56</v>
      </c>
      <c r="M630" t="s">
        <v>106</v>
      </c>
      <c r="P630" t="s">
        <v>58</v>
      </c>
      <c r="Q630" t="s">
        <v>47</v>
      </c>
      <c r="R630" t="s">
        <v>48</v>
      </c>
      <c r="V630" t="s">
        <v>49</v>
      </c>
      <c r="X630" t="s">
        <v>49</v>
      </c>
      <c r="Y630" t="s">
        <v>59</v>
      </c>
      <c r="Z630" t="s">
        <v>1092</v>
      </c>
      <c r="AA630" t="s">
        <v>1092</v>
      </c>
    </row>
    <row r="631" spans="1:27" x14ac:dyDescent="0.35">
      <c r="A631" t="str">
        <f t="shared" si="19"/>
        <v>2703F3</v>
      </c>
      <c r="B631" t="str">
        <f t="shared" si="18"/>
        <v>2703</v>
      </c>
      <c r="C631" t="s">
        <v>1093</v>
      </c>
      <c r="D631" t="s">
        <v>5</v>
      </c>
      <c r="E631" t="s">
        <v>40</v>
      </c>
      <c r="F631" t="s">
        <v>73</v>
      </c>
      <c r="G631" t="s">
        <v>757</v>
      </c>
      <c r="H631" t="s">
        <v>42</v>
      </c>
      <c r="I631" t="s">
        <v>67</v>
      </c>
      <c r="J631" t="s">
        <v>1088</v>
      </c>
      <c r="M631" t="s">
        <v>106</v>
      </c>
      <c r="P631" t="s">
        <v>46</v>
      </c>
      <c r="Q631" t="s">
        <v>47</v>
      </c>
      <c r="R631" t="s">
        <v>48</v>
      </c>
      <c r="V631" t="s">
        <v>49</v>
      </c>
      <c r="X631" t="s">
        <v>49</v>
      </c>
      <c r="Y631" t="s">
        <v>74</v>
      </c>
      <c r="Z631" t="s">
        <v>1082</v>
      </c>
      <c r="AA631" t="s">
        <v>1082</v>
      </c>
    </row>
    <row r="632" spans="1:27" x14ac:dyDescent="0.35">
      <c r="A632" t="str">
        <f t="shared" si="19"/>
        <v>2703C2</v>
      </c>
      <c r="B632" t="str">
        <f t="shared" si="18"/>
        <v>2703</v>
      </c>
      <c r="C632" t="s">
        <v>1094</v>
      </c>
      <c r="D632" t="s">
        <v>1</v>
      </c>
      <c r="E632" t="s">
        <v>65</v>
      </c>
      <c r="F632" t="s">
        <v>66</v>
      </c>
      <c r="G632" t="s">
        <v>757</v>
      </c>
      <c r="H632" t="s">
        <v>42</v>
      </c>
      <c r="I632" t="s">
        <v>67</v>
      </c>
      <c r="J632" t="s">
        <v>1088</v>
      </c>
      <c r="M632" t="s">
        <v>106</v>
      </c>
      <c r="P632" t="s">
        <v>58</v>
      </c>
      <c r="Q632" t="s">
        <v>47</v>
      </c>
      <c r="R632" t="s">
        <v>48</v>
      </c>
      <c r="V632" t="s">
        <v>49</v>
      </c>
      <c r="X632" t="s">
        <v>49</v>
      </c>
      <c r="Y632" t="s">
        <v>70</v>
      </c>
      <c r="Z632" t="s">
        <v>1090</v>
      </c>
      <c r="AA632" t="s">
        <v>1090</v>
      </c>
    </row>
    <row r="633" spans="1:27" x14ac:dyDescent="0.35">
      <c r="A633" t="str">
        <f t="shared" si="19"/>
        <v>2703D7</v>
      </c>
      <c r="B633" t="str">
        <f t="shared" si="18"/>
        <v>2703</v>
      </c>
      <c r="C633" t="s">
        <v>1095</v>
      </c>
      <c r="D633" t="s">
        <v>6</v>
      </c>
      <c r="E633" t="s">
        <v>94</v>
      </c>
      <c r="F633" t="s">
        <v>111</v>
      </c>
      <c r="G633" t="s">
        <v>757</v>
      </c>
      <c r="H633" t="s">
        <v>42</v>
      </c>
      <c r="I633" t="s">
        <v>43</v>
      </c>
      <c r="J633" t="s">
        <v>1088</v>
      </c>
      <c r="M633" t="s">
        <v>106</v>
      </c>
      <c r="P633" t="s">
        <v>46</v>
      </c>
      <c r="Q633" t="s">
        <v>47</v>
      </c>
      <c r="R633" t="s">
        <v>48</v>
      </c>
      <c r="V633" t="s">
        <v>49</v>
      </c>
      <c r="X633" t="s">
        <v>49</v>
      </c>
      <c r="Y633" t="s">
        <v>59</v>
      </c>
      <c r="Z633" t="s">
        <v>1086</v>
      </c>
      <c r="AA633" t="s">
        <v>1086</v>
      </c>
    </row>
    <row r="634" spans="1:27" x14ac:dyDescent="0.35">
      <c r="A634" t="str">
        <f t="shared" si="19"/>
        <v>2702F2</v>
      </c>
      <c r="B634" t="str">
        <f t="shared" si="18"/>
        <v>2702</v>
      </c>
      <c r="C634" t="s">
        <v>1096</v>
      </c>
      <c r="D634" t="s">
        <v>4</v>
      </c>
      <c r="E634" t="s">
        <v>77</v>
      </c>
      <c r="F634" t="s">
        <v>78</v>
      </c>
      <c r="G634" t="s">
        <v>757</v>
      </c>
      <c r="H634" t="s">
        <v>42</v>
      </c>
      <c r="I634" t="s">
        <v>67</v>
      </c>
      <c r="J634" t="s">
        <v>1097</v>
      </c>
      <c r="M634" t="s">
        <v>106</v>
      </c>
      <c r="P634" t="s">
        <v>91</v>
      </c>
      <c r="Q634" t="s">
        <v>47</v>
      </c>
      <c r="R634" t="s">
        <v>48</v>
      </c>
      <c r="V634" t="s">
        <v>49</v>
      </c>
      <c r="X634" t="s">
        <v>49</v>
      </c>
      <c r="Y634" t="s">
        <v>74</v>
      </c>
      <c r="Z634" t="s">
        <v>1082</v>
      </c>
      <c r="AA634" t="s">
        <v>1082</v>
      </c>
    </row>
    <row r="635" spans="1:27" x14ac:dyDescent="0.35">
      <c r="A635" t="str">
        <f t="shared" si="19"/>
        <v>2702D4</v>
      </c>
      <c r="B635" t="str">
        <f t="shared" si="18"/>
        <v>2702</v>
      </c>
      <c r="C635" t="s">
        <v>1098</v>
      </c>
      <c r="D635" t="s">
        <v>3</v>
      </c>
      <c r="E635" t="s">
        <v>52</v>
      </c>
      <c r="F635" t="s">
        <v>53</v>
      </c>
      <c r="G635" t="s">
        <v>757</v>
      </c>
      <c r="H635" t="s">
        <v>42</v>
      </c>
      <c r="I635" t="s">
        <v>43</v>
      </c>
      <c r="J635" t="s">
        <v>1097</v>
      </c>
      <c r="K635" t="s">
        <v>56</v>
      </c>
      <c r="M635" t="s">
        <v>106</v>
      </c>
      <c r="P635" t="s">
        <v>58</v>
      </c>
      <c r="Q635" t="s">
        <v>47</v>
      </c>
      <c r="R635" t="s">
        <v>48</v>
      </c>
      <c r="V635" t="s">
        <v>49</v>
      </c>
      <c r="X635" t="s">
        <v>49</v>
      </c>
      <c r="Y635" t="s">
        <v>59</v>
      </c>
      <c r="Z635" t="s">
        <v>995</v>
      </c>
      <c r="AA635" t="s">
        <v>995</v>
      </c>
    </row>
    <row r="636" spans="1:27" x14ac:dyDescent="0.35">
      <c r="A636" t="str">
        <f t="shared" si="19"/>
        <v>2702D2</v>
      </c>
      <c r="B636" t="str">
        <f t="shared" si="18"/>
        <v>2702</v>
      </c>
      <c r="C636" t="s">
        <v>1099</v>
      </c>
      <c r="D636" t="s">
        <v>2</v>
      </c>
      <c r="E636" t="s">
        <v>62</v>
      </c>
      <c r="F636" t="s">
        <v>63</v>
      </c>
      <c r="G636" t="s">
        <v>757</v>
      </c>
      <c r="H636" t="s">
        <v>42</v>
      </c>
      <c r="I636" t="s">
        <v>43</v>
      </c>
      <c r="J636" t="s">
        <v>1097</v>
      </c>
      <c r="K636" t="s">
        <v>56</v>
      </c>
      <c r="M636" t="s">
        <v>106</v>
      </c>
      <c r="P636" t="s">
        <v>58</v>
      </c>
      <c r="Q636" t="s">
        <v>47</v>
      </c>
      <c r="R636" t="s">
        <v>48</v>
      </c>
      <c r="V636" t="s">
        <v>49</v>
      </c>
      <c r="X636" t="s">
        <v>49</v>
      </c>
      <c r="Y636" t="s">
        <v>59</v>
      </c>
      <c r="Z636" t="s">
        <v>995</v>
      </c>
      <c r="AA636" t="s">
        <v>995</v>
      </c>
    </row>
    <row r="637" spans="1:27" x14ac:dyDescent="0.35">
      <c r="A637" t="str">
        <f t="shared" si="19"/>
        <v>2702F3</v>
      </c>
      <c r="B637" t="str">
        <f t="shared" si="18"/>
        <v>2702</v>
      </c>
      <c r="C637" t="s">
        <v>1100</v>
      </c>
      <c r="D637" t="s">
        <v>5</v>
      </c>
      <c r="E637" t="s">
        <v>40</v>
      </c>
      <c r="F637" t="s">
        <v>73</v>
      </c>
      <c r="G637" t="s">
        <v>757</v>
      </c>
      <c r="H637" t="s">
        <v>42</v>
      </c>
      <c r="I637" t="s">
        <v>67</v>
      </c>
      <c r="J637" t="s">
        <v>1097</v>
      </c>
      <c r="M637" t="s">
        <v>106</v>
      </c>
      <c r="P637" t="s">
        <v>46</v>
      </c>
      <c r="Q637" t="s">
        <v>47</v>
      </c>
      <c r="R637" t="s">
        <v>48</v>
      </c>
      <c r="V637" t="s">
        <v>49</v>
      </c>
      <c r="X637" t="s">
        <v>49</v>
      </c>
      <c r="Y637" t="s">
        <v>74</v>
      </c>
      <c r="Z637" t="s">
        <v>1082</v>
      </c>
      <c r="AA637" t="s">
        <v>1082</v>
      </c>
    </row>
    <row r="638" spans="1:27" x14ac:dyDescent="0.35">
      <c r="A638" t="str">
        <f t="shared" si="19"/>
        <v>2702C2</v>
      </c>
      <c r="B638" t="str">
        <f t="shared" si="18"/>
        <v>2702</v>
      </c>
      <c r="C638" t="s">
        <v>1101</v>
      </c>
      <c r="D638" t="s">
        <v>1</v>
      </c>
      <c r="E638" t="s">
        <v>65</v>
      </c>
      <c r="F638" t="s">
        <v>66</v>
      </c>
      <c r="G638" t="s">
        <v>757</v>
      </c>
      <c r="H638" t="s">
        <v>42</v>
      </c>
      <c r="I638" t="s">
        <v>67</v>
      </c>
      <c r="J638" t="s">
        <v>1097</v>
      </c>
      <c r="M638" t="s">
        <v>106</v>
      </c>
      <c r="P638" t="s">
        <v>58</v>
      </c>
      <c r="Q638" t="s">
        <v>47</v>
      </c>
      <c r="R638" t="s">
        <v>48</v>
      </c>
      <c r="V638" t="s">
        <v>49</v>
      </c>
      <c r="X638" t="s">
        <v>49</v>
      </c>
      <c r="Y638" t="s">
        <v>70</v>
      </c>
      <c r="Z638" t="s">
        <v>995</v>
      </c>
      <c r="AA638" t="s">
        <v>995</v>
      </c>
    </row>
    <row r="639" spans="1:27" x14ac:dyDescent="0.35">
      <c r="A639" t="str">
        <f t="shared" si="19"/>
        <v>2702D7</v>
      </c>
      <c r="B639" t="str">
        <f t="shared" si="18"/>
        <v>2702</v>
      </c>
      <c r="C639" t="s">
        <v>1102</v>
      </c>
      <c r="D639" t="s">
        <v>6</v>
      </c>
      <c r="E639" t="s">
        <v>94</v>
      </c>
      <c r="F639" t="s">
        <v>111</v>
      </c>
      <c r="G639" t="s">
        <v>757</v>
      </c>
      <c r="H639" t="s">
        <v>42</v>
      </c>
      <c r="I639" t="s">
        <v>43</v>
      </c>
      <c r="J639" t="s">
        <v>1097</v>
      </c>
      <c r="M639" t="s">
        <v>106</v>
      </c>
      <c r="P639" t="s">
        <v>46</v>
      </c>
      <c r="Q639" t="s">
        <v>47</v>
      </c>
      <c r="R639" t="s">
        <v>48</v>
      </c>
      <c r="V639" t="s">
        <v>49</v>
      </c>
      <c r="X639" t="s">
        <v>49</v>
      </c>
      <c r="Y639" t="s">
        <v>59</v>
      </c>
      <c r="Z639" t="s">
        <v>1086</v>
      </c>
      <c r="AA639" t="s">
        <v>1086</v>
      </c>
    </row>
    <row r="640" spans="1:27" x14ac:dyDescent="0.35">
      <c r="A640" t="str">
        <f t="shared" si="19"/>
        <v>2701F2</v>
      </c>
      <c r="B640" t="str">
        <f t="shared" si="18"/>
        <v>2701</v>
      </c>
      <c r="C640" t="s">
        <v>1103</v>
      </c>
      <c r="D640" t="s">
        <v>4</v>
      </c>
      <c r="E640" t="s">
        <v>77</v>
      </c>
      <c r="F640" t="s">
        <v>78</v>
      </c>
      <c r="G640" t="s">
        <v>757</v>
      </c>
      <c r="H640" t="s">
        <v>42</v>
      </c>
      <c r="I640" t="s">
        <v>67</v>
      </c>
      <c r="J640" t="s">
        <v>1104</v>
      </c>
      <c r="M640" t="s">
        <v>106</v>
      </c>
      <c r="P640" t="s">
        <v>138</v>
      </c>
      <c r="Q640" t="s">
        <v>47</v>
      </c>
      <c r="R640" t="s">
        <v>48</v>
      </c>
      <c r="V640" t="s">
        <v>49</v>
      </c>
      <c r="X640" t="s">
        <v>49</v>
      </c>
      <c r="Y640" t="s">
        <v>74</v>
      </c>
      <c r="Z640" t="s">
        <v>1105</v>
      </c>
      <c r="AA640" t="s">
        <v>1105</v>
      </c>
    </row>
    <row r="641" spans="1:27" x14ac:dyDescent="0.35">
      <c r="A641" t="str">
        <f t="shared" si="19"/>
        <v>2701D4</v>
      </c>
      <c r="B641" t="str">
        <f t="shared" si="18"/>
        <v>2701</v>
      </c>
      <c r="C641" t="s">
        <v>1106</v>
      </c>
      <c r="D641" t="s">
        <v>3</v>
      </c>
      <c r="E641" t="s">
        <v>52</v>
      </c>
      <c r="F641" t="s">
        <v>53</v>
      </c>
      <c r="G641" t="s">
        <v>757</v>
      </c>
      <c r="H641" t="s">
        <v>42</v>
      </c>
      <c r="I641" t="s">
        <v>43</v>
      </c>
      <c r="J641" t="s">
        <v>1104</v>
      </c>
      <c r="K641" t="s">
        <v>56</v>
      </c>
      <c r="M641" t="s">
        <v>106</v>
      </c>
      <c r="P641" t="s">
        <v>58</v>
      </c>
      <c r="Q641" t="s">
        <v>47</v>
      </c>
      <c r="R641" t="s">
        <v>48</v>
      </c>
      <c r="V641" t="s">
        <v>49</v>
      </c>
      <c r="X641" t="s">
        <v>49</v>
      </c>
      <c r="Y641" t="s">
        <v>59</v>
      </c>
      <c r="Z641" t="s">
        <v>1107</v>
      </c>
      <c r="AA641" t="s">
        <v>1107</v>
      </c>
    </row>
    <row r="642" spans="1:27" x14ac:dyDescent="0.35">
      <c r="A642" t="str">
        <f t="shared" si="19"/>
        <v>2701D2</v>
      </c>
      <c r="B642" t="str">
        <f t="shared" ref="B642:B705" si="20">LEFT($J:$J,4)</f>
        <v>2701</v>
      </c>
      <c r="C642" t="s">
        <v>1108</v>
      </c>
      <c r="D642" t="s">
        <v>2</v>
      </c>
      <c r="E642" t="s">
        <v>62</v>
      </c>
      <c r="F642" t="s">
        <v>63</v>
      </c>
      <c r="G642" t="s">
        <v>757</v>
      </c>
      <c r="H642" t="s">
        <v>42</v>
      </c>
      <c r="I642" t="s">
        <v>43</v>
      </c>
      <c r="J642" t="s">
        <v>1104</v>
      </c>
      <c r="K642" t="s">
        <v>56</v>
      </c>
      <c r="M642" t="s">
        <v>106</v>
      </c>
      <c r="P642" t="s">
        <v>58</v>
      </c>
      <c r="Q642" t="s">
        <v>47</v>
      </c>
      <c r="R642" t="s">
        <v>48</v>
      </c>
      <c r="V642" t="s">
        <v>49</v>
      </c>
      <c r="X642" t="s">
        <v>49</v>
      </c>
      <c r="Y642" t="s">
        <v>59</v>
      </c>
      <c r="Z642" t="s">
        <v>1107</v>
      </c>
      <c r="AA642" t="s">
        <v>1107</v>
      </c>
    </row>
    <row r="643" spans="1:27" x14ac:dyDescent="0.35">
      <c r="A643" t="str">
        <f t="shared" ref="A643:A706" si="21">B643&amp;D643</f>
        <v>2701F3</v>
      </c>
      <c r="B643" t="str">
        <f t="shared" si="20"/>
        <v>2701</v>
      </c>
      <c r="C643" t="s">
        <v>1109</v>
      </c>
      <c r="D643" t="s">
        <v>5</v>
      </c>
      <c r="E643" t="s">
        <v>40</v>
      </c>
      <c r="F643" t="s">
        <v>73</v>
      </c>
      <c r="G643" t="s">
        <v>757</v>
      </c>
      <c r="H643" t="s">
        <v>42</v>
      </c>
      <c r="I643" t="s">
        <v>67</v>
      </c>
      <c r="J643" t="s">
        <v>1104</v>
      </c>
      <c r="M643" t="s">
        <v>106</v>
      </c>
      <c r="P643" t="s">
        <v>46</v>
      </c>
      <c r="Q643" t="s">
        <v>47</v>
      </c>
      <c r="R643" t="s">
        <v>48</v>
      </c>
      <c r="V643" t="s">
        <v>49</v>
      </c>
      <c r="X643" t="s">
        <v>49</v>
      </c>
      <c r="Y643" t="s">
        <v>74</v>
      </c>
      <c r="Z643" t="s">
        <v>1105</v>
      </c>
      <c r="AA643" t="s">
        <v>1105</v>
      </c>
    </row>
    <row r="644" spans="1:27" x14ac:dyDescent="0.35">
      <c r="A644" t="str">
        <f t="shared" si="21"/>
        <v>2701C2</v>
      </c>
      <c r="B644" t="str">
        <f t="shared" si="20"/>
        <v>2701</v>
      </c>
      <c r="C644" t="s">
        <v>1110</v>
      </c>
      <c r="D644" t="s">
        <v>1</v>
      </c>
      <c r="E644" t="s">
        <v>65</v>
      </c>
      <c r="F644" t="s">
        <v>66</v>
      </c>
      <c r="G644" t="s">
        <v>757</v>
      </c>
      <c r="H644" t="s">
        <v>42</v>
      </c>
      <c r="I644" t="s">
        <v>67</v>
      </c>
      <c r="J644" t="s">
        <v>1104</v>
      </c>
      <c r="M644" t="s">
        <v>106</v>
      </c>
      <c r="P644" t="s">
        <v>69</v>
      </c>
      <c r="Q644" t="s">
        <v>47</v>
      </c>
      <c r="R644" t="s">
        <v>48</v>
      </c>
      <c r="V644" t="s">
        <v>49</v>
      </c>
      <c r="X644" t="s">
        <v>49</v>
      </c>
      <c r="Y644" t="s">
        <v>70</v>
      </c>
      <c r="Z644" t="s">
        <v>1111</v>
      </c>
      <c r="AA644" t="s">
        <v>1111</v>
      </c>
    </row>
    <row r="645" spans="1:27" x14ac:dyDescent="0.35">
      <c r="A645" t="str">
        <f t="shared" si="21"/>
        <v>2701D7</v>
      </c>
      <c r="B645" t="str">
        <f t="shared" si="20"/>
        <v>2701</v>
      </c>
      <c r="C645" t="s">
        <v>1112</v>
      </c>
      <c r="D645" t="s">
        <v>6</v>
      </c>
      <c r="E645" t="s">
        <v>94</v>
      </c>
      <c r="F645" t="s">
        <v>111</v>
      </c>
      <c r="G645" t="s">
        <v>757</v>
      </c>
      <c r="H645" t="s">
        <v>42</v>
      </c>
      <c r="I645" t="s">
        <v>43</v>
      </c>
      <c r="J645" t="s">
        <v>1104</v>
      </c>
      <c r="M645" t="s">
        <v>106</v>
      </c>
      <c r="P645" t="s">
        <v>46</v>
      </c>
      <c r="Q645" t="s">
        <v>47</v>
      </c>
      <c r="R645" t="s">
        <v>48</v>
      </c>
      <c r="V645" t="s">
        <v>49</v>
      </c>
      <c r="X645" t="s">
        <v>49</v>
      </c>
      <c r="Y645" t="s">
        <v>59</v>
      </c>
      <c r="Z645" t="s">
        <v>1113</v>
      </c>
      <c r="AA645" t="s">
        <v>1113</v>
      </c>
    </row>
    <row r="646" spans="1:27" x14ac:dyDescent="0.35">
      <c r="A646" t="str">
        <f t="shared" si="21"/>
        <v>2610F2</v>
      </c>
      <c r="B646" t="str">
        <f t="shared" si="20"/>
        <v>2610</v>
      </c>
      <c r="C646" t="s">
        <v>1114</v>
      </c>
      <c r="D646" t="s">
        <v>4</v>
      </c>
      <c r="E646" t="s">
        <v>77</v>
      </c>
      <c r="F646" t="s">
        <v>78</v>
      </c>
      <c r="G646" t="s">
        <v>757</v>
      </c>
      <c r="H646" t="s">
        <v>42</v>
      </c>
      <c r="I646" t="s">
        <v>67</v>
      </c>
      <c r="J646" t="s">
        <v>1115</v>
      </c>
      <c r="M646" t="s">
        <v>106</v>
      </c>
      <c r="P646" t="s">
        <v>79</v>
      </c>
      <c r="Q646" t="s">
        <v>47</v>
      </c>
      <c r="R646" t="s">
        <v>48</v>
      </c>
      <c r="V646" t="s">
        <v>49</v>
      </c>
      <c r="X646" t="s">
        <v>49</v>
      </c>
      <c r="Y646" t="s">
        <v>74</v>
      </c>
      <c r="Z646" t="s">
        <v>1116</v>
      </c>
      <c r="AA646" t="s">
        <v>1105</v>
      </c>
    </row>
    <row r="647" spans="1:27" x14ac:dyDescent="0.35">
      <c r="A647" t="str">
        <f t="shared" si="21"/>
        <v>2610D4</v>
      </c>
      <c r="B647" t="str">
        <f t="shared" si="20"/>
        <v>2610</v>
      </c>
      <c r="C647" t="s">
        <v>1117</v>
      </c>
      <c r="D647" t="s">
        <v>3</v>
      </c>
      <c r="E647" t="s">
        <v>52</v>
      </c>
      <c r="F647" t="s">
        <v>53</v>
      </c>
      <c r="G647" t="s">
        <v>757</v>
      </c>
      <c r="H647" t="s">
        <v>42</v>
      </c>
      <c r="I647" t="s">
        <v>43</v>
      </c>
      <c r="J647" t="s">
        <v>1115</v>
      </c>
      <c r="K647" t="s">
        <v>56</v>
      </c>
      <c r="M647" t="s">
        <v>106</v>
      </c>
      <c r="P647" t="s">
        <v>58</v>
      </c>
      <c r="Q647" t="s">
        <v>47</v>
      </c>
      <c r="R647" t="s">
        <v>48</v>
      </c>
      <c r="V647" t="s">
        <v>49</v>
      </c>
      <c r="X647" t="s">
        <v>49</v>
      </c>
      <c r="Y647" t="s">
        <v>59</v>
      </c>
      <c r="Z647" t="s">
        <v>1118</v>
      </c>
      <c r="AA647" t="s">
        <v>1118</v>
      </c>
    </row>
    <row r="648" spans="1:27" x14ac:dyDescent="0.35">
      <c r="A648" t="str">
        <f t="shared" si="21"/>
        <v>2610D2</v>
      </c>
      <c r="B648" t="str">
        <f t="shared" si="20"/>
        <v>2610</v>
      </c>
      <c r="C648" t="s">
        <v>1119</v>
      </c>
      <c r="D648" t="s">
        <v>2</v>
      </c>
      <c r="E648" t="s">
        <v>62</v>
      </c>
      <c r="F648" t="s">
        <v>63</v>
      </c>
      <c r="G648" t="s">
        <v>757</v>
      </c>
      <c r="H648" t="s">
        <v>42</v>
      </c>
      <c r="I648" t="s">
        <v>43</v>
      </c>
      <c r="J648" t="s">
        <v>1115</v>
      </c>
      <c r="K648" t="s">
        <v>56</v>
      </c>
      <c r="M648" t="s">
        <v>106</v>
      </c>
      <c r="P648" t="s">
        <v>58</v>
      </c>
      <c r="Q648" t="s">
        <v>47</v>
      </c>
      <c r="R648" t="s">
        <v>48</v>
      </c>
      <c r="V648" t="s">
        <v>49</v>
      </c>
      <c r="X648" t="s">
        <v>49</v>
      </c>
      <c r="Y648" t="s">
        <v>59</v>
      </c>
      <c r="Z648" t="s">
        <v>1118</v>
      </c>
      <c r="AA648" t="s">
        <v>1118</v>
      </c>
    </row>
    <row r="649" spans="1:27" x14ac:dyDescent="0.35">
      <c r="A649" t="str">
        <f t="shared" si="21"/>
        <v>2610F3</v>
      </c>
      <c r="B649" t="str">
        <f t="shared" si="20"/>
        <v>2610</v>
      </c>
      <c r="C649" t="s">
        <v>1120</v>
      </c>
      <c r="D649" t="s">
        <v>5</v>
      </c>
      <c r="E649" t="s">
        <v>40</v>
      </c>
      <c r="F649" t="s">
        <v>73</v>
      </c>
      <c r="G649" t="s">
        <v>757</v>
      </c>
      <c r="H649" t="s">
        <v>42</v>
      </c>
      <c r="I649" t="s">
        <v>67</v>
      </c>
      <c r="J649" t="s">
        <v>1115</v>
      </c>
      <c r="M649" t="s">
        <v>106</v>
      </c>
      <c r="P649" t="s">
        <v>46</v>
      </c>
      <c r="Q649" t="s">
        <v>47</v>
      </c>
      <c r="R649" t="s">
        <v>48</v>
      </c>
      <c r="V649" t="s">
        <v>49</v>
      </c>
      <c r="X649" t="s">
        <v>49</v>
      </c>
      <c r="Y649" t="s">
        <v>74</v>
      </c>
      <c r="Z649" t="s">
        <v>1121</v>
      </c>
      <c r="AA649" t="s">
        <v>1121</v>
      </c>
    </row>
    <row r="650" spans="1:27" x14ac:dyDescent="0.35">
      <c r="A650" t="str">
        <f t="shared" si="21"/>
        <v>2610C2</v>
      </c>
      <c r="B650" t="str">
        <f t="shared" si="20"/>
        <v>2610</v>
      </c>
      <c r="C650" t="s">
        <v>1122</v>
      </c>
      <c r="D650" t="s">
        <v>1</v>
      </c>
      <c r="E650" t="s">
        <v>65</v>
      </c>
      <c r="F650" t="s">
        <v>66</v>
      </c>
      <c r="G650" t="s">
        <v>757</v>
      </c>
      <c r="H650" t="s">
        <v>42</v>
      </c>
      <c r="I650" t="s">
        <v>67</v>
      </c>
      <c r="J650" t="s">
        <v>1115</v>
      </c>
      <c r="M650" t="s">
        <v>106</v>
      </c>
      <c r="P650" t="s">
        <v>69</v>
      </c>
      <c r="Q650" t="s">
        <v>47</v>
      </c>
      <c r="R650" t="s">
        <v>48</v>
      </c>
      <c r="V650" t="s">
        <v>49</v>
      </c>
      <c r="X650" t="s">
        <v>49</v>
      </c>
      <c r="Y650" t="s">
        <v>70</v>
      </c>
      <c r="Z650" t="s">
        <v>1123</v>
      </c>
      <c r="AA650" t="s">
        <v>1123</v>
      </c>
    </row>
    <row r="651" spans="1:27" x14ac:dyDescent="0.35">
      <c r="A651" t="str">
        <f t="shared" si="21"/>
        <v>2610D7</v>
      </c>
      <c r="B651" t="str">
        <f t="shared" si="20"/>
        <v>2610</v>
      </c>
      <c r="C651" t="s">
        <v>1124</v>
      </c>
      <c r="D651" t="s">
        <v>6</v>
      </c>
      <c r="E651" t="s">
        <v>94</v>
      </c>
      <c r="F651" t="s">
        <v>111</v>
      </c>
      <c r="G651" t="s">
        <v>757</v>
      </c>
      <c r="H651" t="s">
        <v>42</v>
      </c>
      <c r="I651" t="s">
        <v>43</v>
      </c>
      <c r="J651" t="s">
        <v>1115</v>
      </c>
      <c r="M651" t="s">
        <v>106</v>
      </c>
      <c r="P651" t="s">
        <v>46</v>
      </c>
      <c r="Q651" t="s">
        <v>47</v>
      </c>
      <c r="R651" t="s">
        <v>48</v>
      </c>
      <c r="V651" t="s">
        <v>49</v>
      </c>
      <c r="X651" t="s">
        <v>49</v>
      </c>
      <c r="Y651" t="s">
        <v>59</v>
      </c>
      <c r="Z651" t="s">
        <v>1113</v>
      </c>
      <c r="AA651" t="s">
        <v>1113</v>
      </c>
    </row>
    <row r="652" spans="1:27" x14ac:dyDescent="0.35">
      <c r="A652" t="str">
        <f t="shared" si="21"/>
        <v>2609F2</v>
      </c>
      <c r="B652" t="str">
        <f t="shared" si="20"/>
        <v>2609</v>
      </c>
      <c r="C652" t="s">
        <v>1125</v>
      </c>
      <c r="D652" t="s">
        <v>4</v>
      </c>
      <c r="E652" t="s">
        <v>77</v>
      </c>
      <c r="F652" t="s">
        <v>78</v>
      </c>
      <c r="G652" t="s">
        <v>757</v>
      </c>
      <c r="H652" t="s">
        <v>42</v>
      </c>
      <c r="I652" t="s">
        <v>67</v>
      </c>
      <c r="J652" t="s">
        <v>1126</v>
      </c>
      <c r="M652" t="s">
        <v>106</v>
      </c>
      <c r="P652" t="s">
        <v>304</v>
      </c>
      <c r="Q652" t="s">
        <v>47</v>
      </c>
      <c r="R652" t="s">
        <v>48</v>
      </c>
      <c r="V652" t="s">
        <v>49</v>
      </c>
      <c r="X652" t="s">
        <v>49</v>
      </c>
      <c r="Y652" t="s">
        <v>74</v>
      </c>
      <c r="Z652" t="s">
        <v>1127</v>
      </c>
      <c r="AA652" t="s">
        <v>1127</v>
      </c>
    </row>
    <row r="653" spans="1:27" x14ac:dyDescent="0.35">
      <c r="A653" t="str">
        <f t="shared" si="21"/>
        <v>2609D4</v>
      </c>
      <c r="B653" t="str">
        <f t="shared" si="20"/>
        <v>2609</v>
      </c>
      <c r="C653" t="s">
        <v>1128</v>
      </c>
      <c r="D653" t="s">
        <v>3</v>
      </c>
      <c r="E653" t="s">
        <v>52</v>
      </c>
      <c r="F653" t="s">
        <v>53</v>
      </c>
      <c r="G653" t="s">
        <v>757</v>
      </c>
      <c r="H653" t="s">
        <v>42</v>
      </c>
      <c r="I653" t="s">
        <v>43</v>
      </c>
      <c r="J653" t="s">
        <v>1126</v>
      </c>
      <c r="K653" t="s">
        <v>56</v>
      </c>
      <c r="M653" t="s">
        <v>106</v>
      </c>
      <c r="P653" t="s">
        <v>58</v>
      </c>
      <c r="Q653" t="s">
        <v>47</v>
      </c>
      <c r="R653" t="s">
        <v>48</v>
      </c>
      <c r="V653" t="s">
        <v>49</v>
      </c>
      <c r="X653" t="s">
        <v>49</v>
      </c>
      <c r="Y653" t="s">
        <v>59</v>
      </c>
      <c r="Z653" t="s">
        <v>1129</v>
      </c>
      <c r="AA653" t="s">
        <v>1129</v>
      </c>
    </row>
    <row r="654" spans="1:27" x14ac:dyDescent="0.35">
      <c r="A654" t="str">
        <f t="shared" si="21"/>
        <v>2609D2</v>
      </c>
      <c r="B654" t="str">
        <f t="shared" si="20"/>
        <v>2609</v>
      </c>
      <c r="C654" t="s">
        <v>1130</v>
      </c>
      <c r="D654" t="s">
        <v>2</v>
      </c>
      <c r="E654" t="s">
        <v>62</v>
      </c>
      <c r="F654" t="s">
        <v>63</v>
      </c>
      <c r="G654" t="s">
        <v>757</v>
      </c>
      <c r="H654" t="s">
        <v>42</v>
      </c>
      <c r="I654" t="s">
        <v>43</v>
      </c>
      <c r="J654" t="s">
        <v>1126</v>
      </c>
      <c r="K654" t="s">
        <v>56</v>
      </c>
      <c r="M654" t="s">
        <v>106</v>
      </c>
      <c r="P654" t="s">
        <v>58</v>
      </c>
      <c r="Q654" t="s">
        <v>47</v>
      </c>
      <c r="R654" t="s">
        <v>48</v>
      </c>
      <c r="V654" t="s">
        <v>49</v>
      </c>
      <c r="X654" t="s">
        <v>49</v>
      </c>
      <c r="Y654" t="s">
        <v>59</v>
      </c>
      <c r="Z654" t="s">
        <v>1129</v>
      </c>
      <c r="AA654" t="s">
        <v>1129</v>
      </c>
    </row>
    <row r="655" spans="1:27" x14ac:dyDescent="0.35">
      <c r="A655" t="str">
        <f t="shared" si="21"/>
        <v>2609F3</v>
      </c>
      <c r="B655" t="str">
        <f t="shared" si="20"/>
        <v>2609</v>
      </c>
      <c r="C655" t="s">
        <v>1131</v>
      </c>
      <c r="D655" t="s">
        <v>5</v>
      </c>
      <c r="E655" t="s">
        <v>40</v>
      </c>
      <c r="F655" t="s">
        <v>73</v>
      </c>
      <c r="G655" t="s">
        <v>757</v>
      </c>
      <c r="H655" t="s">
        <v>42</v>
      </c>
      <c r="I655" t="s">
        <v>67</v>
      </c>
      <c r="J655" t="s">
        <v>1126</v>
      </c>
      <c r="M655" t="s">
        <v>106</v>
      </c>
      <c r="P655" t="s">
        <v>46</v>
      </c>
      <c r="Q655" t="s">
        <v>47</v>
      </c>
      <c r="R655" t="s">
        <v>48</v>
      </c>
      <c r="V655" t="s">
        <v>49</v>
      </c>
      <c r="X655" t="s">
        <v>49</v>
      </c>
      <c r="Y655" t="s">
        <v>74</v>
      </c>
      <c r="Z655" t="s">
        <v>1132</v>
      </c>
      <c r="AA655" t="s">
        <v>1132</v>
      </c>
    </row>
    <row r="656" spans="1:27" x14ac:dyDescent="0.35">
      <c r="A656" t="str">
        <f t="shared" si="21"/>
        <v>2609C2</v>
      </c>
      <c r="B656" t="str">
        <f t="shared" si="20"/>
        <v>2609</v>
      </c>
      <c r="C656" t="s">
        <v>1133</v>
      </c>
      <c r="D656" t="s">
        <v>1</v>
      </c>
      <c r="E656" t="s">
        <v>65</v>
      </c>
      <c r="F656" t="s">
        <v>66</v>
      </c>
      <c r="G656" t="s">
        <v>757</v>
      </c>
      <c r="H656" t="s">
        <v>42</v>
      </c>
      <c r="I656" t="s">
        <v>67</v>
      </c>
      <c r="J656" t="s">
        <v>1126</v>
      </c>
      <c r="M656" t="s">
        <v>106</v>
      </c>
      <c r="P656" t="s">
        <v>69</v>
      </c>
      <c r="Q656" t="s">
        <v>47</v>
      </c>
      <c r="R656" t="s">
        <v>48</v>
      </c>
      <c r="V656" t="s">
        <v>49</v>
      </c>
      <c r="X656" t="s">
        <v>49</v>
      </c>
      <c r="Y656" t="s">
        <v>70</v>
      </c>
      <c r="Z656" t="s">
        <v>947</v>
      </c>
      <c r="AA656" t="s">
        <v>947</v>
      </c>
    </row>
    <row r="657" spans="1:27" x14ac:dyDescent="0.35">
      <c r="A657" t="str">
        <f t="shared" si="21"/>
        <v>2609D7</v>
      </c>
      <c r="B657" t="str">
        <f t="shared" si="20"/>
        <v>2609</v>
      </c>
      <c r="C657" t="s">
        <v>1134</v>
      </c>
      <c r="D657" t="s">
        <v>6</v>
      </c>
      <c r="E657" t="s">
        <v>94</v>
      </c>
      <c r="F657" t="s">
        <v>111</v>
      </c>
      <c r="G657" t="s">
        <v>757</v>
      </c>
      <c r="H657" t="s">
        <v>42</v>
      </c>
      <c r="I657" t="s">
        <v>43</v>
      </c>
      <c r="J657" t="s">
        <v>1126</v>
      </c>
      <c r="M657" t="s">
        <v>106</v>
      </c>
      <c r="P657" t="s">
        <v>273</v>
      </c>
      <c r="Q657" t="s">
        <v>47</v>
      </c>
      <c r="R657" t="s">
        <v>48</v>
      </c>
      <c r="V657" t="s">
        <v>49</v>
      </c>
      <c r="X657" t="s">
        <v>49</v>
      </c>
      <c r="Y657" t="s">
        <v>59</v>
      </c>
      <c r="Z657" t="s">
        <v>1135</v>
      </c>
      <c r="AA657" t="s">
        <v>1135</v>
      </c>
    </row>
    <row r="658" spans="1:27" x14ac:dyDescent="0.35">
      <c r="A658" t="str">
        <f t="shared" si="21"/>
        <v>2608F2</v>
      </c>
      <c r="B658" t="str">
        <f t="shared" si="20"/>
        <v>2608</v>
      </c>
      <c r="C658" t="s">
        <v>1136</v>
      </c>
      <c r="D658" t="s">
        <v>4</v>
      </c>
      <c r="E658" t="s">
        <v>77</v>
      </c>
      <c r="F658" t="s">
        <v>78</v>
      </c>
      <c r="G658" t="s">
        <v>757</v>
      </c>
      <c r="H658" t="s">
        <v>42</v>
      </c>
      <c r="I658" t="s">
        <v>67</v>
      </c>
      <c r="J658" t="s">
        <v>1137</v>
      </c>
      <c r="M658" t="s">
        <v>106</v>
      </c>
      <c r="P658" t="s">
        <v>189</v>
      </c>
      <c r="Q658" t="s">
        <v>47</v>
      </c>
      <c r="R658" t="s">
        <v>48</v>
      </c>
      <c r="V658" t="s">
        <v>49</v>
      </c>
      <c r="X658" t="s">
        <v>49</v>
      </c>
      <c r="Y658" t="s">
        <v>74</v>
      </c>
      <c r="Z658" t="s">
        <v>1138</v>
      </c>
      <c r="AA658" t="s">
        <v>1138</v>
      </c>
    </row>
    <row r="659" spans="1:27" x14ac:dyDescent="0.35">
      <c r="A659" t="str">
        <f t="shared" si="21"/>
        <v>2608D4</v>
      </c>
      <c r="B659" t="str">
        <f t="shared" si="20"/>
        <v>2608</v>
      </c>
      <c r="C659" t="s">
        <v>1139</v>
      </c>
      <c r="D659" t="s">
        <v>3</v>
      </c>
      <c r="E659" t="s">
        <v>52</v>
      </c>
      <c r="F659" t="s">
        <v>53</v>
      </c>
      <c r="G659" t="s">
        <v>757</v>
      </c>
      <c r="H659" t="s">
        <v>42</v>
      </c>
      <c r="I659" t="s">
        <v>43</v>
      </c>
      <c r="J659" t="s">
        <v>1137</v>
      </c>
      <c r="K659" t="s">
        <v>56</v>
      </c>
      <c r="M659" t="s">
        <v>106</v>
      </c>
      <c r="P659" t="s">
        <v>58</v>
      </c>
      <c r="Q659" t="s">
        <v>47</v>
      </c>
      <c r="R659" t="s">
        <v>48</v>
      </c>
      <c r="V659" t="s">
        <v>49</v>
      </c>
      <c r="X659" t="s">
        <v>49</v>
      </c>
      <c r="Y659" t="s">
        <v>59</v>
      </c>
      <c r="Z659" t="s">
        <v>1140</v>
      </c>
      <c r="AA659" t="s">
        <v>1140</v>
      </c>
    </row>
    <row r="660" spans="1:27" x14ac:dyDescent="0.35">
      <c r="A660" t="str">
        <f t="shared" si="21"/>
        <v>2608D2</v>
      </c>
      <c r="B660" t="str">
        <f t="shared" si="20"/>
        <v>2608</v>
      </c>
      <c r="C660" t="s">
        <v>1141</v>
      </c>
      <c r="D660" t="s">
        <v>2</v>
      </c>
      <c r="E660" t="s">
        <v>62</v>
      </c>
      <c r="F660" t="s">
        <v>63</v>
      </c>
      <c r="G660" t="s">
        <v>757</v>
      </c>
      <c r="H660" t="s">
        <v>42</v>
      </c>
      <c r="I660" t="s">
        <v>43</v>
      </c>
      <c r="J660" t="s">
        <v>1137</v>
      </c>
      <c r="K660" t="s">
        <v>56</v>
      </c>
      <c r="M660" t="s">
        <v>106</v>
      </c>
      <c r="P660" t="s">
        <v>58</v>
      </c>
      <c r="Q660" t="s">
        <v>47</v>
      </c>
      <c r="R660" t="s">
        <v>48</v>
      </c>
      <c r="V660" t="s">
        <v>49</v>
      </c>
      <c r="X660" t="s">
        <v>49</v>
      </c>
      <c r="Y660" t="s">
        <v>59</v>
      </c>
      <c r="Z660" t="s">
        <v>1142</v>
      </c>
      <c r="AA660" t="s">
        <v>1142</v>
      </c>
    </row>
    <row r="661" spans="1:27" x14ac:dyDescent="0.35">
      <c r="A661" t="str">
        <f t="shared" si="21"/>
        <v>2608F3</v>
      </c>
      <c r="B661" t="str">
        <f t="shared" si="20"/>
        <v>2608</v>
      </c>
      <c r="C661" t="s">
        <v>1143</v>
      </c>
      <c r="D661" t="s">
        <v>5</v>
      </c>
      <c r="E661" t="s">
        <v>40</v>
      </c>
      <c r="F661" t="s">
        <v>73</v>
      </c>
      <c r="G661" t="s">
        <v>757</v>
      </c>
      <c r="H661" t="s">
        <v>42</v>
      </c>
      <c r="I661" t="s">
        <v>67</v>
      </c>
      <c r="J661" t="s">
        <v>1137</v>
      </c>
      <c r="M661" t="s">
        <v>106</v>
      </c>
      <c r="P661" t="s">
        <v>46</v>
      </c>
      <c r="Q661" t="s">
        <v>47</v>
      </c>
      <c r="R661" t="s">
        <v>48</v>
      </c>
      <c r="V661" t="s">
        <v>49</v>
      </c>
      <c r="X661" t="s">
        <v>49</v>
      </c>
      <c r="Y661" t="s">
        <v>74</v>
      </c>
      <c r="Z661" t="s">
        <v>1138</v>
      </c>
      <c r="AA661" t="s">
        <v>1138</v>
      </c>
    </row>
    <row r="662" spans="1:27" x14ac:dyDescent="0.35">
      <c r="A662" t="str">
        <f t="shared" si="21"/>
        <v>2608C2</v>
      </c>
      <c r="B662" t="str">
        <f t="shared" si="20"/>
        <v>2608</v>
      </c>
      <c r="C662" t="s">
        <v>1144</v>
      </c>
      <c r="D662" t="s">
        <v>1</v>
      </c>
      <c r="E662" t="s">
        <v>65</v>
      </c>
      <c r="F662" t="s">
        <v>66</v>
      </c>
      <c r="G662" t="s">
        <v>757</v>
      </c>
      <c r="H662" t="s">
        <v>42</v>
      </c>
      <c r="I662" t="s">
        <v>67</v>
      </c>
      <c r="J662" t="s">
        <v>1137</v>
      </c>
      <c r="M662" t="s">
        <v>106</v>
      </c>
      <c r="P662" t="s">
        <v>69</v>
      </c>
      <c r="Q662" t="s">
        <v>47</v>
      </c>
      <c r="R662" t="s">
        <v>48</v>
      </c>
      <c r="V662" t="s">
        <v>49</v>
      </c>
      <c r="X662" t="s">
        <v>49</v>
      </c>
      <c r="Y662" t="s">
        <v>70</v>
      </c>
      <c r="Z662" t="s">
        <v>1145</v>
      </c>
      <c r="AA662" t="s">
        <v>1145</v>
      </c>
    </row>
    <row r="663" spans="1:27" x14ac:dyDescent="0.35">
      <c r="A663" t="str">
        <f t="shared" si="21"/>
        <v>2608D7</v>
      </c>
      <c r="B663" t="str">
        <f t="shared" si="20"/>
        <v>2608</v>
      </c>
      <c r="C663" t="s">
        <v>1146</v>
      </c>
      <c r="D663" t="s">
        <v>6</v>
      </c>
      <c r="E663" t="s">
        <v>94</v>
      </c>
      <c r="F663" t="s">
        <v>111</v>
      </c>
      <c r="G663" t="s">
        <v>757</v>
      </c>
      <c r="H663" t="s">
        <v>42</v>
      </c>
      <c r="I663" t="s">
        <v>43</v>
      </c>
      <c r="J663" t="s">
        <v>1137</v>
      </c>
      <c r="M663" t="s">
        <v>106</v>
      </c>
      <c r="P663" t="s">
        <v>46</v>
      </c>
      <c r="Q663" t="s">
        <v>47</v>
      </c>
      <c r="R663" t="s">
        <v>48</v>
      </c>
      <c r="V663" t="s">
        <v>49</v>
      </c>
      <c r="X663" t="s">
        <v>49</v>
      </c>
      <c r="Y663" t="s">
        <v>59</v>
      </c>
      <c r="Z663" t="s">
        <v>1147</v>
      </c>
      <c r="AA663" t="s">
        <v>1147</v>
      </c>
    </row>
    <row r="664" spans="1:27" x14ac:dyDescent="0.35">
      <c r="A664" t="str">
        <f t="shared" si="21"/>
        <v>2607F2</v>
      </c>
      <c r="B664" t="str">
        <f t="shared" si="20"/>
        <v>2607</v>
      </c>
      <c r="C664" t="s">
        <v>1148</v>
      </c>
      <c r="D664" t="s">
        <v>4</v>
      </c>
      <c r="E664" t="s">
        <v>77</v>
      </c>
      <c r="F664" t="s">
        <v>78</v>
      </c>
      <c r="G664" t="s">
        <v>757</v>
      </c>
      <c r="H664" t="s">
        <v>42</v>
      </c>
      <c r="I664" t="s">
        <v>67</v>
      </c>
      <c r="J664" t="s">
        <v>1149</v>
      </c>
      <c r="M664" t="s">
        <v>106</v>
      </c>
      <c r="P664" t="s">
        <v>79</v>
      </c>
      <c r="Q664" t="s">
        <v>47</v>
      </c>
      <c r="R664" t="s">
        <v>48</v>
      </c>
      <c r="V664" t="s">
        <v>49</v>
      </c>
      <c r="X664" t="s">
        <v>49</v>
      </c>
      <c r="Y664" t="s">
        <v>74</v>
      </c>
      <c r="Z664" t="s">
        <v>1150</v>
      </c>
      <c r="AA664" t="s">
        <v>1150</v>
      </c>
    </row>
    <row r="665" spans="1:27" x14ac:dyDescent="0.35">
      <c r="A665" t="str">
        <f t="shared" si="21"/>
        <v>2607D4</v>
      </c>
      <c r="B665" t="str">
        <f t="shared" si="20"/>
        <v>2607</v>
      </c>
      <c r="C665" t="s">
        <v>1151</v>
      </c>
      <c r="D665" t="s">
        <v>3</v>
      </c>
      <c r="E665" t="s">
        <v>52</v>
      </c>
      <c r="F665" t="s">
        <v>53</v>
      </c>
      <c r="G665" t="s">
        <v>757</v>
      </c>
      <c r="H665" t="s">
        <v>42</v>
      </c>
      <c r="I665" t="s">
        <v>43</v>
      </c>
      <c r="J665" t="s">
        <v>1149</v>
      </c>
      <c r="K665" t="s">
        <v>56</v>
      </c>
      <c r="M665" t="s">
        <v>106</v>
      </c>
      <c r="P665" t="s">
        <v>58</v>
      </c>
      <c r="Q665" t="s">
        <v>47</v>
      </c>
      <c r="R665" t="s">
        <v>48</v>
      </c>
      <c r="V665" t="s">
        <v>49</v>
      </c>
      <c r="X665" t="s">
        <v>49</v>
      </c>
      <c r="Y665" t="s">
        <v>59</v>
      </c>
      <c r="Z665" t="s">
        <v>1142</v>
      </c>
      <c r="AA665" t="s">
        <v>1142</v>
      </c>
    </row>
    <row r="666" spans="1:27" x14ac:dyDescent="0.35">
      <c r="A666" t="str">
        <f t="shared" si="21"/>
        <v>2607D2</v>
      </c>
      <c r="B666" t="str">
        <f t="shared" si="20"/>
        <v>2607</v>
      </c>
      <c r="C666" t="s">
        <v>1152</v>
      </c>
      <c r="D666" t="s">
        <v>2</v>
      </c>
      <c r="E666" t="s">
        <v>62</v>
      </c>
      <c r="F666" t="s">
        <v>63</v>
      </c>
      <c r="G666" t="s">
        <v>757</v>
      </c>
      <c r="H666" t="s">
        <v>42</v>
      </c>
      <c r="I666" t="s">
        <v>43</v>
      </c>
      <c r="J666" t="s">
        <v>1149</v>
      </c>
      <c r="K666" t="s">
        <v>56</v>
      </c>
      <c r="M666" t="s">
        <v>106</v>
      </c>
      <c r="P666" t="s">
        <v>58</v>
      </c>
      <c r="Q666" t="s">
        <v>47</v>
      </c>
      <c r="R666" t="s">
        <v>48</v>
      </c>
      <c r="V666" t="s">
        <v>49</v>
      </c>
      <c r="X666" t="s">
        <v>49</v>
      </c>
      <c r="Y666" t="s">
        <v>59</v>
      </c>
      <c r="Z666" t="s">
        <v>1142</v>
      </c>
      <c r="AA666" t="s">
        <v>1142</v>
      </c>
    </row>
    <row r="667" spans="1:27" x14ac:dyDescent="0.35">
      <c r="A667" t="str">
        <f t="shared" si="21"/>
        <v>2607F3</v>
      </c>
      <c r="B667" t="str">
        <f t="shared" si="20"/>
        <v>2607</v>
      </c>
      <c r="C667" t="s">
        <v>1153</v>
      </c>
      <c r="D667" t="s">
        <v>5</v>
      </c>
      <c r="E667" t="s">
        <v>40</v>
      </c>
      <c r="F667" t="s">
        <v>73</v>
      </c>
      <c r="G667" t="s">
        <v>757</v>
      </c>
      <c r="H667" t="s">
        <v>42</v>
      </c>
      <c r="I667" t="s">
        <v>67</v>
      </c>
      <c r="J667" t="s">
        <v>1149</v>
      </c>
      <c r="M667" t="s">
        <v>106</v>
      </c>
      <c r="P667" t="s">
        <v>46</v>
      </c>
      <c r="Q667" t="s">
        <v>47</v>
      </c>
      <c r="R667" t="s">
        <v>48</v>
      </c>
      <c r="V667" t="s">
        <v>49</v>
      </c>
      <c r="X667" t="s">
        <v>49</v>
      </c>
      <c r="Y667" t="s">
        <v>74</v>
      </c>
      <c r="Z667" t="s">
        <v>1150</v>
      </c>
      <c r="AA667" t="s">
        <v>1150</v>
      </c>
    </row>
    <row r="668" spans="1:27" x14ac:dyDescent="0.35">
      <c r="A668" t="str">
        <f t="shared" si="21"/>
        <v>2607C2</v>
      </c>
      <c r="B668" t="str">
        <f t="shared" si="20"/>
        <v>2607</v>
      </c>
      <c r="C668" t="s">
        <v>1154</v>
      </c>
      <c r="D668" t="s">
        <v>1</v>
      </c>
      <c r="E668" t="s">
        <v>65</v>
      </c>
      <c r="F668" t="s">
        <v>66</v>
      </c>
      <c r="G668" t="s">
        <v>757</v>
      </c>
      <c r="H668" t="s">
        <v>42</v>
      </c>
      <c r="I668" t="s">
        <v>67</v>
      </c>
      <c r="J668" t="s">
        <v>1149</v>
      </c>
      <c r="M668" t="s">
        <v>106</v>
      </c>
      <c r="P668" t="s">
        <v>69</v>
      </c>
      <c r="Q668" t="s">
        <v>47</v>
      </c>
      <c r="R668" t="s">
        <v>48</v>
      </c>
      <c r="V668" t="s">
        <v>49</v>
      </c>
      <c r="X668" t="s">
        <v>49</v>
      </c>
      <c r="Y668" t="s">
        <v>70</v>
      </c>
      <c r="Z668" t="s">
        <v>1155</v>
      </c>
      <c r="AA668" t="s">
        <v>1155</v>
      </c>
    </row>
    <row r="669" spans="1:27" x14ac:dyDescent="0.35">
      <c r="A669" t="str">
        <f t="shared" si="21"/>
        <v>2607D7</v>
      </c>
      <c r="B669" t="str">
        <f t="shared" si="20"/>
        <v>2607</v>
      </c>
      <c r="C669" t="s">
        <v>1156</v>
      </c>
      <c r="D669" t="s">
        <v>6</v>
      </c>
      <c r="E669" t="s">
        <v>94</v>
      </c>
      <c r="F669" t="s">
        <v>111</v>
      </c>
      <c r="G669" t="s">
        <v>757</v>
      </c>
      <c r="H669" t="s">
        <v>42</v>
      </c>
      <c r="I669" t="s">
        <v>43</v>
      </c>
      <c r="J669" t="s">
        <v>1149</v>
      </c>
      <c r="M669" t="s">
        <v>106</v>
      </c>
      <c r="P669" t="s">
        <v>46</v>
      </c>
      <c r="Q669" t="s">
        <v>47</v>
      </c>
      <c r="R669" t="s">
        <v>48</v>
      </c>
      <c r="V669" t="s">
        <v>49</v>
      </c>
      <c r="X669" t="s">
        <v>49</v>
      </c>
      <c r="Y669" t="s">
        <v>59</v>
      </c>
      <c r="Z669" t="s">
        <v>1147</v>
      </c>
      <c r="AA669" t="s">
        <v>1147</v>
      </c>
    </row>
    <row r="670" spans="1:27" x14ac:dyDescent="0.35">
      <c r="A670" t="str">
        <f t="shared" si="21"/>
        <v>2606F2</v>
      </c>
      <c r="B670" t="str">
        <f t="shared" si="20"/>
        <v>2606</v>
      </c>
      <c r="C670" t="s">
        <v>1157</v>
      </c>
      <c r="D670" t="s">
        <v>4</v>
      </c>
      <c r="E670" t="s">
        <v>77</v>
      </c>
      <c r="F670" t="s">
        <v>78</v>
      </c>
      <c r="G670" t="s">
        <v>757</v>
      </c>
      <c r="H670" t="s">
        <v>42</v>
      </c>
      <c r="I670" t="s">
        <v>67</v>
      </c>
      <c r="J670" t="s">
        <v>1158</v>
      </c>
      <c r="M670" t="s">
        <v>106</v>
      </c>
      <c r="P670" t="s">
        <v>189</v>
      </c>
      <c r="Q670" t="s">
        <v>47</v>
      </c>
      <c r="R670" t="s">
        <v>48</v>
      </c>
      <c r="V670" t="s">
        <v>49</v>
      </c>
      <c r="X670" t="s">
        <v>49</v>
      </c>
      <c r="Y670" t="s">
        <v>74</v>
      </c>
      <c r="Z670" t="s">
        <v>1159</v>
      </c>
      <c r="AA670" t="s">
        <v>1159</v>
      </c>
    </row>
    <row r="671" spans="1:27" x14ac:dyDescent="0.35">
      <c r="A671" t="str">
        <f t="shared" si="21"/>
        <v>2606D4</v>
      </c>
      <c r="B671" t="str">
        <f t="shared" si="20"/>
        <v>2606</v>
      </c>
      <c r="C671" t="s">
        <v>1160</v>
      </c>
      <c r="D671" t="s">
        <v>3</v>
      </c>
      <c r="E671" t="s">
        <v>52</v>
      </c>
      <c r="F671" t="s">
        <v>53</v>
      </c>
      <c r="G671" t="s">
        <v>757</v>
      </c>
      <c r="H671" t="s">
        <v>42</v>
      </c>
      <c r="I671" t="s">
        <v>43</v>
      </c>
      <c r="J671" t="s">
        <v>1158</v>
      </c>
      <c r="K671" t="s">
        <v>56</v>
      </c>
      <c r="M671" t="s">
        <v>106</v>
      </c>
      <c r="P671" t="s">
        <v>58</v>
      </c>
      <c r="Q671" t="s">
        <v>47</v>
      </c>
      <c r="R671" t="s">
        <v>48</v>
      </c>
      <c r="V671" t="s">
        <v>49</v>
      </c>
      <c r="X671" t="s">
        <v>49</v>
      </c>
      <c r="Y671" t="s">
        <v>59</v>
      </c>
      <c r="Z671" t="s">
        <v>1142</v>
      </c>
      <c r="AA671" t="s">
        <v>1142</v>
      </c>
    </row>
    <row r="672" spans="1:27" x14ac:dyDescent="0.35">
      <c r="A672" t="str">
        <f t="shared" si="21"/>
        <v>2606D2</v>
      </c>
      <c r="B672" t="str">
        <f t="shared" si="20"/>
        <v>2606</v>
      </c>
      <c r="C672" t="s">
        <v>1161</v>
      </c>
      <c r="D672" t="s">
        <v>2</v>
      </c>
      <c r="E672" t="s">
        <v>62</v>
      </c>
      <c r="F672" t="s">
        <v>63</v>
      </c>
      <c r="G672" t="s">
        <v>757</v>
      </c>
      <c r="H672" t="s">
        <v>42</v>
      </c>
      <c r="I672" t="s">
        <v>43</v>
      </c>
      <c r="J672" t="s">
        <v>1158</v>
      </c>
      <c r="K672" t="s">
        <v>56</v>
      </c>
      <c r="M672" t="s">
        <v>106</v>
      </c>
      <c r="P672" t="s">
        <v>58</v>
      </c>
      <c r="Q672" t="s">
        <v>47</v>
      </c>
      <c r="R672" t="s">
        <v>48</v>
      </c>
      <c r="V672" t="s">
        <v>49</v>
      </c>
      <c r="X672" t="s">
        <v>49</v>
      </c>
      <c r="Y672" t="s">
        <v>59</v>
      </c>
      <c r="Z672" t="s">
        <v>1162</v>
      </c>
      <c r="AA672" t="s">
        <v>1162</v>
      </c>
    </row>
    <row r="673" spans="1:27" x14ac:dyDescent="0.35">
      <c r="A673" t="str">
        <f t="shared" si="21"/>
        <v>2606F3</v>
      </c>
      <c r="B673" t="str">
        <f t="shared" si="20"/>
        <v>2606</v>
      </c>
      <c r="C673" t="s">
        <v>1163</v>
      </c>
      <c r="D673" t="s">
        <v>5</v>
      </c>
      <c r="E673" t="s">
        <v>40</v>
      </c>
      <c r="F673" t="s">
        <v>73</v>
      </c>
      <c r="G673" t="s">
        <v>757</v>
      </c>
      <c r="H673" t="s">
        <v>42</v>
      </c>
      <c r="I673" t="s">
        <v>67</v>
      </c>
      <c r="J673" t="s">
        <v>1158</v>
      </c>
      <c r="M673" t="s">
        <v>106</v>
      </c>
      <c r="P673" t="s">
        <v>46</v>
      </c>
      <c r="Q673" t="s">
        <v>47</v>
      </c>
      <c r="R673" t="s">
        <v>48</v>
      </c>
      <c r="V673" t="s">
        <v>49</v>
      </c>
      <c r="X673" t="s">
        <v>49</v>
      </c>
      <c r="Y673" t="s">
        <v>74</v>
      </c>
      <c r="Z673" t="s">
        <v>1159</v>
      </c>
      <c r="AA673" t="s">
        <v>1159</v>
      </c>
    </row>
    <row r="674" spans="1:27" x14ac:dyDescent="0.35">
      <c r="A674" t="str">
        <f t="shared" si="21"/>
        <v>2606C2</v>
      </c>
      <c r="B674" t="str">
        <f t="shared" si="20"/>
        <v>2606</v>
      </c>
      <c r="C674" t="s">
        <v>1164</v>
      </c>
      <c r="D674" t="s">
        <v>1</v>
      </c>
      <c r="E674" t="s">
        <v>65</v>
      </c>
      <c r="F674" t="s">
        <v>66</v>
      </c>
      <c r="G674" t="s">
        <v>757</v>
      </c>
      <c r="H674" t="s">
        <v>42</v>
      </c>
      <c r="I674" t="s">
        <v>67</v>
      </c>
      <c r="J674" t="s">
        <v>1158</v>
      </c>
      <c r="M674" t="s">
        <v>106</v>
      </c>
      <c r="P674" t="s">
        <v>69</v>
      </c>
      <c r="Q674" t="s">
        <v>47</v>
      </c>
      <c r="R674" t="s">
        <v>48</v>
      </c>
      <c r="V674" t="s">
        <v>49</v>
      </c>
      <c r="X674" t="s">
        <v>49</v>
      </c>
      <c r="Y674" t="s">
        <v>70</v>
      </c>
      <c r="Z674" t="s">
        <v>1155</v>
      </c>
      <c r="AA674" t="s">
        <v>1155</v>
      </c>
    </row>
    <row r="675" spans="1:27" x14ac:dyDescent="0.35">
      <c r="A675" t="str">
        <f t="shared" si="21"/>
        <v>2606D7</v>
      </c>
      <c r="B675" t="str">
        <f t="shared" si="20"/>
        <v>2606</v>
      </c>
      <c r="C675" t="s">
        <v>1165</v>
      </c>
      <c r="D675" t="s">
        <v>6</v>
      </c>
      <c r="E675" t="s">
        <v>94</v>
      </c>
      <c r="F675" t="s">
        <v>111</v>
      </c>
      <c r="G675" t="s">
        <v>757</v>
      </c>
      <c r="H675" t="s">
        <v>42</v>
      </c>
      <c r="I675" t="s">
        <v>43</v>
      </c>
      <c r="J675" t="s">
        <v>1158</v>
      </c>
      <c r="M675" t="s">
        <v>106</v>
      </c>
      <c r="P675" t="s">
        <v>46</v>
      </c>
      <c r="Q675" t="s">
        <v>47</v>
      </c>
      <c r="R675" t="s">
        <v>48</v>
      </c>
      <c r="V675" t="s">
        <v>49</v>
      </c>
      <c r="X675" t="s">
        <v>49</v>
      </c>
      <c r="Y675" t="s">
        <v>59</v>
      </c>
      <c r="Z675" t="s">
        <v>1147</v>
      </c>
      <c r="AA675" t="s">
        <v>1147</v>
      </c>
    </row>
    <row r="676" spans="1:27" x14ac:dyDescent="0.35">
      <c r="A676" t="str">
        <f t="shared" si="21"/>
        <v>2605F2</v>
      </c>
      <c r="B676" t="str">
        <f t="shared" si="20"/>
        <v>2605</v>
      </c>
      <c r="C676" t="s">
        <v>1166</v>
      </c>
      <c r="D676" t="s">
        <v>4</v>
      </c>
      <c r="E676" t="s">
        <v>77</v>
      </c>
      <c r="F676" t="s">
        <v>78</v>
      </c>
      <c r="G676" t="s">
        <v>757</v>
      </c>
      <c r="H676" t="s">
        <v>42</v>
      </c>
      <c r="I676" t="s">
        <v>67</v>
      </c>
      <c r="J676" t="s">
        <v>1167</v>
      </c>
      <c r="M676" t="s">
        <v>106</v>
      </c>
      <c r="P676" t="s">
        <v>178</v>
      </c>
      <c r="Q676" t="s">
        <v>47</v>
      </c>
      <c r="R676" t="s">
        <v>48</v>
      </c>
      <c r="V676" t="s">
        <v>49</v>
      </c>
      <c r="X676" t="s">
        <v>49</v>
      </c>
      <c r="Y676" t="s">
        <v>74</v>
      </c>
      <c r="Z676" t="s">
        <v>1168</v>
      </c>
      <c r="AA676" t="s">
        <v>1168</v>
      </c>
    </row>
    <row r="677" spans="1:27" x14ac:dyDescent="0.35">
      <c r="A677" t="str">
        <f t="shared" si="21"/>
        <v>2605D4</v>
      </c>
      <c r="B677" t="str">
        <f t="shared" si="20"/>
        <v>2605</v>
      </c>
      <c r="C677" t="s">
        <v>1169</v>
      </c>
      <c r="D677" t="s">
        <v>3</v>
      </c>
      <c r="E677" t="s">
        <v>52</v>
      </c>
      <c r="F677" t="s">
        <v>53</v>
      </c>
      <c r="G677" t="s">
        <v>757</v>
      </c>
      <c r="H677" t="s">
        <v>42</v>
      </c>
      <c r="I677" t="s">
        <v>43</v>
      </c>
      <c r="J677" t="s">
        <v>1167</v>
      </c>
      <c r="K677" t="s">
        <v>56</v>
      </c>
      <c r="M677" t="s">
        <v>106</v>
      </c>
      <c r="P677" t="s">
        <v>58</v>
      </c>
      <c r="Q677" t="s">
        <v>47</v>
      </c>
      <c r="R677" t="s">
        <v>48</v>
      </c>
      <c r="V677" t="s">
        <v>49</v>
      </c>
      <c r="X677" t="s">
        <v>49</v>
      </c>
      <c r="Y677" t="s">
        <v>59</v>
      </c>
      <c r="Z677" t="s">
        <v>1129</v>
      </c>
      <c r="AA677" t="s">
        <v>1129</v>
      </c>
    </row>
    <row r="678" spans="1:27" x14ac:dyDescent="0.35">
      <c r="A678" t="str">
        <f t="shared" si="21"/>
        <v>2605D2</v>
      </c>
      <c r="B678" t="str">
        <f t="shared" si="20"/>
        <v>2605</v>
      </c>
      <c r="C678" t="s">
        <v>1170</v>
      </c>
      <c r="D678" t="s">
        <v>2</v>
      </c>
      <c r="E678" t="s">
        <v>62</v>
      </c>
      <c r="F678" t="s">
        <v>63</v>
      </c>
      <c r="G678" t="s">
        <v>757</v>
      </c>
      <c r="H678" t="s">
        <v>42</v>
      </c>
      <c r="I678" t="s">
        <v>43</v>
      </c>
      <c r="J678" t="s">
        <v>1167</v>
      </c>
      <c r="K678" t="s">
        <v>56</v>
      </c>
      <c r="M678" t="s">
        <v>106</v>
      </c>
      <c r="P678" t="s">
        <v>58</v>
      </c>
      <c r="Q678" t="s">
        <v>47</v>
      </c>
      <c r="R678" t="s">
        <v>48</v>
      </c>
      <c r="V678" t="s">
        <v>49</v>
      </c>
      <c r="X678" t="s">
        <v>49</v>
      </c>
      <c r="Y678" t="s">
        <v>59</v>
      </c>
      <c r="Z678" t="s">
        <v>1129</v>
      </c>
      <c r="AA678" t="s">
        <v>1129</v>
      </c>
    </row>
    <row r="679" spans="1:27" x14ac:dyDescent="0.35">
      <c r="A679" t="str">
        <f t="shared" si="21"/>
        <v>2605F3</v>
      </c>
      <c r="B679" t="str">
        <f t="shared" si="20"/>
        <v>2605</v>
      </c>
      <c r="C679" t="s">
        <v>1171</v>
      </c>
      <c r="D679" t="s">
        <v>5</v>
      </c>
      <c r="E679" t="s">
        <v>40</v>
      </c>
      <c r="F679" t="s">
        <v>73</v>
      </c>
      <c r="G679" t="s">
        <v>757</v>
      </c>
      <c r="H679" t="s">
        <v>42</v>
      </c>
      <c r="I679" t="s">
        <v>67</v>
      </c>
      <c r="J679" t="s">
        <v>1167</v>
      </c>
      <c r="M679" t="s">
        <v>106</v>
      </c>
      <c r="P679" t="s">
        <v>46</v>
      </c>
      <c r="Q679" t="s">
        <v>47</v>
      </c>
      <c r="R679" t="s">
        <v>48</v>
      </c>
      <c r="V679" t="s">
        <v>49</v>
      </c>
      <c r="X679" t="s">
        <v>49</v>
      </c>
      <c r="Y679" t="s">
        <v>74</v>
      </c>
      <c r="Z679" t="s">
        <v>1168</v>
      </c>
      <c r="AA679" t="s">
        <v>1168</v>
      </c>
    </row>
    <row r="680" spans="1:27" x14ac:dyDescent="0.35">
      <c r="A680" t="str">
        <f t="shared" si="21"/>
        <v>2605C2</v>
      </c>
      <c r="B680" t="str">
        <f t="shared" si="20"/>
        <v>2605</v>
      </c>
      <c r="C680" t="s">
        <v>1172</v>
      </c>
      <c r="D680" t="s">
        <v>1</v>
      </c>
      <c r="E680" t="s">
        <v>65</v>
      </c>
      <c r="F680" t="s">
        <v>66</v>
      </c>
      <c r="G680" t="s">
        <v>757</v>
      </c>
      <c r="H680" t="s">
        <v>42</v>
      </c>
      <c r="I680" t="s">
        <v>67</v>
      </c>
      <c r="J680" t="s">
        <v>1167</v>
      </c>
      <c r="M680" t="s">
        <v>106</v>
      </c>
      <c r="P680" t="s">
        <v>69</v>
      </c>
      <c r="Q680" t="s">
        <v>47</v>
      </c>
      <c r="R680" t="s">
        <v>48</v>
      </c>
      <c r="V680" t="s">
        <v>49</v>
      </c>
      <c r="X680" t="s">
        <v>49</v>
      </c>
      <c r="Y680" t="s">
        <v>70</v>
      </c>
      <c r="Z680" t="s">
        <v>1173</v>
      </c>
      <c r="AA680" t="s">
        <v>1173</v>
      </c>
    </row>
    <row r="681" spans="1:27" x14ac:dyDescent="0.35">
      <c r="A681" t="str">
        <f t="shared" si="21"/>
        <v>2605D7</v>
      </c>
      <c r="B681" t="str">
        <f t="shared" si="20"/>
        <v>2605</v>
      </c>
      <c r="C681" t="s">
        <v>1174</v>
      </c>
      <c r="D681" t="s">
        <v>6</v>
      </c>
      <c r="E681" t="s">
        <v>94</v>
      </c>
      <c r="F681" t="s">
        <v>111</v>
      </c>
      <c r="G681" t="s">
        <v>757</v>
      </c>
      <c r="H681" t="s">
        <v>42</v>
      </c>
      <c r="I681" t="s">
        <v>43</v>
      </c>
      <c r="J681" t="s">
        <v>1167</v>
      </c>
      <c r="M681" t="s">
        <v>106</v>
      </c>
      <c r="P681" t="s">
        <v>46</v>
      </c>
      <c r="Q681" t="s">
        <v>47</v>
      </c>
      <c r="R681" t="s">
        <v>48</v>
      </c>
      <c r="V681" t="s">
        <v>49</v>
      </c>
      <c r="X681" t="s">
        <v>49</v>
      </c>
      <c r="Y681" t="s">
        <v>59</v>
      </c>
      <c r="Z681" t="s">
        <v>1175</v>
      </c>
      <c r="AA681" t="s">
        <v>1175</v>
      </c>
    </row>
    <row r="682" spans="1:27" x14ac:dyDescent="0.35">
      <c r="A682" t="str">
        <f t="shared" si="21"/>
        <v>2604F2</v>
      </c>
      <c r="B682" t="str">
        <f t="shared" si="20"/>
        <v>2604</v>
      </c>
      <c r="C682" t="s">
        <v>1176</v>
      </c>
      <c r="D682" t="s">
        <v>4</v>
      </c>
      <c r="E682" t="s">
        <v>77</v>
      </c>
      <c r="F682" t="s">
        <v>78</v>
      </c>
      <c r="G682" t="s">
        <v>757</v>
      </c>
      <c r="H682" t="s">
        <v>42</v>
      </c>
      <c r="I682" t="s">
        <v>67</v>
      </c>
      <c r="J682" t="s">
        <v>1177</v>
      </c>
      <c r="M682" t="s">
        <v>106</v>
      </c>
      <c r="P682" t="s">
        <v>138</v>
      </c>
      <c r="Q682" t="s">
        <v>47</v>
      </c>
      <c r="R682" t="s">
        <v>48</v>
      </c>
      <c r="V682" t="s">
        <v>49</v>
      </c>
      <c r="X682" t="s">
        <v>49</v>
      </c>
      <c r="Y682" t="s">
        <v>74</v>
      </c>
      <c r="Z682" t="s">
        <v>1178</v>
      </c>
      <c r="AA682" t="s">
        <v>1178</v>
      </c>
    </row>
    <row r="683" spans="1:27" x14ac:dyDescent="0.35">
      <c r="A683" t="str">
        <f t="shared" si="21"/>
        <v>2604D4</v>
      </c>
      <c r="B683" t="str">
        <f t="shared" si="20"/>
        <v>2604</v>
      </c>
      <c r="C683" t="s">
        <v>1179</v>
      </c>
      <c r="D683" t="s">
        <v>3</v>
      </c>
      <c r="E683" t="s">
        <v>52</v>
      </c>
      <c r="F683" t="s">
        <v>53</v>
      </c>
      <c r="G683" t="s">
        <v>757</v>
      </c>
      <c r="H683" t="s">
        <v>42</v>
      </c>
      <c r="I683" t="s">
        <v>43</v>
      </c>
      <c r="J683" t="s">
        <v>1177</v>
      </c>
      <c r="K683" t="s">
        <v>56</v>
      </c>
      <c r="M683" t="s">
        <v>106</v>
      </c>
      <c r="P683" t="s">
        <v>69</v>
      </c>
      <c r="Q683" t="s">
        <v>47</v>
      </c>
      <c r="R683" t="s">
        <v>48</v>
      </c>
      <c r="V683" t="s">
        <v>49</v>
      </c>
      <c r="X683" t="s">
        <v>49</v>
      </c>
      <c r="Y683" t="s">
        <v>59</v>
      </c>
      <c r="Z683" t="s">
        <v>1180</v>
      </c>
      <c r="AA683" t="s">
        <v>1181</v>
      </c>
    </row>
    <row r="684" spans="1:27" x14ac:dyDescent="0.35">
      <c r="A684" t="str">
        <f t="shared" si="21"/>
        <v>2604D2</v>
      </c>
      <c r="B684" t="str">
        <f t="shared" si="20"/>
        <v>2604</v>
      </c>
      <c r="C684" t="s">
        <v>1182</v>
      </c>
      <c r="D684" t="s">
        <v>2</v>
      </c>
      <c r="E684" t="s">
        <v>62</v>
      </c>
      <c r="F684" t="s">
        <v>63</v>
      </c>
      <c r="G684" t="s">
        <v>757</v>
      </c>
      <c r="H684" t="s">
        <v>42</v>
      </c>
      <c r="I684" t="s">
        <v>43</v>
      </c>
      <c r="J684" t="s">
        <v>1177</v>
      </c>
      <c r="K684" t="s">
        <v>56</v>
      </c>
      <c r="M684" t="s">
        <v>106</v>
      </c>
      <c r="P684" t="s">
        <v>69</v>
      </c>
      <c r="Q684" t="s">
        <v>47</v>
      </c>
      <c r="R684" t="s">
        <v>48</v>
      </c>
      <c r="V684" t="s">
        <v>49</v>
      </c>
      <c r="X684" t="s">
        <v>49</v>
      </c>
      <c r="Y684" t="s">
        <v>59</v>
      </c>
      <c r="Z684" t="s">
        <v>1183</v>
      </c>
      <c r="AA684" t="s">
        <v>1184</v>
      </c>
    </row>
    <row r="685" spans="1:27" x14ac:dyDescent="0.35">
      <c r="A685" t="str">
        <f t="shared" si="21"/>
        <v>2604F3</v>
      </c>
      <c r="B685" t="str">
        <f t="shared" si="20"/>
        <v>2604</v>
      </c>
      <c r="C685" t="s">
        <v>1185</v>
      </c>
      <c r="D685" t="s">
        <v>5</v>
      </c>
      <c r="E685" t="s">
        <v>40</v>
      </c>
      <c r="F685" t="s">
        <v>73</v>
      </c>
      <c r="G685" t="s">
        <v>757</v>
      </c>
      <c r="H685" t="s">
        <v>42</v>
      </c>
      <c r="I685" t="s">
        <v>67</v>
      </c>
      <c r="J685" t="s">
        <v>1177</v>
      </c>
      <c r="M685" t="s">
        <v>106</v>
      </c>
      <c r="P685" t="s">
        <v>46</v>
      </c>
      <c r="Q685" t="s">
        <v>47</v>
      </c>
      <c r="R685" t="s">
        <v>48</v>
      </c>
      <c r="V685" t="s">
        <v>49</v>
      </c>
      <c r="X685" t="s">
        <v>49</v>
      </c>
      <c r="Y685" t="s">
        <v>74</v>
      </c>
      <c r="Z685" t="s">
        <v>1178</v>
      </c>
      <c r="AA685" t="s">
        <v>1178</v>
      </c>
    </row>
    <row r="686" spans="1:27" x14ac:dyDescent="0.35">
      <c r="A686" t="str">
        <f t="shared" si="21"/>
        <v>2604C2</v>
      </c>
      <c r="B686" t="str">
        <f t="shared" si="20"/>
        <v>2604</v>
      </c>
      <c r="C686" t="s">
        <v>1186</v>
      </c>
      <c r="D686" t="s">
        <v>1</v>
      </c>
      <c r="E686" t="s">
        <v>65</v>
      </c>
      <c r="F686" t="s">
        <v>66</v>
      </c>
      <c r="G686" t="s">
        <v>757</v>
      </c>
      <c r="H686" t="s">
        <v>42</v>
      </c>
      <c r="I686" t="s">
        <v>67</v>
      </c>
      <c r="J686" t="s">
        <v>1177</v>
      </c>
      <c r="M686" t="s">
        <v>106</v>
      </c>
      <c r="P686" t="s">
        <v>69</v>
      </c>
      <c r="Q686" t="s">
        <v>47</v>
      </c>
      <c r="R686" t="s">
        <v>48</v>
      </c>
      <c r="V686" t="s">
        <v>49</v>
      </c>
      <c r="X686" t="s">
        <v>49</v>
      </c>
      <c r="Y686" t="s">
        <v>70</v>
      </c>
      <c r="Z686" t="s">
        <v>1187</v>
      </c>
      <c r="AA686" t="s">
        <v>1184</v>
      </c>
    </row>
    <row r="687" spans="1:27" x14ac:dyDescent="0.35">
      <c r="A687" t="str">
        <f t="shared" si="21"/>
        <v>2604D7</v>
      </c>
      <c r="B687" t="str">
        <f t="shared" si="20"/>
        <v>2604</v>
      </c>
      <c r="C687" t="s">
        <v>1188</v>
      </c>
      <c r="D687" t="s">
        <v>6</v>
      </c>
      <c r="E687" t="s">
        <v>94</v>
      </c>
      <c r="F687" t="s">
        <v>111</v>
      </c>
      <c r="G687" t="s">
        <v>757</v>
      </c>
      <c r="H687" t="s">
        <v>42</v>
      </c>
      <c r="I687" t="s">
        <v>43</v>
      </c>
      <c r="J687" t="s">
        <v>1177</v>
      </c>
      <c r="M687" t="s">
        <v>106</v>
      </c>
      <c r="P687" t="s">
        <v>46</v>
      </c>
      <c r="Q687" t="s">
        <v>47</v>
      </c>
      <c r="R687" t="s">
        <v>48</v>
      </c>
      <c r="V687" t="s">
        <v>49</v>
      </c>
      <c r="X687" t="s">
        <v>49</v>
      </c>
      <c r="Y687" t="s">
        <v>59</v>
      </c>
      <c r="Z687" t="s">
        <v>1189</v>
      </c>
      <c r="AA687" t="s">
        <v>1189</v>
      </c>
    </row>
    <row r="688" spans="1:27" x14ac:dyDescent="0.35">
      <c r="A688" t="str">
        <f t="shared" si="21"/>
        <v>2603F2</v>
      </c>
      <c r="B688" t="str">
        <f t="shared" si="20"/>
        <v>2603</v>
      </c>
      <c r="C688" t="s">
        <v>1190</v>
      </c>
      <c r="D688" t="s">
        <v>4</v>
      </c>
      <c r="E688" t="s">
        <v>77</v>
      </c>
      <c r="F688" t="s">
        <v>78</v>
      </c>
      <c r="G688" t="s">
        <v>757</v>
      </c>
      <c r="H688" t="s">
        <v>42</v>
      </c>
      <c r="I688" t="s">
        <v>67</v>
      </c>
      <c r="J688" t="s">
        <v>1191</v>
      </c>
      <c r="M688" t="s">
        <v>106</v>
      </c>
      <c r="P688" t="s">
        <v>91</v>
      </c>
      <c r="Q688" t="s">
        <v>47</v>
      </c>
      <c r="R688" t="s">
        <v>48</v>
      </c>
      <c r="V688" t="s">
        <v>49</v>
      </c>
      <c r="X688" t="s">
        <v>49</v>
      </c>
      <c r="Y688" t="s">
        <v>74</v>
      </c>
      <c r="Z688" t="s">
        <v>1192</v>
      </c>
      <c r="AA688" t="s">
        <v>1192</v>
      </c>
    </row>
    <row r="689" spans="1:27" x14ac:dyDescent="0.35">
      <c r="A689" t="str">
        <f t="shared" si="21"/>
        <v>2603D4</v>
      </c>
      <c r="B689" t="str">
        <f t="shared" si="20"/>
        <v>2603</v>
      </c>
      <c r="C689" t="s">
        <v>1193</v>
      </c>
      <c r="D689" t="s">
        <v>3</v>
      </c>
      <c r="E689" t="s">
        <v>52</v>
      </c>
      <c r="F689" t="s">
        <v>53</v>
      </c>
      <c r="G689" t="s">
        <v>757</v>
      </c>
      <c r="H689" t="s">
        <v>42</v>
      </c>
      <c r="I689" t="s">
        <v>43</v>
      </c>
      <c r="J689" t="s">
        <v>1191</v>
      </c>
      <c r="K689" t="s">
        <v>56</v>
      </c>
      <c r="M689" t="s">
        <v>106</v>
      </c>
      <c r="P689" t="s">
        <v>69</v>
      </c>
      <c r="Q689" t="s">
        <v>47</v>
      </c>
      <c r="R689" t="s">
        <v>48</v>
      </c>
      <c r="V689" t="s">
        <v>49</v>
      </c>
      <c r="X689" t="s">
        <v>49</v>
      </c>
      <c r="Y689" t="s">
        <v>59</v>
      </c>
      <c r="Z689" t="s">
        <v>1194</v>
      </c>
      <c r="AA689" t="s">
        <v>1184</v>
      </c>
    </row>
    <row r="690" spans="1:27" x14ac:dyDescent="0.35">
      <c r="A690" t="str">
        <f t="shared" si="21"/>
        <v>2603D2</v>
      </c>
      <c r="B690" t="str">
        <f t="shared" si="20"/>
        <v>2603</v>
      </c>
      <c r="C690" t="s">
        <v>1195</v>
      </c>
      <c r="D690" t="s">
        <v>2</v>
      </c>
      <c r="E690" t="s">
        <v>62</v>
      </c>
      <c r="F690" t="s">
        <v>63</v>
      </c>
      <c r="G690" t="s">
        <v>757</v>
      </c>
      <c r="H690" t="s">
        <v>42</v>
      </c>
      <c r="I690" t="s">
        <v>43</v>
      </c>
      <c r="J690" t="s">
        <v>1191</v>
      </c>
      <c r="K690" t="s">
        <v>56</v>
      </c>
      <c r="M690" t="s">
        <v>106</v>
      </c>
      <c r="P690" t="s">
        <v>69</v>
      </c>
      <c r="Q690" t="s">
        <v>47</v>
      </c>
      <c r="R690" t="s">
        <v>48</v>
      </c>
      <c r="V690" t="s">
        <v>49</v>
      </c>
      <c r="X690" t="s">
        <v>49</v>
      </c>
      <c r="Y690" t="s">
        <v>59</v>
      </c>
      <c r="Z690" t="s">
        <v>1180</v>
      </c>
      <c r="AA690" t="s">
        <v>1196</v>
      </c>
    </row>
    <row r="691" spans="1:27" x14ac:dyDescent="0.35">
      <c r="A691" t="str">
        <f t="shared" si="21"/>
        <v>2603F3</v>
      </c>
      <c r="B691" t="str">
        <f t="shared" si="20"/>
        <v>2603</v>
      </c>
      <c r="C691" t="s">
        <v>1197</v>
      </c>
      <c r="D691" t="s">
        <v>5</v>
      </c>
      <c r="E691" t="s">
        <v>40</v>
      </c>
      <c r="F691" t="s">
        <v>73</v>
      </c>
      <c r="G691" t="s">
        <v>757</v>
      </c>
      <c r="H691" t="s">
        <v>42</v>
      </c>
      <c r="I691" t="s">
        <v>67</v>
      </c>
      <c r="J691" t="s">
        <v>1191</v>
      </c>
      <c r="M691" t="s">
        <v>106</v>
      </c>
      <c r="P691" t="s">
        <v>46</v>
      </c>
      <c r="Q691" t="s">
        <v>47</v>
      </c>
      <c r="R691" t="s">
        <v>48</v>
      </c>
      <c r="V691" t="s">
        <v>49</v>
      </c>
      <c r="X691" t="s">
        <v>49</v>
      </c>
      <c r="Y691" t="s">
        <v>74</v>
      </c>
      <c r="Z691" t="s">
        <v>1198</v>
      </c>
      <c r="AA691" t="s">
        <v>1198</v>
      </c>
    </row>
    <row r="692" spans="1:27" x14ac:dyDescent="0.35">
      <c r="A692" t="str">
        <f t="shared" si="21"/>
        <v>2603C2</v>
      </c>
      <c r="B692" t="str">
        <f t="shared" si="20"/>
        <v>2603</v>
      </c>
      <c r="C692" t="s">
        <v>1199</v>
      </c>
      <c r="D692" t="s">
        <v>1</v>
      </c>
      <c r="E692" t="s">
        <v>65</v>
      </c>
      <c r="F692" t="s">
        <v>66</v>
      </c>
      <c r="G692" t="s">
        <v>757</v>
      </c>
      <c r="H692" t="s">
        <v>42</v>
      </c>
      <c r="I692" t="s">
        <v>67</v>
      </c>
      <c r="J692" t="s">
        <v>1191</v>
      </c>
      <c r="M692" t="s">
        <v>106</v>
      </c>
      <c r="P692" t="s">
        <v>69</v>
      </c>
      <c r="Q692" t="s">
        <v>47</v>
      </c>
      <c r="R692" t="s">
        <v>48</v>
      </c>
      <c r="V692" t="s">
        <v>49</v>
      </c>
      <c r="X692" t="s">
        <v>49</v>
      </c>
      <c r="Y692" t="s">
        <v>70</v>
      </c>
      <c r="Z692" t="s">
        <v>1200</v>
      </c>
      <c r="AA692" t="s">
        <v>1200</v>
      </c>
    </row>
    <row r="693" spans="1:27" x14ac:dyDescent="0.35">
      <c r="A693" t="str">
        <f t="shared" si="21"/>
        <v>2603D7</v>
      </c>
      <c r="B693" t="str">
        <f t="shared" si="20"/>
        <v>2603</v>
      </c>
      <c r="C693" t="s">
        <v>1201</v>
      </c>
      <c r="D693" t="s">
        <v>6</v>
      </c>
      <c r="E693" t="s">
        <v>94</v>
      </c>
      <c r="F693" t="s">
        <v>111</v>
      </c>
      <c r="G693" t="s">
        <v>757</v>
      </c>
      <c r="H693" t="s">
        <v>42</v>
      </c>
      <c r="I693" t="s">
        <v>43</v>
      </c>
      <c r="J693" t="s">
        <v>1191</v>
      </c>
      <c r="M693" t="s">
        <v>106</v>
      </c>
      <c r="P693" t="s">
        <v>46</v>
      </c>
      <c r="Q693" t="s">
        <v>47</v>
      </c>
      <c r="R693" t="s">
        <v>48</v>
      </c>
      <c r="V693" t="s">
        <v>49</v>
      </c>
      <c r="X693" t="s">
        <v>49</v>
      </c>
      <c r="Y693" t="s">
        <v>59</v>
      </c>
      <c r="Z693" t="s">
        <v>1189</v>
      </c>
      <c r="AA693" t="s">
        <v>1189</v>
      </c>
    </row>
    <row r="694" spans="1:27" x14ac:dyDescent="0.35">
      <c r="A694" t="str">
        <f t="shared" si="21"/>
        <v>2602F2</v>
      </c>
      <c r="B694" t="str">
        <f t="shared" si="20"/>
        <v>2602</v>
      </c>
      <c r="C694" t="s">
        <v>1202</v>
      </c>
      <c r="D694" t="s">
        <v>4</v>
      </c>
      <c r="E694" t="s">
        <v>77</v>
      </c>
      <c r="F694" t="s">
        <v>78</v>
      </c>
      <c r="G694" t="s">
        <v>757</v>
      </c>
      <c r="H694" t="s">
        <v>42</v>
      </c>
      <c r="I694" t="s">
        <v>67</v>
      </c>
      <c r="J694" t="s">
        <v>1203</v>
      </c>
      <c r="M694" t="s">
        <v>106</v>
      </c>
      <c r="P694" t="s">
        <v>710</v>
      </c>
      <c r="Q694" t="s">
        <v>47</v>
      </c>
      <c r="R694" t="s">
        <v>48</v>
      </c>
      <c r="V694" t="s">
        <v>49</v>
      </c>
      <c r="X694" t="s">
        <v>49</v>
      </c>
      <c r="Y694" t="s">
        <v>74</v>
      </c>
      <c r="Z694" t="s">
        <v>1192</v>
      </c>
      <c r="AA694" t="s">
        <v>1192</v>
      </c>
    </row>
    <row r="695" spans="1:27" x14ac:dyDescent="0.35">
      <c r="A695" t="str">
        <f t="shared" si="21"/>
        <v>2602D4</v>
      </c>
      <c r="B695" t="str">
        <f t="shared" si="20"/>
        <v>2602</v>
      </c>
      <c r="C695" t="s">
        <v>1204</v>
      </c>
      <c r="D695" t="s">
        <v>3</v>
      </c>
      <c r="E695" t="s">
        <v>52</v>
      </c>
      <c r="F695" t="s">
        <v>53</v>
      </c>
      <c r="G695" t="s">
        <v>757</v>
      </c>
      <c r="H695" t="s">
        <v>42</v>
      </c>
      <c r="I695" t="s">
        <v>43</v>
      </c>
      <c r="J695" t="s">
        <v>1203</v>
      </c>
      <c r="K695" t="s">
        <v>56</v>
      </c>
      <c r="M695" t="s">
        <v>106</v>
      </c>
      <c r="P695" t="s">
        <v>58</v>
      </c>
      <c r="Q695" t="s">
        <v>47</v>
      </c>
      <c r="R695" t="s">
        <v>48</v>
      </c>
      <c r="V695" t="s">
        <v>49</v>
      </c>
      <c r="X695" t="s">
        <v>49</v>
      </c>
      <c r="Y695" t="s">
        <v>59</v>
      </c>
      <c r="Z695" t="s">
        <v>1205</v>
      </c>
      <c r="AA695" t="s">
        <v>1205</v>
      </c>
    </row>
    <row r="696" spans="1:27" x14ac:dyDescent="0.35">
      <c r="A696" t="str">
        <f t="shared" si="21"/>
        <v>2602D2</v>
      </c>
      <c r="B696" t="str">
        <f t="shared" si="20"/>
        <v>2602</v>
      </c>
      <c r="C696" t="s">
        <v>1206</v>
      </c>
      <c r="D696" t="s">
        <v>2</v>
      </c>
      <c r="E696" t="s">
        <v>62</v>
      </c>
      <c r="F696" t="s">
        <v>63</v>
      </c>
      <c r="G696" t="s">
        <v>757</v>
      </c>
      <c r="H696" t="s">
        <v>42</v>
      </c>
      <c r="I696" t="s">
        <v>43</v>
      </c>
      <c r="J696" t="s">
        <v>1203</v>
      </c>
      <c r="K696" t="s">
        <v>56</v>
      </c>
      <c r="M696" t="s">
        <v>106</v>
      </c>
      <c r="P696" t="s">
        <v>58</v>
      </c>
      <c r="Q696" t="s">
        <v>47</v>
      </c>
      <c r="R696" t="s">
        <v>48</v>
      </c>
      <c r="V696" t="s">
        <v>49</v>
      </c>
      <c r="X696" t="s">
        <v>49</v>
      </c>
      <c r="Y696" t="s">
        <v>59</v>
      </c>
      <c r="Z696" t="s">
        <v>1205</v>
      </c>
      <c r="AA696" t="s">
        <v>1205</v>
      </c>
    </row>
    <row r="697" spans="1:27" x14ac:dyDescent="0.35">
      <c r="A697" t="str">
        <f t="shared" si="21"/>
        <v>2602F3</v>
      </c>
      <c r="B697" t="str">
        <f t="shared" si="20"/>
        <v>2602</v>
      </c>
      <c r="C697" t="s">
        <v>1207</v>
      </c>
      <c r="D697" t="s">
        <v>5</v>
      </c>
      <c r="E697" t="s">
        <v>40</v>
      </c>
      <c r="F697" t="s">
        <v>73</v>
      </c>
      <c r="G697" t="s">
        <v>757</v>
      </c>
      <c r="H697" t="s">
        <v>42</v>
      </c>
      <c r="I697" t="s">
        <v>67</v>
      </c>
      <c r="J697" t="s">
        <v>1203</v>
      </c>
      <c r="M697" t="s">
        <v>106</v>
      </c>
      <c r="P697" t="s">
        <v>46</v>
      </c>
      <c r="Q697" t="s">
        <v>47</v>
      </c>
      <c r="R697" t="s">
        <v>48</v>
      </c>
      <c r="V697" t="s">
        <v>49</v>
      </c>
      <c r="X697" t="s">
        <v>49</v>
      </c>
      <c r="Y697" t="s">
        <v>74</v>
      </c>
      <c r="Z697" t="s">
        <v>1198</v>
      </c>
      <c r="AA697" t="s">
        <v>1198</v>
      </c>
    </row>
    <row r="698" spans="1:27" x14ac:dyDescent="0.35">
      <c r="A698" t="str">
        <f t="shared" si="21"/>
        <v>2602C2</v>
      </c>
      <c r="B698" t="str">
        <f t="shared" si="20"/>
        <v>2602</v>
      </c>
      <c r="C698" t="s">
        <v>1208</v>
      </c>
      <c r="D698" t="s">
        <v>1</v>
      </c>
      <c r="E698" t="s">
        <v>65</v>
      </c>
      <c r="F698" t="s">
        <v>66</v>
      </c>
      <c r="G698" t="s">
        <v>757</v>
      </c>
      <c r="H698" t="s">
        <v>42</v>
      </c>
      <c r="I698" t="s">
        <v>67</v>
      </c>
      <c r="J698" t="s">
        <v>1203</v>
      </c>
      <c r="M698" t="s">
        <v>106</v>
      </c>
      <c r="P698" t="s">
        <v>69</v>
      </c>
      <c r="Q698" t="s">
        <v>47</v>
      </c>
      <c r="R698" t="s">
        <v>48</v>
      </c>
      <c r="V698" t="s">
        <v>49</v>
      </c>
      <c r="X698" t="s">
        <v>49</v>
      </c>
      <c r="Y698" t="s">
        <v>70</v>
      </c>
      <c r="Z698" t="s">
        <v>1173</v>
      </c>
      <c r="AA698" t="s">
        <v>1173</v>
      </c>
    </row>
    <row r="699" spans="1:27" x14ac:dyDescent="0.35">
      <c r="A699" t="str">
        <f t="shared" si="21"/>
        <v>2602D7</v>
      </c>
      <c r="B699" t="str">
        <f t="shared" si="20"/>
        <v>2602</v>
      </c>
      <c r="C699" t="s">
        <v>1209</v>
      </c>
      <c r="D699" t="s">
        <v>6</v>
      </c>
      <c r="E699" t="s">
        <v>94</v>
      </c>
      <c r="F699" t="s">
        <v>111</v>
      </c>
      <c r="G699" t="s">
        <v>757</v>
      </c>
      <c r="H699" t="s">
        <v>42</v>
      </c>
      <c r="I699" t="s">
        <v>43</v>
      </c>
      <c r="J699" t="s">
        <v>1203</v>
      </c>
      <c r="M699" t="s">
        <v>106</v>
      </c>
      <c r="P699" t="s">
        <v>46</v>
      </c>
      <c r="Q699" t="s">
        <v>47</v>
      </c>
      <c r="R699" t="s">
        <v>48</v>
      </c>
      <c r="V699" t="s">
        <v>49</v>
      </c>
      <c r="X699" t="s">
        <v>49</v>
      </c>
      <c r="Y699" t="s">
        <v>59</v>
      </c>
      <c r="Z699" t="s">
        <v>1189</v>
      </c>
      <c r="AA699" t="s">
        <v>1189</v>
      </c>
    </row>
    <row r="700" spans="1:27" x14ac:dyDescent="0.35">
      <c r="A700" t="str">
        <f t="shared" si="21"/>
        <v>2601F2</v>
      </c>
      <c r="B700" t="str">
        <f t="shared" si="20"/>
        <v>2601</v>
      </c>
      <c r="C700" t="s">
        <v>1210</v>
      </c>
      <c r="D700" t="s">
        <v>4</v>
      </c>
      <c r="E700" t="s">
        <v>77</v>
      </c>
      <c r="F700" t="s">
        <v>78</v>
      </c>
      <c r="G700" t="s">
        <v>757</v>
      </c>
      <c r="H700" t="s">
        <v>42</v>
      </c>
      <c r="I700" t="s">
        <v>67</v>
      </c>
      <c r="J700" t="s">
        <v>1211</v>
      </c>
      <c r="M700" t="s">
        <v>106</v>
      </c>
      <c r="P700" t="s">
        <v>138</v>
      </c>
      <c r="Q700" t="s">
        <v>47</v>
      </c>
      <c r="R700" t="s">
        <v>48</v>
      </c>
      <c r="V700" t="s">
        <v>49</v>
      </c>
      <c r="X700" t="s">
        <v>49</v>
      </c>
      <c r="Y700" t="s">
        <v>74</v>
      </c>
      <c r="Z700" t="s">
        <v>1192</v>
      </c>
      <c r="AA700" t="s">
        <v>1192</v>
      </c>
    </row>
    <row r="701" spans="1:27" x14ac:dyDescent="0.35">
      <c r="A701" t="str">
        <f t="shared" si="21"/>
        <v>2601D4</v>
      </c>
      <c r="B701" t="str">
        <f t="shared" si="20"/>
        <v>2601</v>
      </c>
      <c r="C701" t="s">
        <v>1212</v>
      </c>
      <c r="D701" t="s">
        <v>3</v>
      </c>
      <c r="E701" t="s">
        <v>52</v>
      </c>
      <c r="F701" t="s">
        <v>53</v>
      </c>
      <c r="G701" t="s">
        <v>757</v>
      </c>
      <c r="H701" t="s">
        <v>42</v>
      </c>
      <c r="I701" t="s">
        <v>43</v>
      </c>
      <c r="J701" t="s">
        <v>1211</v>
      </c>
      <c r="K701" t="s">
        <v>56</v>
      </c>
      <c r="M701" t="s">
        <v>106</v>
      </c>
      <c r="P701" t="s">
        <v>58</v>
      </c>
      <c r="Q701" t="s">
        <v>47</v>
      </c>
      <c r="R701" t="s">
        <v>48</v>
      </c>
      <c r="V701" t="s">
        <v>49</v>
      </c>
      <c r="X701" t="s">
        <v>49</v>
      </c>
      <c r="Y701" t="s">
        <v>59</v>
      </c>
      <c r="Z701" t="s">
        <v>1205</v>
      </c>
      <c r="AA701" t="s">
        <v>1205</v>
      </c>
    </row>
    <row r="702" spans="1:27" x14ac:dyDescent="0.35">
      <c r="A702" t="str">
        <f t="shared" si="21"/>
        <v>2601D2</v>
      </c>
      <c r="B702" t="str">
        <f t="shared" si="20"/>
        <v>2601</v>
      </c>
      <c r="C702" t="s">
        <v>1213</v>
      </c>
      <c r="D702" t="s">
        <v>2</v>
      </c>
      <c r="E702" t="s">
        <v>62</v>
      </c>
      <c r="F702" t="s">
        <v>63</v>
      </c>
      <c r="G702" t="s">
        <v>757</v>
      </c>
      <c r="H702" t="s">
        <v>42</v>
      </c>
      <c r="I702" t="s">
        <v>43</v>
      </c>
      <c r="J702" t="s">
        <v>1211</v>
      </c>
      <c r="K702" t="s">
        <v>56</v>
      </c>
      <c r="M702" t="s">
        <v>106</v>
      </c>
      <c r="P702" t="s">
        <v>58</v>
      </c>
      <c r="Q702" t="s">
        <v>47</v>
      </c>
      <c r="R702" t="s">
        <v>48</v>
      </c>
      <c r="V702" t="s">
        <v>49</v>
      </c>
      <c r="X702" t="s">
        <v>49</v>
      </c>
      <c r="Y702" t="s">
        <v>59</v>
      </c>
      <c r="Z702" t="s">
        <v>1205</v>
      </c>
      <c r="AA702" t="s">
        <v>1205</v>
      </c>
    </row>
    <row r="703" spans="1:27" x14ac:dyDescent="0.35">
      <c r="A703" t="str">
        <f t="shared" si="21"/>
        <v>2601F3</v>
      </c>
      <c r="B703" t="str">
        <f t="shared" si="20"/>
        <v>2601</v>
      </c>
      <c r="C703" t="s">
        <v>1214</v>
      </c>
      <c r="D703" t="s">
        <v>5</v>
      </c>
      <c r="E703" t="s">
        <v>40</v>
      </c>
      <c r="F703" t="s">
        <v>73</v>
      </c>
      <c r="G703" t="s">
        <v>757</v>
      </c>
      <c r="H703" t="s">
        <v>42</v>
      </c>
      <c r="I703" t="s">
        <v>67</v>
      </c>
      <c r="J703" t="s">
        <v>1211</v>
      </c>
      <c r="M703" t="s">
        <v>106</v>
      </c>
      <c r="P703" t="s">
        <v>46</v>
      </c>
      <c r="Q703" t="s">
        <v>47</v>
      </c>
      <c r="R703" t="s">
        <v>48</v>
      </c>
      <c r="V703" t="s">
        <v>49</v>
      </c>
      <c r="X703" t="s">
        <v>49</v>
      </c>
      <c r="Y703" t="s">
        <v>74</v>
      </c>
      <c r="Z703" t="s">
        <v>1215</v>
      </c>
      <c r="AA703" t="s">
        <v>1215</v>
      </c>
    </row>
    <row r="704" spans="1:27" x14ac:dyDescent="0.35">
      <c r="A704" t="str">
        <f t="shared" si="21"/>
        <v>2601C2</v>
      </c>
      <c r="B704" t="str">
        <f t="shared" si="20"/>
        <v>2601</v>
      </c>
      <c r="C704" t="s">
        <v>1216</v>
      </c>
      <c r="D704" t="s">
        <v>1</v>
      </c>
      <c r="E704" t="s">
        <v>65</v>
      </c>
      <c r="F704" t="s">
        <v>66</v>
      </c>
      <c r="G704" t="s">
        <v>757</v>
      </c>
      <c r="H704" t="s">
        <v>42</v>
      </c>
      <c r="I704" t="s">
        <v>67</v>
      </c>
      <c r="J704" t="s">
        <v>1211</v>
      </c>
      <c r="M704" t="s">
        <v>106</v>
      </c>
      <c r="P704" t="s">
        <v>69</v>
      </c>
      <c r="Q704" t="s">
        <v>47</v>
      </c>
      <c r="R704" t="s">
        <v>48</v>
      </c>
      <c r="V704" t="s">
        <v>49</v>
      </c>
      <c r="X704" t="s">
        <v>49</v>
      </c>
      <c r="Y704" t="s">
        <v>70</v>
      </c>
      <c r="Z704" t="s">
        <v>1173</v>
      </c>
      <c r="AA704" t="s">
        <v>1173</v>
      </c>
    </row>
    <row r="705" spans="1:27" x14ac:dyDescent="0.35">
      <c r="A705" t="str">
        <f t="shared" si="21"/>
        <v>2601D7</v>
      </c>
      <c r="B705" t="str">
        <f t="shared" si="20"/>
        <v>2601</v>
      </c>
      <c r="C705" t="s">
        <v>1217</v>
      </c>
      <c r="D705" t="s">
        <v>6</v>
      </c>
      <c r="E705" t="s">
        <v>94</v>
      </c>
      <c r="F705" t="s">
        <v>111</v>
      </c>
      <c r="G705" t="s">
        <v>757</v>
      </c>
      <c r="H705" t="s">
        <v>42</v>
      </c>
      <c r="I705" t="s">
        <v>43</v>
      </c>
      <c r="J705" t="s">
        <v>1211</v>
      </c>
      <c r="M705" t="s">
        <v>106</v>
      </c>
      <c r="P705" t="s">
        <v>46</v>
      </c>
      <c r="Q705" t="s">
        <v>47</v>
      </c>
      <c r="R705" t="s">
        <v>48</v>
      </c>
      <c r="V705" t="s">
        <v>49</v>
      </c>
      <c r="X705" t="s">
        <v>49</v>
      </c>
      <c r="Y705" t="s">
        <v>59</v>
      </c>
      <c r="Z705" t="s">
        <v>1218</v>
      </c>
      <c r="AA705" t="s">
        <v>1218</v>
      </c>
    </row>
    <row r="706" spans="1:27" x14ac:dyDescent="0.35">
      <c r="A706" t="str">
        <f t="shared" si="21"/>
        <v>2509F2</v>
      </c>
      <c r="B706" t="str">
        <f t="shared" ref="B706:B769" si="22">LEFT($J:$J,4)</f>
        <v>2509</v>
      </c>
      <c r="C706" t="s">
        <v>1219</v>
      </c>
      <c r="D706" t="s">
        <v>4</v>
      </c>
      <c r="E706" t="s">
        <v>77</v>
      </c>
      <c r="F706" t="s">
        <v>78</v>
      </c>
      <c r="G706" t="s">
        <v>757</v>
      </c>
      <c r="H706" t="s">
        <v>42</v>
      </c>
      <c r="I706" t="s">
        <v>67</v>
      </c>
      <c r="J706" t="s">
        <v>1220</v>
      </c>
      <c r="M706" t="s">
        <v>106</v>
      </c>
      <c r="P706" t="s">
        <v>79</v>
      </c>
      <c r="Q706" t="s">
        <v>47</v>
      </c>
      <c r="R706" t="s">
        <v>48</v>
      </c>
      <c r="V706" t="s">
        <v>49</v>
      </c>
      <c r="X706" t="s">
        <v>49</v>
      </c>
      <c r="Y706" t="s">
        <v>74</v>
      </c>
      <c r="Z706" t="s">
        <v>1221</v>
      </c>
      <c r="AA706" t="s">
        <v>1222</v>
      </c>
    </row>
    <row r="707" spans="1:27" x14ac:dyDescent="0.35">
      <c r="A707" t="str">
        <f t="shared" ref="A707:A770" si="23">B707&amp;D707</f>
        <v>2509D4</v>
      </c>
      <c r="B707" t="str">
        <f t="shared" si="22"/>
        <v>2509</v>
      </c>
      <c r="C707" t="s">
        <v>1223</v>
      </c>
      <c r="D707" t="s">
        <v>3</v>
      </c>
      <c r="E707" t="s">
        <v>52</v>
      </c>
      <c r="F707" t="s">
        <v>53</v>
      </c>
      <c r="G707" t="s">
        <v>757</v>
      </c>
      <c r="H707" t="s">
        <v>42</v>
      </c>
      <c r="I707" t="s">
        <v>43</v>
      </c>
      <c r="J707" t="s">
        <v>1220</v>
      </c>
      <c r="K707" t="s">
        <v>56</v>
      </c>
      <c r="M707" t="s">
        <v>106</v>
      </c>
      <c r="P707" t="s">
        <v>58</v>
      </c>
      <c r="Q707" t="s">
        <v>47</v>
      </c>
      <c r="R707" t="s">
        <v>48</v>
      </c>
      <c r="V707" t="s">
        <v>49</v>
      </c>
      <c r="X707" t="s">
        <v>49</v>
      </c>
      <c r="Y707" t="s">
        <v>59</v>
      </c>
      <c r="Z707" t="s">
        <v>1162</v>
      </c>
      <c r="AA707" t="s">
        <v>1162</v>
      </c>
    </row>
    <row r="708" spans="1:27" x14ac:dyDescent="0.35">
      <c r="A708" t="str">
        <f t="shared" si="23"/>
        <v>2509D2</v>
      </c>
      <c r="B708" t="str">
        <f t="shared" si="22"/>
        <v>2509</v>
      </c>
      <c r="C708" t="s">
        <v>1224</v>
      </c>
      <c r="D708" t="s">
        <v>2</v>
      </c>
      <c r="E708" t="s">
        <v>62</v>
      </c>
      <c r="F708" t="s">
        <v>63</v>
      </c>
      <c r="G708" t="s">
        <v>757</v>
      </c>
      <c r="H708" t="s">
        <v>42</v>
      </c>
      <c r="I708" t="s">
        <v>43</v>
      </c>
      <c r="J708" t="s">
        <v>1220</v>
      </c>
      <c r="K708" t="s">
        <v>56</v>
      </c>
      <c r="M708" t="s">
        <v>106</v>
      </c>
      <c r="P708" t="s">
        <v>58</v>
      </c>
      <c r="Q708" t="s">
        <v>47</v>
      </c>
      <c r="R708" t="s">
        <v>48</v>
      </c>
      <c r="V708" t="s">
        <v>49</v>
      </c>
      <c r="X708" t="s">
        <v>49</v>
      </c>
      <c r="Y708" t="s">
        <v>59</v>
      </c>
      <c r="Z708" t="s">
        <v>1162</v>
      </c>
      <c r="AA708" t="s">
        <v>1162</v>
      </c>
    </row>
    <row r="709" spans="1:27" x14ac:dyDescent="0.35">
      <c r="A709" t="str">
        <f t="shared" si="23"/>
        <v>2509F3</v>
      </c>
      <c r="B709" t="str">
        <f t="shared" si="22"/>
        <v>2509</v>
      </c>
      <c r="C709" t="s">
        <v>1225</v>
      </c>
      <c r="D709" t="s">
        <v>5</v>
      </c>
      <c r="E709" t="s">
        <v>40</v>
      </c>
      <c r="F709" t="s">
        <v>73</v>
      </c>
      <c r="G709" t="s">
        <v>757</v>
      </c>
      <c r="H709" t="s">
        <v>42</v>
      </c>
      <c r="I709" t="s">
        <v>67</v>
      </c>
      <c r="J709" t="s">
        <v>1220</v>
      </c>
      <c r="M709" t="s">
        <v>106</v>
      </c>
      <c r="P709" t="s">
        <v>46</v>
      </c>
      <c r="Q709" t="s">
        <v>47</v>
      </c>
      <c r="R709" t="s">
        <v>48</v>
      </c>
      <c r="V709" t="s">
        <v>49</v>
      </c>
      <c r="X709" t="s">
        <v>49</v>
      </c>
      <c r="Y709" t="s">
        <v>74</v>
      </c>
      <c r="Z709" t="s">
        <v>1215</v>
      </c>
      <c r="AA709" t="s">
        <v>1215</v>
      </c>
    </row>
    <row r="710" spans="1:27" x14ac:dyDescent="0.35">
      <c r="A710" t="str">
        <f t="shared" si="23"/>
        <v>2509C2</v>
      </c>
      <c r="B710" t="str">
        <f t="shared" si="22"/>
        <v>2509</v>
      </c>
      <c r="C710" t="s">
        <v>1226</v>
      </c>
      <c r="D710" t="s">
        <v>1</v>
      </c>
      <c r="E710" t="s">
        <v>65</v>
      </c>
      <c r="F710" t="s">
        <v>66</v>
      </c>
      <c r="G710" t="s">
        <v>757</v>
      </c>
      <c r="H710" t="s">
        <v>42</v>
      </c>
      <c r="I710" t="s">
        <v>67</v>
      </c>
      <c r="J710" t="s">
        <v>1220</v>
      </c>
      <c r="M710" t="s">
        <v>106</v>
      </c>
      <c r="P710" t="s">
        <v>69</v>
      </c>
      <c r="Q710" t="s">
        <v>47</v>
      </c>
      <c r="R710" t="s">
        <v>48</v>
      </c>
      <c r="V710" t="s">
        <v>49</v>
      </c>
      <c r="X710" t="s">
        <v>49</v>
      </c>
      <c r="Y710" t="s">
        <v>70</v>
      </c>
      <c r="Z710" t="s">
        <v>1227</v>
      </c>
      <c r="AA710" t="s">
        <v>1227</v>
      </c>
    </row>
    <row r="711" spans="1:27" x14ac:dyDescent="0.35">
      <c r="A711" t="str">
        <f t="shared" si="23"/>
        <v>2509D7</v>
      </c>
      <c r="B711" t="str">
        <f t="shared" si="22"/>
        <v>2509</v>
      </c>
      <c r="C711" t="s">
        <v>1228</v>
      </c>
      <c r="D711" t="s">
        <v>6</v>
      </c>
      <c r="E711" t="s">
        <v>94</v>
      </c>
      <c r="F711" t="s">
        <v>111</v>
      </c>
      <c r="G711" t="s">
        <v>757</v>
      </c>
      <c r="H711" t="s">
        <v>42</v>
      </c>
      <c r="I711" t="s">
        <v>43</v>
      </c>
      <c r="J711" t="s">
        <v>1220</v>
      </c>
      <c r="M711" t="s">
        <v>106</v>
      </c>
      <c r="P711" t="s">
        <v>46</v>
      </c>
      <c r="Q711" t="s">
        <v>47</v>
      </c>
      <c r="R711" t="s">
        <v>48</v>
      </c>
      <c r="V711" t="s">
        <v>49</v>
      </c>
      <c r="X711" t="s">
        <v>49</v>
      </c>
      <c r="Y711" t="s">
        <v>59</v>
      </c>
      <c r="Z711" t="s">
        <v>1229</v>
      </c>
      <c r="AA711" t="s">
        <v>1229</v>
      </c>
    </row>
    <row r="712" spans="1:27" x14ac:dyDescent="0.35">
      <c r="A712" t="str">
        <f t="shared" si="23"/>
        <v>2508F2</v>
      </c>
      <c r="B712" t="str">
        <f t="shared" si="22"/>
        <v>2508</v>
      </c>
      <c r="C712" t="s">
        <v>1230</v>
      </c>
      <c r="D712" t="s">
        <v>4</v>
      </c>
      <c r="E712" t="s">
        <v>77</v>
      </c>
      <c r="F712" t="s">
        <v>78</v>
      </c>
      <c r="G712" t="s">
        <v>757</v>
      </c>
      <c r="H712" t="s">
        <v>42</v>
      </c>
      <c r="I712" t="s">
        <v>67</v>
      </c>
      <c r="J712" t="s">
        <v>1231</v>
      </c>
      <c r="M712" t="s">
        <v>106</v>
      </c>
      <c r="P712" t="s">
        <v>189</v>
      </c>
      <c r="Q712" t="s">
        <v>47</v>
      </c>
      <c r="R712" t="s">
        <v>48</v>
      </c>
      <c r="V712" t="s">
        <v>49</v>
      </c>
      <c r="X712" t="s">
        <v>49</v>
      </c>
      <c r="Y712" t="s">
        <v>74</v>
      </c>
      <c r="Z712" t="s">
        <v>1221</v>
      </c>
      <c r="AA712" t="s">
        <v>1221</v>
      </c>
    </row>
    <row r="713" spans="1:27" x14ac:dyDescent="0.35">
      <c r="A713" t="str">
        <f t="shared" si="23"/>
        <v>2508D4</v>
      </c>
      <c r="B713" t="str">
        <f t="shared" si="22"/>
        <v>2508</v>
      </c>
      <c r="C713" t="s">
        <v>1232</v>
      </c>
      <c r="D713" t="s">
        <v>3</v>
      </c>
      <c r="E713" t="s">
        <v>52</v>
      </c>
      <c r="F713" t="s">
        <v>53</v>
      </c>
      <c r="G713" t="s">
        <v>757</v>
      </c>
      <c r="H713" t="s">
        <v>42</v>
      </c>
      <c r="I713" t="s">
        <v>43</v>
      </c>
      <c r="J713" t="s">
        <v>1231</v>
      </c>
      <c r="K713" t="s">
        <v>56</v>
      </c>
      <c r="M713" t="s">
        <v>106</v>
      </c>
      <c r="P713" t="s">
        <v>58</v>
      </c>
      <c r="Q713" t="s">
        <v>47</v>
      </c>
      <c r="R713" t="s">
        <v>48</v>
      </c>
      <c r="V713" t="s">
        <v>49</v>
      </c>
      <c r="X713" t="s">
        <v>49</v>
      </c>
      <c r="Y713" t="s">
        <v>59</v>
      </c>
      <c r="Z713" t="s">
        <v>995</v>
      </c>
      <c r="AA713" t="s">
        <v>995</v>
      </c>
    </row>
    <row r="714" spans="1:27" x14ac:dyDescent="0.35">
      <c r="A714" t="str">
        <f t="shared" si="23"/>
        <v>2508D2</v>
      </c>
      <c r="B714" t="str">
        <f t="shared" si="22"/>
        <v>2508</v>
      </c>
      <c r="C714" t="s">
        <v>1233</v>
      </c>
      <c r="D714" t="s">
        <v>2</v>
      </c>
      <c r="E714" t="s">
        <v>62</v>
      </c>
      <c r="F714" t="s">
        <v>63</v>
      </c>
      <c r="G714" t="s">
        <v>757</v>
      </c>
      <c r="H714" t="s">
        <v>42</v>
      </c>
      <c r="I714" t="s">
        <v>43</v>
      </c>
      <c r="J714" t="s">
        <v>1231</v>
      </c>
      <c r="K714" t="s">
        <v>56</v>
      </c>
      <c r="M714" t="s">
        <v>106</v>
      </c>
      <c r="P714" t="s">
        <v>58</v>
      </c>
      <c r="Q714" t="s">
        <v>47</v>
      </c>
      <c r="R714" t="s">
        <v>48</v>
      </c>
      <c r="V714" t="s">
        <v>49</v>
      </c>
      <c r="X714" t="s">
        <v>49</v>
      </c>
      <c r="Y714" t="s">
        <v>59</v>
      </c>
      <c r="Z714" t="s">
        <v>995</v>
      </c>
      <c r="AA714" t="s">
        <v>995</v>
      </c>
    </row>
    <row r="715" spans="1:27" x14ac:dyDescent="0.35">
      <c r="A715" t="str">
        <f t="shared" si="23"/>
        <v>2508F3</v>
      </c>
      <c r="B715" t="str">
        <f t="shared" si="22"/>
        <v>2508</v>
      </c>
      <c r="C715" t="s">
        <v>1234</v>
      </c>
      <c r="D715" t="s">
        <v>5</v>
      </c>
      <c r="E715" t="s">
        <v>40</v>
      </c>
      <c r="F715" t="s">
        <v>73</v>
      </c>
      <c r="G715" t="s">
        <v>757</v>
      </c>
      <c r="H715" t="s">
        <v>42</v>
      </c>
      <c r="I715" t="s">
        <v>67</v>
      </c>
      <c r="J715" t="s">
        <v>1231</v>
      </c>
      <c r="M715" t="s">
        <v>106</v>
      </c>
      <c r="P715" t="s">
        <v>46</v>
      </c>
      <c r="Q715" t="s">
        <v>47</v>
      </c>
      <c r="R715" t="s">
        <v>48</v>
      </c>
      <c r="V715" t="s">
        <v>49</v>
      </c>
      <c r="X715" t="s">
        <v>49</v>
      </c>
      <c r="Y715" t="s">
        <v>74</v>
      </c>
      <c r="Z715" t="s">
        <v>1215</v>
      </c>
      <c r="AA715" t="s">
        <v>1215</v>
      </c>
    </row>
    <row r="716" spans="1:27" x14ac:dyDescent="0.35">
      <c r="A716" t="str">
        <f t="shared" si="23"/>
        <v>2508C2</v>
      </c>
      <c r="B716" t="str">
        <f t="shared" si="22"/>
        <v>2508</v>
      </c>
      <c r="C716" t="s">
        <v>1235</v>
      </c>
      <c r="D716" t="s">
        <v>1</v>
      </c>
      <c r="E716" t="s">
        <v>65</v>
      </c>
      <c r="F716" t="s">
        <v>66</v>
      </c>
      <c r="G716" t="s">
        <v>757</v>
      </c>
      <c r="H716" t="s">
        <v>42</v>
      </c>
      <c r="I716" t="s">
        <v>67</v>
      </c>
      <c r="J716" t="s">
        <v>1231</v>
      </c>
      <c r="M716" t="s">
        <v>106</v>
      </c>
      <c r="P716" t="s">
        <v>58</v>
      </c>
      <c r="Q716" t="s">
        <v>47</v>
      </c>
      <c r="R716" t="s">
        <v>48</v>
      </c>
      <c r="V716" t="s">
        <v>49</v>
      </c>
      <c r="X716" t="s">
        <v>49</v>
      </c>
      <c r="Y716" t="s">
        <v>70</v>
      </c>
      <c r="Z716" t="s">
        <v>995</v>
      </c>
      <c r="AA716" t="s">
        <v>995</v>
      </c>
    </row>
    <row r="717" spans="1:27" x14ac:dyDescent="0.35">
      <c r="A717" t="str">
        <f t="shared" si="23"/>
        <v>2508D7</v>
      </c>
      <c r="B717" t="str">
        <f t="shared" si="22"/>
        <v>2508</v>
      </c>
      <c r="C717" t="s">
        <v>1236</v>
      </c>
      <c r="D717" t="s">
        <v>6</v>
      </c>
      <c r="E717" t="s">
        <v>94</v>
      </c>
      <c r="F717" t="s">
        <v>111</v>
      </c>
      <c r="G717" t="s">
        <v>757</v>
      </c>
      <c r="H717" t="s">
        <v>42</v>
      </c>
      <c r="I717" t="s">
        <v>43</v>
      </c>
      <c r="J717" t="s">
        <v>1231</v>
      </c>
      <c r="M717" t="s">
        <v>106</v>
      </c>
      <c r="P717" t="s">
        <v>46</v>
      </c>
      <c r="Q717" t="s">
        <v>47</v>
      </c>
      <c r="R717" t="s">
        <v>48</v>
      </c>
      <c r="V717" t="s">
        <v>49</v>
      </c>
      <c r="X717" t="s">
        <v>49</v>
      </c>
      <c r="Y717" t="s">
        <v>59</v>
      </c>
      <c r="Z717" t="s">
        <v>1237</v>
      </c>
      <c r="AA717" t="s">
        <v>1237</v>
      </c>
    </row>
    <row r="718" spans="1:27" x14ac:dyDescent="0.35">
      <c r="A718" t="str">
        <f t="shared" si="23"/>
        <v>2507F2</v>
      </c>
      <c r="B718" t="str">
        <f t="shared" si="22"/>
        <v>2507</v>
      </c>
      <c r="C718" t="s">
        <v>1238</v>
      </c>
      <c r="D718" t="s">
        <v>4</v>
      </c>
      <c r="E718" t="s">
        <v>77</v>
      </c>
      <c r="F718" t="s">
        <v>78</v>
      </c>
      <c r="G718" t="s">
        <v>757</v>
      </c>
      <c r="H718" t="s">
        <v>42</v>
      </c>
      <c r="I718" t="s">
        <v>67</v>
      </c>
      <c r="J718" t="s">
        <v>1239</v>
      </c>
      <c r="M718" t="s">
        <v>106</v>
      </c>
      <c r="P718" t="s">
        <v>79</v>
      </c>
      <c r="Q718" t="s">
        <v>47</v>
      </c>
      <c r="R718" t="s">
        <v>48</v>
      </c>
      <c r="V718" t="s">
        <v>49</v>
      </c>
      <c r="X718" t="s">
        <v>49</v>
      </c>
      <c r="Y718" t="s">
        <v>74</v>
      </c>
      <c r="Z718" t="s">
        <v>1221</v>
      </c>
      <c r="AA718" t="s">
        <v>1221</v>
      </c>
    </row>
    <row r="719" spans="1:27" x14ac:dyDescent="0.35">
      <c r="A719" t="str">
        <f t="shared" si="23"/>
        <v>2507D4</v>
      </c>
      <c r="B719" t="str">
        <f t="shared" si="22"/>
        <v>2507</v>
      </c>
      <c r="C719" t="s">
        <v>1240</v>
      </c>
      <c r="D719" t="s">
        <v>3</v>
      </c>
      <c r="E719" t="s">
        <v>52</v>
      </c>
      <c r="F719" t="s">
        <v>53</v>
      </c>
      <c r="G719" t="s">
        <v>757</v>
      </c>
      <c r="H719" t="s">
        <v>42</v>
      </c>
      <c r="I719" t="s">
        <v>43</v>
      </c>
      <c r="J719" t="s">
        <v>1239</v>
      </c>
      <c r="K719" t="s">
        <v>56</v>
      </c>
      <c r="M719" t="s">
        <v>106</v>
      </c>
      <c r="P719" t="s">
        <v>58</v>
      </c>
      <c r="Q719" t="s">
        <v>47</v>
      </c>
      <c r="R719" t="s">
        <v>48</v>
      </c>
      <c r="V719" t="s">
        <v>49</v>
      </c>
      <c r="X719" t="s">
        <v>49</v>
      </c>
      <c r="Y719" t="s">
        <v>59</v>
      </c>
      <c r="Z719" t="s">
        <v>1241</v>
      </c>
      <c r="AA719" t="s">
        <v>1241</v>
      </c>
    </row>
    <row r="720" spans="1:27" x14ac:dyDescent="0.35">
      <c r="A720" t="str">
        <f t="shared" si="23"/>
        <v>2507D2</v>
      </c>
      <c r="B720" t="str">
        <f t="shared" si="22"/>
        <v>2507</v>
      </c>
      <c r="C720" t="s">
        <v>1242</v>
      </c>
      <c r="D720" t="s">
        <v>2</v>
      </c>
      <c r="E720" t="s">
        <v>62</v>
      </c>
      <c r="F720" t="s">
        <v>63</v>
      </c>
      <c r="G720" t="s">
        <v>757</v>
      </c>
      <c r="H720" t="s">
        <v>42</v>
      </c>
      <c r="I720" t="s">
        <v>43</v>
      </c>
      <c r="J720" t="s">
        <v>1239</v>
      </c>
      <c r="K720" t="s">
        <v>56</v>
      </c>
      <c r="M720" t="s">
        <v>106</v>
      </c>
      <c r="P720" t="s">
        <v>58</v>
      </c>
      <c r="Q720" t="s">
        <v>47</v>
      </c>
      <c r="R720" t="s">
        <v>48</v>
      </c>
      <c r="V720" t="s">
        <v>49</v>
      </c>
      <c r="X720" t="s">
        <v>49</v>
      </c>
      <c r="Y720" t="s">
        <v>59</v>
      </c>
      <c r="Z720" t="s">
        <v>1241</v>
      </c>
      <c r="AA720" t="s">
        <v>1241</v>
      </c>
    </row>
    <row r="721" spans="1:27" x14ac:dyDescent="0.35">
      <c r="A721" t="str">
        <f t="shared" si="23"/>
        <v>2507F3</v>
      </c>
      <c r="B721" t="str">
        <f t="shared" si="22"/>
        <v>2507</v>
      </c>
      <c r="C721" t="s">
        <v>1243</v>
      </c>
      <c r="D721" t="s">
        <v>5</v>
      </c>
      <c r="E721" t="s">
        <v>40</v>
      </c>
      <c r="F721" t="s">
        <v>73</v>
      </c>
      <c r="G721" t="s">
        <v>757</v>
      </c>
      <c r="H721" t="s">
        <v>42</v>
      </c>
      <c r="I721" t="s">
        <v>67</v>
      </c>
      <c r="J721" t="s">
        <v>1239</v>
      </c>
      <c r="M721" t="s">
        <v>106</v>
      </c>
      <c r="P721" t="s">
        <v>46</v>
      </c>
      <c r="Q721" t="s">
        <v>47</v>
      </c>
      <c r="R721" t="s">
        <v>48</v>
      </c>
      <c r="V721" t="s">
        <v>49</v>
      </c>
      <c r="X721" t="s">
        <v>49</v>
      </c>
      <c r="Y721" t="s">
        <v>74</v>
      </c>
      <c r="Z721" t="s">
        <v>1215</v>
      </c>
      <c r="AA721" t="s">
        <v>1215</v>
      </c>
    </row>
    <row r="722" spans="1:27" x14ac:dyDescent="0.35">
      <c r="A722" t="str">
        <f t="shared" si="23"/>
        <v>2507C2</v>
      </c>
      <c r="B722" t="str">
        <f t="shared" si="22"/>
        <v>2507</v>
      </c>
      <c r="C722" t="s">
        <v>1244</v>
      </c>
      <c r="D722" t="s">
        <v>1</v>
      </c>
      <c r="E722" t="s">
        <v>65</v>
      </c>
      <c r="F722" t="s">
        <v>66</v>
      </c>
      <c r="G722" t="s">
        <v>757</v>
      </c>
      <c r="H722" t="s">
        <v>42</v>
      </c>
      <c r="I722" t="s">
        <v>67</v>
      </c>
      <c r="J722" t="s">
        <v>1239</v>
      </c>
      <c r="M722" t="s">
        <v>106</v>
      </c>
      <c r="P722" t="s">
        <v>69</v>
      </c>
      <c r="Q722" t="s">
        <v>47</v>
      </c>
      <c r="R722" t="s">
        <v>48</v>
      </c>
      <c r="V722" t="s">
        <v>49</v>
      </c>
      <c r="X722" t="s">
        <v>49</v>
      </c>
      <c r="Y722" t="s">
        <v>70</v>
      </c>
      <c r="Z722" t="s">
        <v>1241</v>
      </c>
      <c r="AA722" t="s">
        <v>1241</v>
      </c>
    </row>
    <row r="723" spans="1:27" x14ac:dyDescent="0.35">
      <c r="A723" t="str">
        <f t="shared" si="23"/>
        <v>2507D7</v>
      </c>
      <c r="B723" t="str">
        <f t="shared" si="22"/>
        <v>2507</v>
      </c>
      <c r="C723" t="s">
        <v>1245</v>
      </c>
      <c r="D723" t="s">
        <v>6</v>
      </c>
      <c r="E723" t="s">
        <v>94</v>
      </c>
      <c r="F723" t="s">
        <v>111</v>
      </c>
      <c r="G723" t="s">
        <v>757</v>
      </c>
      <c r="H723" t="s">
        <v>42</v>
      </c>
      <c r="I723" t="s">
        <v>43</v>
      </c>
      <c r="J723" t="s">
        <v>1239</v>
      </c>
      <c r="M723" t="s">
        <v>106</v>
      </c>
      <c r="P723" t="s">
        <v>46</v>
      </c>
      <c r="Q723" t="s">
        <v>47</v>
      </c>
      <c r="R723" t="s">
        <v>48</v>
      </c>
      <c r="V723" t="s">
        <v>49</v>
      </c>
      <c r="X723" t="s">
        <v>49</v>
      </c>
      <c r="Y723" t="s">
        <v>59</v>
      </c>
      <c r="Z723" t="s">
        <v>1237</v>
      </c>
      <c r="AA723" t="s">
        <v>1237</v>
      </c>
    </row>
    <row r="724" spans="1:27" x14ac:dyDescent="0.35">
      <c r="A724" t="str">
        <f t="shared" si="23"/>
        <v>2506F2</v>
      </c>
      <c r="B724" t="str">
        <f t="shared" si="22"/>
        <v>2506</v>
      </c>
      <c r="C724" t="s">
        <v>1246</v>
      </c>
      <c r="D724" t="s">
        <v>4</v>
      </c>
      <c r="E724" t="s">
        <v>77</v>
      </c>
      <c r="F724" t="s">
        <v>78</v>
      </c>
      <c r="G724" t="s">
        <v>757</v>
      </c>
      <c r="H724" t="s">
        <v>42</v>
      </c>
      <c r="I724" t="s">
        <v>67</v>
      </c>
      <c r="J724" t="s">
        <v>1247</v>
      </c>
      <c r="M724" t="s">
        <v>106</v>
      </c>
      <c r="P724" t="s">
        <v>273</v>
      </c>
      <c r="Q724" t="s">
        <v>47</v>
      </c>
      <c r="R724" t="s">
        <v>48</v>
      </c>
      <c r="V724" t="s">
        <v>49</v>
      </c>
      <c r="X724" t="s">
        <v>49</v>
      </c>
      <c r="Y724" t="s">
        <v>74</v>
      </c>
      <c r="Z724" t="s">
        <v>1221</v>
      </c>
      <c r="AA724" t="s">
        <v>1221</v>
      </c>
    </row>
    <row r="725" spans="1:27" x14ac:dyDescent="0.35">
      <c r="A725" t="str">
        <f t="shared" si="23"/>
        <v>2506D4</v>
      </c>
      <c r="B725" t="str">
        <f t="shared" si="22"/>
        <v>2506</v>
      </c>
      <c r="C725" t="s">
        <v>1248</v>
      </c>
      <c r="D725" t="s">
        <v>3</v>
      </c>
      <c r="E725" t="s">
        <v>52</v>
      </c>
      <c r="F725" t="s">
        <v>53</v>
      </c>
      <c r="G725" t="s">
        <v>757</v>
      </c>
      <c r="H725" t="s">
        <v>42</v>
      </c>
      <c r="I725" t="s">
        <v>43</v>
      </c>
      <c r="J725" t="s">
        <v>1247</v>
      </c>
      <c r="K725" t="s">
        <v>56</v>
      </c>
      <c r="M725" t="s">
        <v>106</v>
      </c>
      <c r="P725" t="s">
        <v>58</v>
      </c>
      <c r="Q725" t="s">
        <v>47</v>
      </c>
      <c r="R725" t="s">
        <v>48</v>
      </c>
      <c r="V725" t="s">
        <v>49</v>
      </c>
      <c r="X725" t="s">
        <v>49</v>
      </c>
      <c r="Y725" t="s">
        <v>59</v>
      </c>
      <c r="Z725" t="s">
        <v>1162</v>
      </c>
      <c r="AA725" t="s">
        <v>1162</v>
      </c>
    </row>
    <row r="726" spans="1:27" x14ac:dyDescent="0.35">
      <c r="A726" t="str">
        <f t="shared" si="23"/>
        <v>2506D2</v>
      </c>
      <c r="B726" t="str">
        <f t="shared" si="22"/>
        <v>2506</v>
      </c>
      <c r="C726" t="s">
        <v>1249</v>
      </c>
      <c r="D726" t="s">
        <v>2</v>
      </c>
      <c r="E726" t="s">
        <v>62</v>
      </c>
      <c r="F726" t="s">
        <v>63</v>
      </c>
      <c r="G726" t="s">
        <v>757</v>
      </c>
      <c r="H726" t="s">
        <v>42</v>
      </c>
      <c r="I726" t="s">
        <v>43</v>
      </c>
      <c r="J726" t="s">
        <v>1247</v>
      </c>
      <c r="K726" t="s">
        <v>56</v>
      </c>
      <c r="M726" t="s">
        <v>106</v>
      </c>
      <c r="P726" t="s">
        <v>58</v>
      </c>
      <c r="Q726" t="s">
        <v>47</v>
      </c>
      <c r="R726" t="s">
        <v>48</v>
      </c>
      <c r="V726" t="s">
        <v>49</v>
      </c>
      <c r="X726" t="s">
        <v>49</v>
      </c>
      <c r="Y726" t="s">
        <v>59</v>
      </c>
      <c r="Z726" t="s">
        <v>1162</v>
      </c>
      <c r="AA726" t="s">
        <v>1162</v>
      </c>
    </row>
    <row r="727" spans="1:27" x14ac:dyDescent="0.35">
      <c r="A727" t="str">
        <f t="shared" si="23"/>
        <v>2506F3</v>
      </c>
      <c r="B727" t="str">
        <f t="shared" si="22"/>
        <v>2506</v>
      </c>
      <c r="C727" t="s">
        <v>1250</v>
      </c>
      <c r="D727" t="s">
        <v>5</v>
      </c>
      <c r="E727" t="s">
        <v>40</v>
      </c>
      <c r="F727" t="s">
        <v>73</v>
      </c>
      <c r="G727" t="s">
        <v>757</v>
      </c>
      <c r="H727" t="s">
        <v>42</v>
      </c>
      <c r="I727" t="s">
        <v>67</v>
      </c>
      <c r="J727" t="s">
        <v>1247</v>
      </c>
      <c r="M727" t="s">
        <v>106</v>
      </c>
      <c r="P727" t="s">
        <v>46</v>
      </c>
      <c r="Q727" t="s">
        <v>47</v>
      </c>
      <c r="R727" t="s">
        <v>48</v>
      </c>
      <c r="V727" t="s">
        <v>49</v>
      </c>
      <c r="X727" t="s">
        <v>49</v>
      </c>
      <c r="Y727" t="s">
        <v>74</v>
      </c>
      <c r="Z727" t="s">
        <v>1215</v>
      </c>
      <c r="AA727" t="s">
        <v>1215</v>
      </c>
    </row>
    <row r="728" spans="1:27" x14ac:dyDescent="0.35">
      <c r="A728" t="str">
        <f t="shared" si="23"/>
        <v>2506C2</v>
      </c>
      <c r="B728" t="str">
        <f t="shared" si="22"/>
        <v>2506</v>
      </c>
      <c r="C728" t="s">
        <v>1251</v>
      </c>
      <c r="D728" t="s">
        <v>1</v>
      </c>
      <c r="E728" t="s">
        <v>65</v>
      </c>
      <c r="F728" t="s">
        <v>66</v>
      </c>
      <c r="G728" t="s">
        <v>757</v>
      </c>
      <c r="H728" t="s">
        <v>42</v>
      </c>
      <c r="I728" t="s">
        <v>67</v>
      </c>
      <c r="J728" t="s">
        <v>1247</v>
      </c>
      <c r="M728" t="s">
        <v>106</v>
      </c>
      <c r="P728" t="s">
        <v>69</v>
      </c>
      <c r="Q728" t="s">
        <v>47</v>
      </c>
      <c r="R728" t="s">
        <v>48</v>
      </c>
      <c r="V728" t="s">
        <v>49</v>
      </c>
      <c r="X728" t="s">
        <v>49</v>
      </c>
      <c r="Y728" t="s">
        <v>70</v>
      </c>
      <c r="Z728" t="s">
        <v>1227</v>
      </c>
      <c r="AA728" t="s">
        <v>1227</v>
      </c>
    </row>
    <row r="729" spans="1:27" x14ac:dyDescent="0.35">
      <c r="A729" t="str">
        <f t="shared" si="23"/>
        <v>2506D7</v>
      </c>
      <c r="B729" t="str">
        <f t="shared" si="22"/>
        <v>2506</v>
      </c>
      <c r="C729" t="s">
        <v>1252</v>
      </c>
      <c r="D729" t="s">
        <v>6</v>
      </c>
      <c r="E729" t="s">
        <v>94</v>
      </c>
      <c r="F729" t="s">
        <v>111</v>
      </c>
      <c r="G729" t="s">
        <v>757</v>
      </c>
      <c r="H729" t="s">
        <v>42</v>
      </c>
      <c r="I729" t="s">
        <v>43</v>
      </c>
      <c r="J729" t="s">
        <v>1247</v>
      </c>
      <c r="M729" t="s">
        <v>106</v>
      </c>
      <c r="P729" t="s">
        <v>46</v>
      </c>
      <c r="Q729" t="s">
        <v>47</v>
      </c>
      <c r="R729" t="s">
        <v>48</v>
      </c>
      <c r="V729" t="s">
        <v>49</v>
      </c>
      <c r="X729" t="s">
        <v>49</v>
      </c>
      <c r="Y729" t="s">
        <v>59</v>
      </c>
      <c r="Z729" t="s">
        <v>1237</v>
      </c>
      <c r="AA729" t="s">
        <v>1237</v>
      </c>
    </row>
    <row r="730" spans="1:27" x14ac:dyDescent="0.35">
      <c r="A730" t="str">
        <f t="shared" si="23"/>
        <v>2505F2</v>
      </c>
      <c r="B730" t="str">
        <f t="shared" si="22"/>
        <v>2505</v>
      </c>
      <c r="C730" t="s">
        <v>1253</v>
      </c>
      <c r="D730" t="s">
        <v>4</v>
      </c>
      <c r="E730" t="s">
        <v>77</v>
      </c>
      <c r="F730" t="s">
        <v>78</v>
      </c>
      <c r="G730" t="s">
        <v>757</v>
      </c>
      <c r="H730" t="s">
        <v>42</v>
      </c>
      <c r="I730" t="s">
        <v>67</v>
      </c>
      <c r="J730" t="s">
        <v>1254</v>
      </c>
      <c r="M730" t="s">
        <v>106</v>
      </c>
      <c r="P730" t="s">
        <v>138</v>
      </c>
      <c r="Q730" t="s">
        <v>47</v>
      </c>
      <c r="R730" t="s">
        <v>48</v>
      </c>
      <c r="V730" t="s">
        <v>49</v>
      </c>
      <c r="X730" t="s">
        <v>49</v>
      </c>
      <c r="Y730" t="s">
        <v>74</v>
      </c>
      <c r="Z730" t="s">
        <v>1255</v>
      </c>
      <c r="AA730" t="s">
        <v>1255</v>
      </c>
    </row>
    <row r="731" spans="1:27" x14ac:dyDescent="0.35">
      <c r="A731" t="str">
        <f t="shared" si="23"/>
        <v>2505D4</v>
      </c>
      <c r="B731" t="str">
        <f t="shared" si="22"/>
        <v>2505</v>
      </c>
      <c r="C731" t="s">
        <v>1256</v>
      </c>
      <c r="D731" t="s">
        <v>3</v>
      </c>
      <c r="E731" t="s">
        <v>52</v>
      </c>
      <c r="F731" t="s">
        <v>53</v>
      </c>
      <c r="G731" t="s">
        <v>757</v>
      </c>
      <c r="H731" t="s">
        <v>42</v>
      </c>
      <c r="I731" t="s">
        <v>43</v>
      </c>
      <c r="J731" t="s">
        <v>1254</v>
      </c>
      <c r="K731" t="s">
        <v>56</v>
      </c>
      <c r="M731" t="s">
        <v>106</v>
      </c>
      <c r="P731" t="s">
        <v>58</v>
      </c>
      <c r="Q731" t="s">
        <v>47</v>
      </c>
      <c r="R731" t="s">
        <v>48</v>
      </c>
      <c r="V731" t="s">
        <v>49</v>
      </c>
      <c r="X731" t="s">
        <v>49</v>
      </c>
      <c r="Y731" t="s">
        <v>59</v>
      </c>
      <c r="Z731" t="s">
        <v>1205</v>
      </c>
      <c r="AA731" t="s">
        <v>1205</v>
      </c>
    </row>
    <row r="732" spans="1:27" x14ac:dyDescent="0.35">
      <c r="A732" t="str">
        <f t="shared" si="23"/>
        <v>2505D2</v>
      </c>
      <c r="B732" t="str">
        <f t="shared" si="22"/>
        <v>2505</v>
      </c>
      <c r="C732" t="s">
        <v>1257</v>
      </c>
      <c r="D732" t="s">
        <v>2</v>
      </c>
      <c r="E732" t="s">
        <v>62</v>
      </c>
      <c r="F732" t="s">
        <v>63</v>
      </c>
      <c r="G732" t="s">
        <v>757</v>
      </c>
      <c r="H732" t="s">
        <v>42</v>
      </c>
      <c r="I732" t="s">
        <v>43</v>
      </c>
      <c r="J732" t="s">
        <v>1254</v>
      </c>
      <c r="K732" t="s">
        <v>56</v>
      </c>
      <c r="M732" t="s">
        <v>106</v>
      </c>
      <c r="P732" t="s">
        <v>58</v>
      </c>
      <c r="Q732" t="s">
        <v>47</v>
      </c>
      <c r="R732" t="s">
        <v>48</v>
      </c>
      <c r="V732" t="s">
        <v>49</v>
      </c>
      <c r="X732" t="s">
        <v>49</v>
      </c>
      <c r="Y732" t="s">
        <v>59</v>
      </c>
      <c r="Z732" t="s">
        <v>1258</v>
      </c>
      <c r="AA732" t="s">
        <v>1258</v>
      </c>
    </row>
    <row r="733" spans="1:27" x14ac:dyDescent="0.35">
      <c r="A733" t="str">
        <f t="shared" si="23"/>
        <v>2505F3</v>
      </c>
      <c r="B733" t="str">
        <f t="shared" si="22"/>
        <v>2505</v>
      </c>
      <c r="C733" t="s">
        <v>1259</v>
      </c>
      <c r="D733" t="s">
        <v>5</v>
      </c>
      <c r="E733" t="s">
        <v>40</v>
      </c>
      <c r="F733" t="s">
        <v>73</v>
      </c>
      <c r="G733" t="s">
        <v>757</v>
      </c>
      <c r="H733" t="s">
        <v>42</v>
      </c>
      <c r="I733" t="s">
        <v>67</v>
      </c>
      <c r="J733" t="s">
        <v>1254</v>
      </c>
      <c r="M733" t="s">
        <v>106</v>
      </c>
      <c r="P733" t="s">
        <v>46</v>
      </c>
      <c r="Q733" t="s">
        <v>47</v>
      </c>
      <c r="R733" t="s">
        <v>48</v>
      </c>
      <c r="V733" t="s">
        <v>49</v>
      </c>
      <c r="X733" t="s">
        <v>49</v>
      </c>
      <c r="Y733" t="s">
        <v>74</v>
      </c>
      <c r="Z733" t="s">
        <v>1260</v>
      </c>
      <c r="AA733" t="s">
        <v>1260</v>
      </c>
    </row>
    <row r="734" spans="1:27" x14ac:dyDescent="0.35">
      <c r="A734" t="str">
        <f t="shared" si="23"/>
        <v>2505C2</v>
      </c>
      <c r="B734" t="str">
        <f t="shared" si="22"/>
        <v>2505</v>
      </c>
      <c r="C734" t="s">
        <v>1261</v>
      </c>
      <c r="D734" t="s">
        <v>1</v>
      </c>
      <c r="E734" t="s">
        <v>65</v>
      </c>
      <c r="F734" t="s">
        <v>66</v>
      </c>
      <c r="G734" t="s">
        <v>757</v>
      </c>
      <c r="H734" t="s">
        <v>42</v>
      </c>
      <c r="I734" t="s">
        <v>67</v>
      </c>
      <c r="J734" t="s">
        <v>1254</v>
      </c>
      <c r="M734" t="s">
        <v>106</v>
      </c>
      <c r="P734" t="s">
        <v>69</v>
      </c>
      <c r="Q734" t="s">
        <v>47</v>
      </c>
      <c r="R734" t="s">
        <v>48</v>
      </c>
      <c r="V734" t="s">
        <v>49</v>
      </c>
      <c r="X734" t="s">
        <v>49</v>
      </c>
      <c r="Y734" t="s">
        <v>70</v>
      </c>
      <c r="Z734" t="s">
        <v>1173</v>
      </c>
      <c r="AA734" t="s">
        <v>1173</v>
      </c>
    </row>
    <row r="735" spans="1:27" x14ac:dyDescent="0.35">
      <c r="A735" t="str">
        <f t="shared" si="23"/>
        <v>2505D7</v>
      </c>
      <c r="B735" t="str">
        <f t="shared" si="22"/>
        <v>2505</v>
      </c>
      <c r="C735" t="s">
        <v>1262</v>
      </c>
      <c r="D735" t="s">
        <v>6</v>
      </c>
      <c r="E735" t="s">
        <v>94</v>
      </c>
      <c r="F735" t="s">
        <v>111</v>
      </c>
      <c r="G735" t="s">
        <v>757</v>
      </c>
      <c r="H735" t="s">
        <v>42</v>
      </c>
      <c r="I735" t="s">
        <v>43</v>
      </c>
      <c r="J735" t="s">
        <v>1254</v>
      </c>
      <c r="M735" t="s">
        <v>106</v>
      </c>
      <c r="P735" t="s">
        <v>46</v>
      </c>
      <c r="Q735" t="s">
        <v>47</v>
      </c>
      <c r="R735" t="s">
        <v>48</v>
      </c>
      <c r="V735" t="s">
        <v>49</v>
      </c>
      <c r="X735" t="s">
        <v>49</v>
      </c>
      <c r="Y735" t="s">
        <v>59</v>
      </c>
      <c r="Z735" t="s">
        <v>1263</v>
      </c>
      <c r="AA735" t="s">
        <v>1263</v>
      </c>
    </row>
    <row r="736" spans="1:27" x14ac:dyDescent="0.35">
      <c r="A736" t="str">
        <f t="shared" si="23"/>
        <v>2504F2</v>
      </c>
      <c r="B736" t="str">
        <f t="shared" si="22"/>
        <v>2504</v>
      </c>
      <c r="C736" t="s">
        <v>1264</v>
      </c>
      <c r="D736" t="s">
        <v>4</v>
      </c>
      <c r="E736" t="s">
        <v>77</v>
      </c>
      <c r="F736" t="s">
        <v>78</v>
      </c>
      <c r="G736" t="s">
        <v>757</v>
      </c>
      <c r="H736" t="s">
        <v>42</v>
      </c>
      <c r="I736" t="s">
        <v>67</v>
      </c>
      <c r="J736" t="s">
        <v>1265</v>
      </c>
      <c r="M736" t="s">
        <v>106</v>
      </c>
      <c r="P736" t="s">
        <v>710</v>
      </c>
      <c r="Q736" t="s">
        <v>47</v>
      </c>
      <c r="R736" t="s">
        <v>48</v>
      </c>
      <c r="V736" t="s">
        <v>49</v>
      </c>
      <c r="X736" t="s">
        <v>49</v>
      </c>
      <c r="Y736" t="s">
        <v>74</v>
      </c>
      <c r="Z736" t="s">
        <v>1266</v>
      </c>
      <c r="AA736" t="s">
        <v>1266</v>
      </c>
    </row>
    <row r="737" spans="1:27" x14ac:dyDescent="0.35">
      <c r="A737" t="str">
        <f t="shared" si="23"/>
        <v>2504D4</v>
      </c>
      <c r="B737" t="str">
        <f t="shared" si="22"/>
        <v>2504</v>
      </c>
      <c r="C737" t="s">
        <v>1267</v>
      </c>
      <c r="D737" t="s">
        <v>3</v>
      </c>
      <c r="E737" t="s">
        <v>52</v>
      </c>
      <c r="F737" t="s">
        <v>53</v>
      </c>
      <c r="G737" t="s">
        <v>757</v>
      </c>
      <c r="H737" t="s">
        <v>42</v>
      </c>
      <c r="I737" t="s">
        <v>43</v>
      </c>
      <c r="J737" t="s">
        <v>1265</v>
      </c>
      <c r="K737" t="s">
        <v>56</v>
      </c>
      <c r="M737" t="s">
        <v>106</v>
      </c>
      <c r="P737" t="s">
        <v>58</v>
      </c>
      <c r="Q737" t="s">
        <v>47</v>
      </c>
      <c r="R737" t="s">
        <v>48</v>
      </c>
      <c r="V737" t="s">
        <v>49</v>
      </c>
      <c r="X737" t="s">
        <v>49</v>
      </c>
      <c r="Y737" t="s">
        <v>59</v>
      </c>
      <c r="Z737" t="s">
        <v>1268</v>
      </c>
      <c r="AA737" t="s">
        <v>1268</v>
      </c>
    </row>
    <row r="738" spans="1:27" x14ac:dyDescent="0.35">
      <c r="A738" t="str">
        <f t="shared" si="23"/>
        <v>2504D2</v>
      </c>
      <c r="B738" t="str">
        <f t="shared" si="22"/>
        <v>2504</v>
      </c>
      <c r="C738" t="s">
        <v>1269</v>
      </c>
      <c r="D738" t="s">
        <v>2</v>
      </c>
      <c r="E738" t="s">
        <v>62</v>
      </c>
      <c r="F738" t="s">
        <v>63</v>
      </c>
      <c r="G738" t="s">
        <v>757</v>
      </c>
      <c r="H738" t="s">
        <v>42</v>
      </c>
      <c r="I738" t="s">
        <v>43</v>
      </c>
      <c r="J738" t="s">
        <v>1265</v>
      </c>
      <c r="K738" t="s">
        <v>56</v>
      </c>
      <c r="M738" t="s">
        <v>106</v>
      </c>
      <c r="P738" t="s">
        <v>58</v>
      </c>
      <c r="Q738" t="s">
        <v>47</v>
      </c>
      <c r="R738" t="s">
        <v>48</v>
      </c>
      <c r="V738" t="s">
        <v>49</v>
      </c>
      <c r="X738" t="s">
        <v>49</v>
      </c>
      <c r="Y738" t="s">
        <v>59</v>
      </c>
      <c r="Z738" t="s">
        <v>1268</v>
      </c>
      <c r="AA738" t="s">
        <v>1268</v>
      </c>
    </row>
    <row r="739" spans="1:27" x14ac:dyDescent="0.35">
      <c r="A739" t="str">
        <f t="shared" si="23"/>
        <v>2504F3</v>
      </c>
      <c r="B739" t="str">
        <f t="shared" si="22"/>
        <v>2504</v>
      </c>
      <c r="C739" t="s">
        <v>1270</v>
      </c>
      <c r="D739" t="s">
        <v>5</v>
      </c>
      <c r="E739" t="s">
        <v>40</v>
      </c>
      <c r="F739" t="s">
        <v>73</v>
      </c>
      <c r="G739" t="s">
        <v>757</v>
      </c>
      <c r="H739" t="s">
        <v>42</v>
      </c>
      <c r="I739" t="s">
        <v>67</v>
      </c>
      <c r="J739" t="s">
        <v>1265</v>
      </c>
      <c r="M739" t="s">
        <v>106</v>
      </c>
      <c r="P739" t="s">
        <v>46</v>
      </c>
      <c r="Q739" t="s">
        <v>47</v>
      </c>
      <c r="R739" t="s">
        <v>48</v>
      </c>
      <c r="V739" t="s">
        <v>49</v>
      </c>
      <c r="X739" t="s">
        <v>49</v>
      </c>
      <c r="Y739" t="s">
        <v>74</v>
      </c>
      <c r="Z739" t="s">
        <v>1260</v>
      </c>
      <c r="AA739" t="s">
        <v>1260</v>
      </c>
    </row>
    <row r="740" spans="1:27" x14ac:dyDescent="0.35">
      <c r="A740" t="str">
        <f t="shared" si="23"/>
        <v>2504C2</v>
      </c>
      <c r="B740" t="str">
        <f t="shared" si="22"/>
        <v>2504</v>
      </c>
      <c r="C740" t="s">
        <v>1271</v>
      </c>
      <c r="D740" t="s">
        <v>1</v>
      </c>
      <c r="E740" t="s">
        <v>65</v>
      </c>
      <c r="F740" t="s">
        <v>66</v>
      </c>
      <c r="G740" t="s">
        <v>757</v>
      </c>
      <c r="H740" t="s">
        <v>42</v>
      </c>
      <c r="I740" t="s">
        <v>67</v>
      </c>
      <c r="J740" t="s">
        <v>1265</v>
      </c>
      <c r="M740" t="s">
        <v>106</v>
      </c>
      <c r="P740" t="s">
        <v>69</v>
      </c>
      <c r="Q740" t="s">
        <v>47</v>
      </c>
      <c r="R740" t="s">
        <v>48</v>
      </c>
      <c r="V740" t="s">
        <v>49</v>
      </c>
      <c r="X740" t="s">
        <v>49</v>
      </c>
      <c r="Y740" t="s">
        <v>70</v>
      </c>
      <c r="Z740" t="s">
        <v>1272</v>
      </c>
      <c r="AA740" t="s">
        <v>1272</v>
      </c>
    </row>
    <row r="741" spans="1:27" x14ac:dyDescent="0.35">
      <c r="A741" t="str">
        <f t="shared" si="23"/>
        <v>2504D7</v>
      </c>
      <c r="B741" t="str">
        <f t="shared" si="22"/>
        <v>2504</v>
      </c>
      <c r="C741" t="s">
        <v>1273</v>
      </c>
      <c r="D741" t="s">
        <v>6</v>
      </c>
      <c r="E741" t="s">
        <v>94</v>
      </c>
      <c r="F741" t="s">
        <v>111</v>
      </c>
      <c r="G741" t="s">
        <v>757</v>
      </c>
      <c r="H741" t="s">
        <v>42</v>
      </c>
      <c r="I741" t="s">
        <v>43</v>
      </c>
      <c r="J741" t="s">
        <v>1265</v>
      </c>
      <c r="M741" t="s">
        <v>106</v>
      </c>
      <c r="P741" t="s">
        <v>46</v>
      </c>
      <c r="Q741" t="s">
        <v>47</v>
      </c>
      <c r="R741" t="s">
        <v>48</v>
      </c>
      <c r="V741" t="s">
        <v>49</v>
      </c>
      <c r="X741" t="s">
        <v>49</v>
      </c>
      <c r="Y741" t="s">
        <v>59</v>
      </c>
      <c r="Z741" t="s">
        <v>1263</v>
      </c>
      <c r="AA741" t="s">
        <v>1263</v>
      </c>
    </row>
    <row r="742" spans="1:27" x14ac:dyDescent="0.35">
      <c r="A742" t="str">
        <f t="shared" si="23"/>
        <v>2503F2</v>
      </c>
      <c r="B742" t="str">
        <f t="shared" si="22"/>
        <v>2503</v>
      </c>
      <c r="C742" t="s">
        <v>1274</v>
      </c>
      <c r="D742" t="s">
        <v>4</v>
      </c>
      <c r="E742" t="s">
        <v>77</v>
      </c>
      <c r="F742" t="s">
        <v>78</v>
      </c>
      <c r="G742" t="s">
        <v>757</v>
      </c>
      <c r="H742" t="s">
        <v>42</v>
      </c>
      <c r="I742" t="s">
        <v>67</v>
      </c>
      <c r="J742" t="s">
        <v>1275</v>
      </c>
      <c r="M742" t="s">
        <v>106</v>
      </c>
      <c r="P742" t="s">
        <v>91</v>
      </c>
      <c r="Q742" t="s">
        <v>47</v>
      </c>
      <c r="R742" t="s">
        <v>48</v>
      </c>
      <c r="V742" t="s">
        <v>49</v>
      </c>
      <c r="X742" t="s">
        <v>49</v>
      </c>
      <c r="Y742" t="s">
        <v>74</v>
      </c>
      <c r="Z742" t="s">
        <v>1266</v>
      </c>
      <c r="AA742" t="s">
        <v>1266</v>
      </c>
    </row>
    <row r="743" spans="1:27" x14ac:dyDescent="0.35">
      <c r="A743" t="str">
        <f t="shared" si="23"/>
        <v>2503D4</v>
      </c>
      <c r="B743" t="str">
        <f t="shared" si="22"/>
        <v>2503</v>
      </c>
      <c r="C743" t="s">
        <v>1276</v>
      </c>
      <c r="D743" t="s">
        <v>3</v>
      </c>
      <c r="E743" t="s">
        <v>52</v>
      </c>
      <c r="F743" t="s">
        <v>53</v>
      </c>
      <c r="G743" t="s">
        <v>757</v>
      </c>
      <c r="H743" t="s">
        <v>42</v>
      </c>
      <c r="I743" t="s">
        <v>43</v>
      </c>
      <c r="J743" t="s">
        <v>1275</v>
      </c>
      <c r="K743" t="s">
        <v>56</v>
      </c>
      <c r="M743" t="s">
        <v>106</v>
      </c>
      <c r="P743" t="s">
        <v>58</v>
      </c>
      <c r="Q743" t="s">
        <v>47</v>
      </c>
      <c r="R743" t="s">
        <v>48</v>
      </c>
      <c r="V743" t="s">
        <v>49</v>
      </c>
      <c r="X743" t="s">
        <v>49</v>
      </c>
      <c r="Y743" t="s">
        <v>59</v>
      </c>
      <c r="Z743" t="s">
        <v>1277</v>
      </c>
      <c r="AA743" t="s">
        <v>1277</v>
      </c>
    </row>
    <row r="744" spans="1:27" x14ac:dyDescent="0.35">
      <c r="A744" t="str">
        <f t="shared" si="23"/>
        <v>2503D2</v>
      </c>
      <c r="B744" t="str">
        <f t="shared" si="22"/>
        <v>2503</v>
      </c>
      <c r="C744" t="s">
        <v>1278</v>
      </c>
      <c r="D744" t="s">
        <v>2</v>
      </c>
      <c r="E744" t="s">
        <v>62</v>
      </c>
      <c r="F744" t="s">
        <v>63</v>
      </c>
      <c r="G744" t="s">
        <v>757</v>
      </c>
      <c r="H744" t="s">
        <v>42</v>
      </c>
      <c r="I744" t="s">
        <v>43</v>
      </c>
      <c r="J744" t="s">
        <v>1275</v>
      </c>
      <c r="K744" t="s">
        <v>56</v>
      </c>
      <c r="M744" t="s">
        <v>106</v>
      </c>
      <c r="P744" t="s">
        <v>58</v>
      </c>
      <c r="Q744" t="s">
        <v>47</v>
      </c>
      <c r="R744" t="s">
        <v>48</v>
      </c>
      <c r="V744" t="s">
        <v>49</v>
      </c>
      <c r="X744" t="s">
        <v>49</v>
      </c>
      <c r="Y744" t="s">
        <v>59</v>
      </c>
      <c r="Z744" t="s">
        <v>1277</v>
      </c>
      <c r="AA744" t="s">
        <v>1277</v>
      </c>
    </row>
    <row r="745" spans="1:27" x14ac:dyDescent="0.35">
      <c r="A745" t="str">
        <f t="shared" si="23"/>
        <v>2503F3</v>
      </c>
      <c r="B745" t="str">
        <f t="shared" si="22"/>
        <v>2503</v>
      </c>
      <c r="C745" t="s">
        <v>1279</v>
      </c>
      <c r="D745" t="s">
        <v>5</v>
      </c>
      <c r="E745" t="s">
        <v>40</v>
      </c>
      <c r="F745" t="s">
        <v>73</v>
      </c>
      <c r="G745" t="s">
        <v>757</v>
      </c>
      <c r="H745" t="s">
        <v>42</v>
      </c>
      <c r="I745" t="s">
        <v>67</v>
      </c>
      <c r="J745" t="s">
        <v>1275</v>
      </c>
      <c r="M745" t="s">
        <v>106</v>
      </c>
      <c r="P745" t="s">
        <v>46</v>
      </c>
      <c r="Q745" t="s">
        <v>47</v>
      </c>
      <c r="R745" t="s">
        <v>48</v>
      </c>
      <c r="V745" t="s">
        <v>49</v>
      </c>
      <c r="X745" t="s">
        <v>49</v>
      </c>
      <c r="Y745" t="s">
        <v>74</v>
      </c>
      <c r="Z745" t="s">
        <v>1260</v>
      </c>
      <c r="AA745" t="s">
        <v>1260</v>
      </c>
    </row>
    <row r="746" spans="1:27" x14ac:dyDescent="0.35">
      <c r="A746" t="str">
        <f t="shared" si="23"/>
        <v>2503C2</v>
      </c>
      <c r="B746" t="str">
        <f t="shared" si="22"/>
        <v>2503</v>
      </c>
      <c r="C746" t="s">
        <v>1280</v>
      </c>
      <c r="D746" t="s">
        <v>1</v>
      </c>
      <c r="E746" t="s">
        <v>65</v>
      </c>
      <c r="F746" t="s">
        <v>66</v>
      </c>
      <c r="G746" t="s">
        <v>757</v>
      </c>
      <c r="H746" t="s">
        <v>42</v>
      </c>
      <c r="I746" t="s">
        <v>67</v>
      </c>
      <c r="J746" t="s">
        <v>1275</v>
      </c>
      <c r="M746" t="s">
        <v>106</v>
      </c>
      <c r="P746" t="s">
        <v>69</v>
      </c>
      <c r="Q746" t="s">
        <v>47</v>
      </c>
      <c r="R746" t="s">
        <v>48</v>
      </c>
      <c r="V746" t="s">
        <v>49</v>
      </c>
      <c r="X746" t="s">
        <v>49</v>
      </c>
      <c r="Y746" t="s">
        <v>70</v>
      </c>
      <c r="Z746" t="s">
        <v>1281</v>
      </c>
      <c r="AA746" t="s">
        <v>1281</v>
      </c>
    </row>
    <row r="747" spans="1:27" x14ac:dyDescent="0.35">
      <c r="A747" t="str">
        <f t="shared" si="23"/>
        <v>2503D7</v>
      </c>
      <c r="B747" t="str">
        <f t="shared" si="22"/>
        <v>2503</v>
      </c>
      <c r="C747" t="s">
        <v>1282</v>
      </c>
      <c r="D747" t="s">
        <v>6</v>
      </c>
      <c r="E747" t="s">
        <v>94</v>
      </c>
      <c r="F747" t="s">
        <v>111</v>
      </c>
      <c r="G747" t="s">
        <v>757</v>
      </c>
      <c r="H747" t="s">
        <v>42</v>
      </c>
      <c r="I747" t="s">
        <v>43</v>
      </c>
      <c r="J747" t="s">
        <v>1275</v>
      </c>
      <c r="M747" t="s">
        <v>106</v>
      </c>
      <c r="P747" t="s">
        <v>46</v>
      </c>
      <c r="Q747" t="s">
        <v>47</v>
      </c>
      <c r="R747" t="s">
        <v>48</v>
      </c>
      <c r="V747" t="s">
        <v>49</v>
      </c>
      <c r="X747" t="s">
        <v>49</v>
      </c>
      <c r="Y747" t="s">
        <v>59</v>
      </c>
      <c r="Z747" t="s">
        <v>1263</v>
      </c>
      <c r="AA747" t="s">
        <v>1263</v>
      </c>
    </row>
    <row r="748" spans="1:27" x14ac:dyDescent="0.35">
      <c r="A748" t="str">
        <f t="shared" si="23"/>
        <v>2502F2</v>
      </c>
      <c r="B748" t="str">
        <f t="shared" si="22"/>
        <v>2502</v>
      </c>
      <c r="C748" t="s">
        <v>1283</v>
      </c>
      <c r="D748" t="s">
        <v>4</v>
      </c>
      <c r="E748" t="s">
        <v>77</v>
      </c>
      <c r="F748" t="s">
        <v>78</v>
      </c>
      <c r="G748" t="s">
        <v>757</v>
      </c>
      <c r="H748" t="s">
        <v>42</v>
      </c>
      <c r="I748" t="s">
        <v>67</v>
      </c>
      <c r="J748" t="s">
        <v>1284</v>
      </c>
      <c r="M748" t="s">
        <v>106</v>
      </c>
      <c r="P748" t="s">
        <v>91</v>
      </c>
      <c r="Q748" t="s">
        <v>47</v>
      </c>
      <c r="R748" t="s">
        <v>48</v>
      </c>
      <c r="V748" t="s">
        <v>49</v>
      </c>
      <c r="X748" t="s">
        <v>49</v>
      </c>
      <c r="Y748" t="s">
        <v>74</v>
      </c>
      <c r="Z748" t="s">
        <v>1285</v>
      </c>
      <c r="AA748" t="s">
        <v>1285</v>
      </c>
    </row>
    <row r="749" spans="1:27" x14ac:dyDescent="0.35">
      <c r="A749" t="str">
        <f t="shared" si="23"/>
        <v>2502D4</v>
      </c>
      <c r="B749" t="str">
        <f t="shared" si="22"/>
        <v>2502</v>
      </c>
      <c r="C749" t="s">
        <v>1286</v>
      </c>
      <c r="D749" t="s">
        <v>3</v>
      </c>
      <c r="E749" t="s">
        <v>52</v>
      </c>
      <c r="F749" t="s">
        <v>53</v>
      </c>
      <c r="G749" t="s">
        <v>757</v>
      </c>
      <c r="H749" t="s">
        <v>42</v>
      </c>
      <c r="I749" t="s">
        <v>43</v>
      </c>
      <c r="J749" t="s">
        <v>1284</v>
      </c>
      <c r="K749" t="s">
        <v>56</v>
      </c>
      <c r="M749" t="s">
        <v>106</v>
      </c>
      <c r="P749" t="s">
        <v>58</v>
      </c>
      <c r="Q749" t="s">
        <v>47</v>
      </c>
      <c r="R749" t="s">
        <v>48</v>
      </c>
      <c r="V749" t="s">
        <v>49</v>
      </c>
      <c r="X749" t="s">
        <v>49</v>
      </c>
      <c r="Y749" t="s">
        <v>59</v>
      </c>
      <c r="Z749" t="s">
        <v>1258</v>
      </c>
      <c r="AA749" t="s">
        <v>1258</v>
      </c>
    </row>
    <row r="750" spans="1:27" x14ac:dyDescent="0.35">
      <c r="A750" t="str">
        <f t="shared" si="23"/>
        <v>2502D2</v>
      </c>
      <c r="B750" t="str">
        <f t="shared" si="22"/>
        <v>2502</v>
      </c>
      <c r="C750" t="s">
        <v>1287</v>
      </c>
      <c r="D750" t="s">
        <v>2</v>
      </c>
      <c r="E750" t="s">
        <v>62</v>
      </c>
      <c r="F750" t="s">
        <v>63</v>
      </c>
      <c r="G750" t="s">
        <v>757</v>
      </c>
      <c r="H750" t="s">
        <v>42</v>
      </c>
      <c r="I750" t="s">
        <v>43</v>
      </c>
      <c r="J750" t="s">
        <v>1284</v>
      </c>
      <c r="K750" t="s">
        <v>56</v>
      </c>
      <c r="M750" t="s">
        <v>106</v>
      </c>
      <c r="P750" t="s">
        <v>58</v>
      </c>
      <c r="Q750" t="s">
        <v>47</v>
      </c>
      <c r="R750" t="s">
        <v>48</v>
      </c>
      <c r="V750" t="s">
        <v>49</v>
      </c>
      <c r="X750" t="s">
        <v>49</v>
      </c>
      <c r="Y750" t="s">
        <v>59</v>
      </c>
      <c r="Z750" t="s">
        <v>1258</v>
      </c>
      <c r="AA750" t="s">
        <v>1258</v>
      </c>
    </row>
    <row r="751" spans="1:27" x14ac:dyDescent="0.35">
      <c r="A751" t="str">
        <f t="shared" si="23"/>
        <v>2502F3</v>
      </c>
      <c r="B751" t="str">
        <f t="shared" si="22"/>
        <v>2502</v>
      </c>
      <c r="C751" t="s">
        <v>1288</v>
      </c>
      <c r="D751" t="s">
        <v>5</v>
      </c>
      <c r="E751" t="s">
        <v>40</v>
      </c>
      <c r="F751" t="s">
        <v>73</v>
      </c>
      <c r="G751" t="s">
        <v>757</v>
      </c>
      <c r="H751" t="s">
        <v>42</v>
      </c>
      <c r="I751" t="s">
        <v>67</v>
      </c>
      <c r="J751" t="s">
        <v>1284</v>
      </c>
      <c r="M751" t="s">
        <v>106</v>
      </c>
      <c r="P751" t="s">
        <v>46</v>
      </c>
      <c r="Q751" t="s">
        <v>47</v>
      </c>
      <c r="R751" t="s">
        <v>48</v>
      </c>
      <c r="V751" t="s">
        <v>49</v>
      </c>
      <c r="X751" t="s">
        <v>49</v>
      </c>
      <c r="Y751" t="s">
        <v>74</v>
      </c>
      <c r="Z751" t="s">
        <v>1260</v>
      </c>
      <c r="AA751" t="s">
        <v>1260</v>
      </c>
    </row>
    <row r="752" spans="1:27" x14ac:dyDescent="0.35">
      <c r="A752" t="str">
        <f t="shared" si="23"/>
        <v>2502C2</v>
      </c>
      <c r="B752" t="str">
        <f t="shared" si="22"/>
        <v>2502</v>
      </c>
      <c r="C752" t="s">
        <v>1289</v>
      </c>
      <c r="D752" t="s">
        <v>1</v>
      </c>
      <c r="E752" t="s">
        <v>65</v>
      </c>
      <c r="F752" t="s">
        <v>66</v>
      </c>
      <c r="G752" t="s">
        <v>757</v>
      </c>
      <c r="H752" t="s">
        <v>42</v>
      </c>
      <c r="I752" t="s">
        <v>67</v>
      </c>
      <c r="J752" t="s">
        <v>1284</v>
      </c>
      <c r="M752" t="s">
        <v>106</v>
      </c>
      <c r="P752" t="s">
        <v>69</v>
      </c>
      <c r="Q752" t="s">
        <v>47</v>
      </c>
      <c r="R752" t="s">
        <v>48</v>
      </c>
      <c r="V752" t="s">
        <v>49</v>
      </c>
      <c r="X752" t="s">
        <v>49</v>
      </c>
      <c r="Y752" t="s">
        <v>70</v>
      </c>
      <c r="Z752" t="s">
        <v>1290</v>
      </c>
      <c r="AA752" t="s">
        <v>1290</v>
      </c>
    </row>
    <row r="753" spans="1:27" x14ac:dyDescent="0.35">
      <c r="A753" t="str">
        <f t="shared" si="23"/>
        <v>2502D7</v>
      </c>
      <c r="B753" t="str">
        <f t="shared" si="22"/>
        <v>2502</v>
      </c>
      <c r="C753" t="s">
        <v>1291</v>
      </c>
      <c r="D753" t="s">
        <v>6</v>
      </c>
      <c r="E753" t="s">
        <v>94</v>
      </c>
      <c r="F753" t="s">
        <v>111</v>
      </c>
      <c r="G753" t="s">
        <v>757</v>
      </c>
      <c r="H753" t="s">
        <v>42</v>
      </c>
      <c r="I753" t="s">
        <v>43</v>
      </c>
      <c r="J753" t="s">
        <v>1284</v>
      </c>
      <c r="M753" t="s">
        <v>106</v>
      </c>
      <c r="P753" t="s">
        <v>46</v>
      </c>
      <c r="Q753" t="s">
        <v>47</v>
      </c>
      <c r="R753" t="s">
        <v>48</v>
      </c>
      <c r="V753" t="s">
        <v>49</v>
      </c>
      <c r="X753" t="s">
        <v>49</v>
      </c>
      <c r="Y753" t="s">
        <v>59</v>
      </c>
      <c r="Z753" t="s">
        <v>1292</v>
      </c>
      <c r="AA753" t="s">
        <v>1292</v>
      </c>
    </row>
    <row r="754" spans="1:27" x14ac:dyDescent="0.35">
      <c r="A754" t="str">
        <f t="shared" si="23"/>
        <v>2501F2</v>
      </c>
      <c r="B754" t="str">
        <f t="shared" si="22"/>
        <v>2501</v>
      </c>
      <c r="C754" t="s">
        <v>1293</v>
      </c>
      <c r="D754" t="s">
        <v>4</v>
      </c>
      <c r="E754" t="s">
        <v>77</v>
      </c>
      <c r="F754" t="s">
        <v>78</v>
      </c>
      <c r="G754" t="s">
        <v>757</v>
      </c>
      <c r="H754" t="s">
        <v>42</v>
      </c>
      <c r="I754" t="s">
        <v>67</v>
      </c>
      <c r="J754" t="s">
        <v>1294</v>
      </c>
      <c r="M754" t="s">
        <v>106</v>
      </c>
      <c r="P754" t="s">
        <v>138</v>
      </c>
      <c r="Q754" t="s">
        <v>47</v>
      </c>
      <c r="R754" t="s">
        <v>48</v>
      </c>
      <c r="V754" t="s">
        <v>49</v>
      </c>
      <c r="X754" t="s">
        <v>49</v>
      </c>
      <c r="Y754" t="s">
        <v>74</v>
      </c>
      <c r="Z754" t="s">
        <v>1295</v>
      </c>
      <c r="AA754" t="s">
        <v>1285</v>
      </c>
    </row>
    <row r="755" spans="1:27" x14ac:dyDescent="0.35">
      <c r="A755" t="str">
        <f t="shared" si="23"/>
        <v>2501D4</v>
      </c>
      <c r="B755" t="str">
        <f t="shared" si="22"/>
        <v>2501</v>
      </c>
      <c r="C755" t="s">
        <v>1296</v>
      </c>
      <c r="D755" t="s">
        <v>3</v>
      </c>
      <c r="E755" t="s">
        <v>52</v>
      </c>
      <c r="F755" t="s">
        <v>53</v>
      </c>
      <c r="G755" t="s">
        <v>757</v>
      </c>
      <c r="H755" t="s">
        <v>42</v>
      </c>
      <c r="I755" t="s">
        <v>43</v>
      </c>
      <c r="J755" t="s">
        <v>1294</v>
      </c>
      <c r="K755" t="s">
        <v>56</v>
      </c>
      <c r="M755" t="s">
        <v>106</v>
      </c>
      <c r="P755" t="s">
        <v>58</v>
      </c>
      <c r="Q755" t="s">
        <v>47</v>
      </c>
      <c r="R755" t="s">
        <v>48</v>
      </c>
      <c r="V755" t="s">
        <v>49</v>
      </c>
      <c r="X755" t="s">
        <v>49</v>
      </c>
      <c r="Y755" t="s">
        <v>59</v>
      </c>
      <c r="Z755" t="s">
        <v>1258</v>
      </c>
      <c r="AA755" t="s">
        <v>1258</v>
      </c>
    </row>
    <row r="756" spans="1:27" x14ac:dyDescent="0.35">
      <c r="A756" t="str">
        <f t="shared" si="23"/>
        <v>2501D2</v>
      </c>
      <c r="B756" t="str">
        <f t="shared" si="22"/>
        <v>2501</v>
      </c>
      <c r="C756" t="s">
        <v>1297</v>
      </c>
      <c r="D756" t="s">
        <v>2</v>
      </c>
      <c r="E756" t="s">
        <v>62</v>
      </c>
      <c r="F756" t="s">
        <v>63</v>
      </c>
      <c r="G756" t="s">
        <v>757</v>
      </c>
      <c r="H756" t="s">
        <v>42</v>
      </c>
      <c r="I756" t="s">
        <v>43</v>
      </c>
      <c r="J756" t="s">
        <v>1294</v>
      </c>
      <c r="K756" t="s">
        <v>56</v>
      </c>
      <c r="M756" t="s">
        <v>106</v>
      </c>
      <c r="P756" t="s">
        <v>58</v>
      </c>
      <c r="Q756" t="s">
        <v>47</v>
      </c>
      <c r="R756" t="s">
        <v>48</v>
      </c>
      <c r="V756" t="s">
        <v>49</v>
      </c>
      <c r="X756" t="s">
        <v>49</v>
      </c>
      <c r="Y756" t="s">
        <v>59</v>
      </c>
      <c r="Z756" t="s">
        <v>1258</v>
      </c>
      <c r="AA756" t="s">
        <v>1258</v>
      </c>
    </row>
    <row r="757" spans="1:27" x14ac:dyDescent="0.35">
      <c r="A757" t="str">
        <f t="shared" si="23"/>
        <v>2501F3</v>
      </c>
      <c r="B757" t="str">
        <f t="shared" si="22"/>
        <v>2501</v>
      </c>
      <c r="C757" t="s">
        <v>1298</v>
      </c>
      <c r="D757" t="s">
        <v>5</v>
      </c>
      <c r="E757" t="s">
        <v>40</v>
      </c>
      <c r="F757" t="s">
        <v>73</v>
      </c>
      <c r="G757" t="s">
        <v>757</v>
      </c>
      <c r="H757" t="s">
        <v>42</v>
      </c>
      <c r="I757" t="s">
        <v>67</v>
      </c>
      <c r="J757" t="s">
        <v>1294</v>
      </c>
      <c r="M757" t="s">
        <v>106</v>
      </c>
      <c r="P757" t="s">
        <v>46</v>
      </c>
      <c r="Q757" t="s">
        <v>47</v>
      </c>
      <c r="R757" t="s">
        <v>48</v>
      </c>
      <c r="V757" t="s">
        <v>49</v>
      </c>
      <c r="X757" t="s">
        <v>49</v>
      </c>
      <c r="Y757" t="s">
        <v>74</v>
      </c>
      <c r="Z757" t="s">
        <v>1260</v>
      </c>
      <c r="AA757" t="s">
        <v>1260</v>
      </c>
    </row>
    <row r="758" spans="1:27" x14ac:dyDescent="0.35">
      <c r="A758" t="str">
        <f t="shared" si="23"/>
        <v>2501C2</v>
      </c>
      <c r="B758" t="str">
        <f t="shared" si="22"/>
        <v>2501</v>
      </c>
      <c r="C758" t="s">
        <v>1299</v>
      </c>
      <c r="D758" t="s">
        <v>1</v>
      </c>
      <c r="E758" t="s">
        <v>65</v>
      </c>
      <c r="F758" t="s">
        <v>66</v>
      </c>
      <c r="G758" t="s">
        <v>757</v>
      </c>
      <c r="H758" t="s">
        <v>42</v>
      </c>
      <c r="I758" t="s">
        <v>67</v>
      </c>
      <c r="J758" t="s">
        <v>1294</v>
      </c>
      <c r="M758" t="s">
        <v>106</v>
      </c>
      <c r="P758" t="s">
        <v>69</v>
      </c>
      <c r="Q758" t="s">
        <v>47</v>
      </c>
      <c r="R758" t="s">
        <v>48</v>
      </c>
      <c r="V758" t="s">
        <v>49</v>
      </c>
      <c r="X758" t="s">
        <v>49</v>
      </c>
      <c r="Y758" t="s">
        <v>70</v>
      </c>
      <c r="Z758" t="s">
        <v>3586</v>
      </c>
      <c r="AA758" t="s">
        <v>3586</v>
      </c>
    </row>
    <row r="759" spans="1:27" x14ac:dyDescent="0.35">
      <c r="A759" t="str">
        <f t="shared" si="23"/>
        <v>2501D7</v>
      </c>
      <c r="B759" t="str">
        <f t="shared" si="22"/>
        <v>2501</v>
      </c>
      <c r="C759" t="s">
        <v>1300</v>
      </c>
      <c r="D759" t="s">
        <v>6</v>
      </c>
      <c r="E759" t="s">
        <v>94</v>
      </c>
      <c r="F759" t="s">
        <v>111</v>
      </c>
      <c r="G759" t="s">
        <v>757</v>
      </c>
      <c r="H759" t="s">
        <v>42</v>
      </c>
      <c r="I759" t="s">
        <v>43</v>
      </c>
      <c r="J759" t="s">
        <v>1294</v>
      </c>
      <c r="M759" t="s">
        <v>106</v>
      </c>
      <c r="P759" t="s">
        <v>46</v>
      </c>
      <c r="Q759" t="s">
        <v>47</v>
      </c>
      <c r="R759" t="s">
        <v>48</v>
      </c>
      <c r="V759" t="s">
        <v>49</v>
      </c>
      <c r="X759" t="s">
        <v>49</v>
      </c>
      <c r="Y759" t="s">
        <v>59</v>
      </c>
      <c r="Z759" t="s">
        <v>1292</v>
      </c>
      <c r="AA759" t="s">
        <v>1292</v>
      </c>
    </row>
    <row r="760" spans="1:27" x14ac:dyDescent="0.35">
      <c r="A760" t="str">
        <f t="shared" si="23"/>
        <v>2410F2</v>
      </c>
      <c r="B760" t="str">
        <f t="shared" si="22"/>
        <v>2410</v>
      </c>
      <c r="C760" t="s">
        <v>1301</v>
      </c>
      <c r="D760" t="s">
        <v>4</v>
      </c>
      <c r="E760" t="s">
        <v>77</v>
      </c>
      <c r="F760" t="s">
        <v>78</v>
      </c>
      <c r="G760" t="s">
        <v>757</v>
      </c>
      <c r="H760" t="s">
        <v>42</v>
      </c>
      <c r="I760" t="s">
        <v>67</v>
      </c>
      <c r="J760" t="s">
        <v>1302</v>
      </c>
      <c r="M760" t="s">
        <v>106</v>
      </c>
      <c r="P760" t="s">
        <v>79</v>
      </c>
      <c r="Q760" t="s">
        <v>47</v>
      </c>
      <c r="R760" t="s">
        <v>48</v>
      </c>
      <c r="V760" t="s">
        <v>49</v>
      </c>
      <c r="X760" t="s">
        <v>49</v>
      </c>
      <c r="Y760" t="s">
        <v>74</v>
      </c>
      <c r="Z760" t="s">
        <v>1303</v>
      </c>
      <c r="AA760" t="s">
        <v>1303</v>
      </c>
    </row>
    <row r="761" spans="1:27" x14ac:dyDescent="0.35">
      <c r="A761" t="str">
        <f t="shared" si="23"/>
        <v>2410D4</v>
      </c>
      <c r="B761" t="str">
        <f t="shared" si="22"/>
        <v>2410</v>
      </c>
      <c r="C761" t="s">
        <v>1304</v>
      </c>
      <c r="D761" t="s">
        <v>3</v>
      </c>
      <c r="E761" t="s">
        <v>52</v>
      </c>
      <c r="F761" t="s">
        <v>53</v>
      </c>
      <c r="G761" t="s">
        <v>757</v>
      </c>
      <c r="H761" t="s">
        <v>42</v>
      </c>
      <c r="I761" t="s">
        <v>43</v>
      </c>
      <c r="J761" t="s">
        <v>1302</v>
      </c>
      <c r="K761" t="s">
        <v>56</v>
      </c>
      <c r="M761" t="s">
        <v>106</v>
      </c>
      <c r="P761" t="s">
        <v>58</v>
      </c>
      <c r="Q761" t="s">
        <v>47</v>
      </c>
      <c r="R761" t="s">
        <v>48</v>
      </c>
      <c r="V761" t="s">
        <v>49</v>
      </c>
      <c r="X761" t="s">
        <v>49</v>
      </c>
      <c r="Y761" t="s">
        <v>59</v>
      </c>
      <c r="Z761" t="s">
        <v>1305</v>
      </c>
      <c r="AA761" t="s">
        <v>1305</v>
      </c>
    </row>
    <row r="762" spans="1:27" x14ac:dyDescent="0.35">
      <c r="A762" t="str">
        <f t="shared" si="23"/>
        <v>2410D2</v>
      </c>
      <c r="B762" t="str">
        <f t="shared" si="22"/>
        <v>2410</v>
      </c>
      <c r="C762" t="s">
        <v>1306</v>
      </c>
      <c r="D762" t="s">
        <v>2</v>
      </c>
      <c r="E762" t="s">
        <v>62</v>
      </c>
      <c r="F762" t="s">
        <v>63</v>
      </c>
      <c r="G762" t="s">
        <v>757</v>
      </c>
      <c r="H762" t="s">
        <v>42</v>
      </c>
      <c r="I762" t="s">
        <v>43</v>
      </c>
      <c r="J762" t="s">
        <v>1302</v>
      </c>
      <c r="K762" t="s">
        <v>56</v>
      </c>
      <c r="M762" t="s">
        <v>106</v>
      </c>
      <c r="P762" t="s">
        <v>58</v>
      </c>
      <c r="Q762" t="s">
        <v>47</v>
      </c>
      <c r="R762" t="s">
        <v>48</v>
      </c>
      <c r="V762" t="s">
        <v>49</v>
      </c>
      <c r="X762" t="s">
        <v>49</v>
      </c>
      <c r="Y762" t="s">
        <v>59</v>
      </c>
      <c r="Z762" t="s">
        <v>1307</v>
      </c>
      <c r="AA762" t="s">
        <v>1307</v>
      </c>
    </row>
    <row r="763" spans="1:27" x14ac:dyDescent="0.35">
      <c r="A763" t="str">
        <f t="shared" si="23"/>
        <v>2410F3</v>
      </c>
      <c r="B763" t="str">
        <f t="shared" si="22"/>
        <v>2410</v>
      </c>
      <c r="C763" t="s">
        <v>1308</v>
      </c>
      <c r="D763" t="s">
        <v>5</v>
      </c>
      <c r="E763" t="s">
        <v>40</v>
      </c>
      <c r="F763" t="s">
        <v>73</v>
      </c>
      <c r="G763" t="s">
        <v>757</v>
      </c>
      <c r="H763" t="s">
        <v>42</v>
      </c>
      <c r="I763" t="s">
        <v>67</v>
      </c>
      <c r="J763" t="s">
        <v>1302</v>
      </c>
      <c r="M763" t="s">
        <v>106</v>
      </c>
      <c r="P763" t="s">
        <v>46</v>
      </c>
      <c r="Q763" t="s">
        <v>47</v>
      </c>
      <c r="R763" t="s">
        <v>48</v>
      </c>
      <c r="V763" t="s">
        <v>49</v>
      </c>
      <c r="X763" t="s">
        <v>49</v>
      </c>
      <c r="Y763" t="s">
        <v>74</v>
      </c>
      <c r="Z763" t="s">
        <v>1309</v>
      </c>
      <c r="AA763" t="s">
        <v>1309</v>
      </c>
    </row>
    <row r="764" spans="1:27" x14ac:dyDescent="0.35">
      <c r="A764" t="str">
        <f t="shared" si="23"/>
        <v>2410C2</v>
      </c>
      <c r="B764" t="str">
        <f t="shared" si="22"/>
        <v>2410</v>
      </c>
      <c r="C764" t="s">
        <v>1310</v>
      </c>
      <c r="D764" t="s">
        <v>1</v>
      </c>
      <c r="E764" t="s">
        <v>65</v>
      </c>
      <c r="F764" t="s">
        <v>66</v>
      </c>
      <c r="G764" t="s">
        <v>757</v>
      </c>
      <c r="H764" t="s">
        <v>42</v>
      </c>
      <c r="I764" t="s">
        <v>67</v>
      </c>
      <c r="J764" t="s">
        <v>1302</v>
      </c>
      <c r="M764" t="s">
        <v>106</v>
      </c>
      <c r="P764" t="s">
        <v>69</v>
      </c>
      <c r="Q764" t="s">
        <v>47</v>
      </c>
      <c r="R764" t="s">
        <v>48</v>
      </c>
      <c r="V764" t="s">
        <v>49</v>
      </c>
      <c r="X764" t="s">
        <v>49</v>
      </c>
      <c r="Y764" t="s">
        <v>70</v>
      </c>
      <c r="Z764" t="s">
        <v>1227</v>
      </c>
      <c r="AA764" t="s">
        <v>1227</v>
      </c>
    </row>
    <row r="765" spans="1:27" x14ac:dyDescent="0.35">
      <c r="A765" t="str">
        <f t="shared" si="23"/>
        <v>2410D7</v>
      </c>
      <c r="B765" t="str">
        <f t="shared" si="22"/>
        <v>2410</v>
      </c>
      <c r="C765" t="s">
        <v>1311</v>
      </c>
      <c r="D765" t="s">
        <v>6</v>
      </c>
      <c r="E765" t="s">
        <v>94</v>
      </c>
      <c r="F765" t="s">
        <v>111</v>
      </c>
      <c r="G765" t="s">
        <v>757</v>
      </c>
      <c r="H765" t="s">
        <v>42</v>
      </c>
      <c r="I765" t="s">
        <v>43</v>
      </c>
      <c r="J765" t="s">
        <v>1302</v>
      </c>
      <c r="M765" t="s">
        <v>106</v>
      </c>
      <c r="P765" t="s">
        <v>46</v>
      </c>
      <c r="Q765" t="s">
        <v>47</v>
      </c>
      <c r="R765" t="s">
        <v>48</v>
      </c>
      <c r="V765" t="s">
        <v>49</v>
      </c>
      <c r="X765" t="s">
        <v>49</v>
      </c>
      <c r="Y765" t="s">
        <v>59</v>
      </c>
      <c r="Z765" t="s">
        <v>1312</v>
      </c>
      <c r="AA765" t="s">
        <v>1312</v>
      </c>
    </row>
    <row r="766" spans="1:27" x14ac:dyDescent="0.35">
      <c r="A766" t="str">
        <f t="shared" si="23"/>
        <v>2409F2</v>
      </c>
      <c r="B766" t="str">
        <f t="shared" si="22"/>
        <v>2409</v>
      </c>
      <c r="C766" t="s">
        <v>1313</v>
      </c>
      <c r="D766" t="s">
        <v>4</v>
      </c>
      <c r="E766" t="s">
        <v>77</v>
      </c>
      <c r="F766" t="s">
        <v>78</v>
      </c>
      <c r="G766" t="s">
        <v>757</v>
      </c>
      <c r="H766" t="s">
        <v>42</v>
      </c>
      <c r="I766" t="s">
        <v>67</v>
      </c>
      <c r="J766" t="s">
        <v>1314</v>
      </c>
      <c r="M766" t="s">
        <v>106</v>
      </c>
      <c r="P766" t="s">
        <v>1315</v>
      </c>
      <c r="Q766" t="s">
        <v>47</v>
      </c>
      <c r="R766" t="s">
        <v>48</v>
      </c>
      <c r="V766" t="s">
        <v>49</v>
      </c>
      <c r="X766" t="s">
        <v>49</v>
      </c>
      <c r="Y766" t="s">
        <v>74</v>
      </c>
      <c r="Z766" t="s">
        <v>1316</v>
      </c>
      <c r="AA766" t="s">
        <v>1316</v>
      </c>
    </row>
    <row r="767" spans="1:27" x14ac:dyDescent="0.35">
      <c r="A767" t="str">
        <f t="shared" si="23"/>
        <v>2409D4</v>
      </c>
      <c r="B767" t="str">
        <f t="shared" si="22"/>
        <v>2409</v>
      </c>
      <c r="C767" t="s">
        <v>1317</v>
      </c>
      <c r="D767" t="s">
        <v>3</v>
      </c>
      <c r="E767" t="s">
        <v>52</v>
      </c>
      <c r="F767" t="s">
        <v>53</v>
      </c>
      <c r="G767" t="s">
        <v>757</v>
      </c>
      <c r="H767" t="s">
        <v>42</v>
      </c>
      <c r="I767" t="s">
        <v>43</v>
      </c>
      <c r="J767" t="s">
        <v>1314</v>
      </c>
      <c r="K767" t="s">
        <v>56</v>
      </c>
      <c r="M767" t="s">
        <v>106</v>
      </c>
      <c r="P767" t="s">
        <v>58</v>
      </c>
      <c r="Q767" t="s">
        <v>47</v>
      </c>
      <c r="R767" t="s">
        <v>48</v>
      </c>
      <c r="V767" t="s">
        <v>49</v>
      </c>
      <c r="X767" t="s">
        <v>49</v>
      </c>
      <c r="Y767" t="s">
        <v>59</v>
      </c>
      <c r="Z767" t="s">
        <v>1258</v>
      </c>
      <c r="AA767" t="s">
        <v>1258</v>
      </c>
    </row>
    <row r="768" spans="1:27" x14ac:dyDescent="0.35">
      <c r="A768" t="str">
        <f t="shared" si="23"/>
        <v>2409D2</v>
      </c>
      <c r="B768" t="str">
        <f t="shared" si="22"/>
        <v>2409</v>
      </c>
      <c r="C768" t="s">
        <v>1318</v>
      </c>
      <c r="D768" t="s">
        <v>2</v>
      </c>
      <c r="E768" t="s">
        <v>62</v>
      </c>
      <c r="F768" t="s">
        <v>63</v>
      </c>
      <c r="G768" t="s">
        <v>757</v>
      </c>
      <c r="H768" t="s">
        <v>42</v>
      </c>
      <c r="I768" t="s">
        <v>43</v>
      </c>
      <c r="J768" t="s">
        <v>1314</v>
      </c>
      <c r="K768" t="s">
        <v>56</v>
      </c>
      <c r="M768" t="s">
        <v>106</v>
      </c>
      <c r="P768" t="s">
        <v>58</v>
      </c>
      <c r="Q768" t="s">
        <v>47</v>
      </c>
      <c r="R768" t="s">
        <v>48</v>
      </c>
      <c r="V768" t="s">
        <v>49</v>
      </c>
      <c r="X768" t="s">
        <v>49</v>
      </c>
      <c r="Y768" t="s">
        <v>59</v>
      </c>
      <c r="Z768" t="s">
        <v>1258</v>
      </c>
      <c r="AA768" t="s">
        <v>1258</v>
      </c>
    </row>
    <row r="769" spans="1:27" x14ac:dyDescent="0.35">
      <c r="A769" t="str">
        <f t="shared" si="23"/>
        <v>2409F3</v>
      </c>
      <c r="B769" t="str">
        <f t="shared" si="22"/>
        <v>2409</v>
      </c>
      <c r="C769" t="s">
        <v>1319</v>
      </c>
      <c r="D769" t="s">
        <v>5</v>
      </c>
      <c r="E769" t="s">
        <v>40</v>
      </c>
      <c r="F769" t="s">
        <v>73</v>
      </c>
      <c r="G769" t="s">
        <v>757</v>
      </c>
      <c r="H769" t="s">
        <v>42</v>
      </c>
      <c r="I769" t="s">
        <v>67</v>
      </c>
      <c r="J769" t="s">
        <v>1314</v>
      </c>
      <c r="M769" t="s">
        <v>106</v>
      </c>
      <c r="P769" t="s">
        <v>46</v>
      </c>
      <c r="Q769" t="s">
        <v>47</v>
      </c>
      <c r="R769" t="s">
        <v>48</v>
      </c>
      <c r="V769" t="s">
        <v>49</v>
      </c>
      <c r="X769" t="s">
        <v>49</v>
      </c>
      <c r="Y769" t="s">
        <v>74</v>
      </c>
      <c r="Z769" t="s">
        <v>1320</v>
      </c>
      <c r="AA769" t="s">
        <v>1320</v>
      </c>
    </row>
    <row r="770" spans="1:27" x14ac:dyDescent="0.35">
      <c r="A770" t="str">
        <f t="shared" si="23"/>
        <v>2409C2</v>
      </c>
      <c r="B770" t="str">
        <f t="shared" ref="B770:B833" si="24">LEFT($J:$J,4)</f>
        <v>2409</v>
      </c>
      <c r="C770" t="s">
        <v>1321</v>
      </c>
      <c r="D770" t="s">
        <v>1</v>
      </c>
      <c r="E770" t="s">
        <v>65</v>
      </c>
      <c r="F770" t="s">
        <v>66</v>
      </c>
      <c r="G770" t="s">
        <v>757</v>
      </c>
      <c r="H770" t="s">
        <v>42</v>
      </c>
      <c r="I770" t="s">
        <v>67</v>
      </c>
      <c r="J770" t="s">
        <v>1314</v>
      </c>
      <c r="M770" t="s">
        <v>106</v>
      </c>
      <c r="P770" t="s">
        <v>69</v>
      </c>
      <c r="Q770" t="s">
        <v>47</v>
      </c>
      <c r="R770" t="s">
        <v>48</v>
      </c>
      <c r="V770" t="s">
        <v>49</v>
      </c>
      <c r="X770" t="s">
        <v>49</v>
      </c>
      <c r="Y770" t="s">
        <v>70</v>
      </c>
      <c r="Z770" t="s">
        <v>598</v>
      </c>
      <c r="AA770" t="s">
        <v>598</v>
      </c>
    </row>
    <row r="771" spans="1:27" x14ac:dyDescent="0.35">
      <c r="A771" t="str">
        <f t="shared" ref="A771:A834" si="25">B771&amp;D771</f>
        <v>2409D7</v>
      </c>
      <c r="B771" t="str">
        <f t="shared" si="24"/>
        <v>2409</v>
      </c>
      <c r="C771" t="s">
        <v>1322</v>
      </c>
      <c r="D771" t="s">
        <v>6</v>
      </c>
      <c r="E771" t="s">
        <v>94</v>
      </c>
      <c r="F771" t="s">
        <v>111</v>
      </c>
      <c r="G771" t="s">
        <v>757</v>
      </c>
      <c r="H771" t="s">
        <v>42</v>
      </c>
      <c r="I771" t="s">
        <v>43</v>
      </c>
      <c r="J771" t="s">
        <v>1314</v>
      </c>
      <c r="M771" t="s">
        <v>106</v>
      </c>
      <c r="P771" t="s">
        <v>273</v>
      </c>
      <c r="Q771" t="s">
        <v>47</v>
      </c>
      <c r="R771" t="s">
        <v>48</v>
      </c>
      <c r="V771" t="s">
        <v>49</v>
      </c>
      <c r="X771" t="s">
        <v>49</v>
      </c>
      <c r="Y771" t="s">
        <v>59</v>
      </c>
      <c r="Z771" t="s">
        <v>1323</v>
      </c>
      <c r="AA771" t="s">
        <v>1323</v>
      </c>
    </row>
    <row r="772" spans="1:27" x14ac:dyDescent="0.35">
      <c r="A772" t="str">
        <f t="shared" si="25"/>
        <v>2408F2</v>
      </c>
      <c r="B772" t="str">
        <f t="shared" si="24"/>
        <v>2408</v>
      </c>
      <c r="C772" t="s">
        <v>1324</v>
      </c>
      <c r="D772" t="s">
        <v>4</v>
      </c>
      <c r="E772" t="s">
        <v>77</v>
      </c>
      <c r="F772" t="s">
        <v>78</v>
      </c>
      <c r="G772" t="s">
        <v>757</v>
      </c>
      <c r="H772" t="s">
        <v>42</v>
      </c>
      <c r="I772" t="s">
        <v>67</v>
      </c>
      <c r="J772" t="s">
        <v>1325</v>
      </c>
      <c r="M772" t="s">
        <v>106</v>
      </c>
      <c r="P772" t="s">
        <v>189</v>
      </c>
      <c r="Q772" t="s">
        <v>47</v>
      </c>
      <c r="R772" t="s">
        <v>48</v>
      </c>
      <c r="V772" t="s">
        <v>49</v>
      </c>
      <c r="X772" t="s">
        <v>49</v>
      </c>
      <c r="Y772" t="s">
        <v>74</v>
      </c>
      <c r="Z772" t="s">
        <v>1316</v>
      </c>
      <c r="AA772" t="s">
        <v>1316</v>
      </c>
    </row>
    <row r="773" spans="1:27" x14ac:dyDescent="0.35">
      <c r="A773" t="str">
        <f t="shared" si="25"/>
        <v>2408D4</v>
      </c>
      <c r="B773" t="str">
        <f t="shared" si="24"/>
        <v>2408</v>
      </c>
      <c r="C773" t="s">
        <v>1326</v>
      </c>
      <c r="D773" t="s">
        <v>3</v>
      </c>
      <c r="E773" t="s">
        <v>52</v>
      </c>
      <c r="F773" t="s">
        <v>53</v>
      </c>
      <c r="G773" t="s">
        <v>757</v>
      </c>
      <c r="H773" t="s">
        <v>42</v>
      </c>
      <c r="I773" t="s">
        <v>43</v>
      </c>
      <c r="J773" t="s">
        <v>1325</v>
      </c>
      <c r="K773" t="s">
        <v>56</v>
      </c>
      <c r="M773" t="s">
        <v>106</v>
      </c>
      <c r="P773" t="s">
        <v>58</v>
      </c>
      <c r="Q773" t="s">
        <v>47</v>
      </c>
      <c r="R773" t="s">
        <v>48</v>
      </c>
      <c r="V773" t="s">
        <v>49</v>
      </c>
      <c r="X773" t="s">
        <v>49</v>
      </c>
      <c r="Y773" t="s">
        <v>59</v>
      </c>
      <c r="Z773" t="s">
        <v>995</v>
      </c>
      <c r="AA773" t="s">
        <v>995</v>
      </c>
    </row>
    <row r="774" spans="1:27" x14ac:dyDescent="0.35">
      <c r="A774" t="str">
        <f t="shared" si="25"/>
        <v>2408D2</v>
      </c>
      <c r="B774" t="str">
        <f t="shared" si="24"/>
        <v>2408</v>
      </c>
      <c r="C774" t="s">
        <v>1327</v>
      </c>
      <c r="D774" t="s">
        <v>2</v>
      </c>
      <c r="E774" t="s">
        <v>62</v>
      </c>
      <c r="F774" t="s">
        <v>63</v>
      </c>
      <c r="G774" t="s">
        <v>757</v>
      </c>
      <c r="H774" t="s">
        <v>42</v>
      </c>
      <c r="I774" t="s">
        <v>43</v>
      </c>
      <c r="J774" t="s">
        <v>1325</v>
      </c>
      <c r="K774" t="s">
        <v>56</v>
      </c>
      <c r="M774" t="s">
        <v>106</v>
      </c>
      <c r="P774" t="s">
        <v>58</v>
      </c>
      <c r="Q774" t="s">
        <v>47</v>
      </c>
      <c r="R774" t="s">
        <v>48</v>
      </c>
      <c r="V774" t="s">
        <v>49</v>
      </c>
      <c r="X774" t="s">
        <v>49</v>
      </c>
      <c r="Y774" t="s">
        <v>59</v>
      </c>
      <c r="Z774" t="s">
        <v>995</v>
      </c>
      <c r="AA774" t="s">
        <v>995</v>
      </c>
    </row>
    <row r="775" spans="1:27" x14ac:dyDescent="0.35">
      <c r="A775" t="str">
        <f t="shared" si="25"/>
        <v>2408F3</v>
      </c>
      <c r="B775" t="str">
        <f t="shared" si="24"/>
        <v>2408</v>
      </c>
      <c r="C775" t="s">
        <v>1328</v>
      </c>
      <c r="D775" t="s">
        <v>5</v>
      </c>
      <c r="E775" t="s">
        <v>40</v>
      </c>
      <c r="F775" t="s">
        <v>73</v>
      </c>
      <c r="G775" t="s">
        <v>757</v>
      </c>
      <c r="H775" t="s">
        <v>42</v>
      </c>
      <c r="I775" t="s">
        <v>67</v>
      </c>
      <c r="J775" t="s">
        <v>1325</v>
      </c>
      <c r="M775" t="s">
        <v>106</v>
      </c>
      <c r="P775" t="s">
        <v>46</v>
      </c>
      <c r="Q775" t="s">
        <v>47</v>
      </c>
      <c r="R775" t="s">
        <v>48</v>
      </c>
      <c r="V775" t="s">
        <v>49</v>
      </c>
      <c r="X775" t="s">
        <v>49</v>
      </c>
      <c r="Y775" t="s">
        <v>74</v>
      </c>
      <c r="Z775" t="s">
        <v>1329</v>
      </c>
      <c r="AA775" t="s">
        <v>1329</v>
      </c>
    </row>
    <row r="776" spans="1:27" x14ac:dyDescent="0.35">
      <c r="A776" t="str">
        <f t="shared" si="25"/>
        <v>2408C2</v>
      </c>
      <c r="B776" t="str">
        <f t="shared" si="24"/>
        <v>2408</v>
      </c>
      <c r="C776" t="s">
        <v>1330</v>
      </c>
      <c r="D776" t="s">
        <v>1</v>
      </c>
      <c r="E776" t="s">
        <v>65</v>
      </c>
      <c r="F776" t="s">
        <v>66</v>
      </c>
      <c r="G776" t="s">
        <v>757</v>
      </c>
      <c r="H776" t="s">
        <v>42</v>
      </c>
      <c r="I776" t="s">
        <v>67</v>
      </c>
      <c r="J776" t="s">
        <v>1325</v>
      </c>
      <c r="M776" t="s">
        <v>106</v>
      </c>
      <c r="P776" t="s">
        <v>58</v>
      </c>
      <c r="Q776" t="s">
        <v>47</v>
      </c>
      <c r="R776" t="s">
        <v>48</v>
      </c>
      <c r="V776" t="s">
        <v>49</v>
      </c>
      <c r="X776" t="s">
        <v>49</v>
      </c>
      <c r="Y776" t="s">
        <v>70</v>
      </c>
      <c r="Z776" t="s">
        <v>995</v>
      </c>
      <c r="AA776" t="s">
        <v>995</v>
      </c>
    </row>
    <row r="777" spans="1:27" x14ac:dyDescent="0.35">
      <c r="A777" t="str">
        <f t="shared" si="25"/>
        <v>2408D7</v>
      </c>
      <c r="B777" t="str">
        <f t="shared" si="24"/>
        <v>2408</v>
      </c>
      <c r="C777" t="s">
        <v>1331</v>
      </c>
      <c r="D777" t="s">
        <v>6</v>
      </c>
      <c r="E777" t="s">
        <v>94</v>
      </c>
      <c r="F777" t="s">
        <v>111</v>
      </c>
      <c r="G777" t="s">
        <v>757</v>
      </c>
      <c r="H777" t="s">
        <v>42</v>
      </c>
      <c r="I777" t="s">
        <v>43</v>
      </c>
      <c r="J777" t="s">
        <v>1325</v>
      </c>
      <c r="M777" t="s">
        <v>106</v>
      </c>
      <c r="P777" t="s">
        <v>46</v>
      </c>
      <c r="Q777" t="s">
        <v>47</v>
      </c>
      <c r="R777" t="s">
        <v>48</v>
      </c>
      <c r="V777" t="s">
        <v>49</v>
      </c>
      <c r="X777" t="s">
        <v>49</v>
      </c>
      <c r="Y777" t="s">
        <v>59</v>
      </c>
      <c r="Z777" t="s">
        <v>1323</v>
      </c>
      <c r="AA777" t="s">
        <v>1332</v>
      </c>
    </row>
    <row r="778" spans="1:27" x14ac:dyDescent="0.35">
      <c r="A778" t="str">
        <f t="shared" si="25"/>
        <v>2407F2</v>
      </c>
      <c r="B778" t="str">
        <f t="shared" si="24"/>
        <v>2407</v>
      </c>
      <c r="C778" t="s">
        <v>1333</v>
      </c>
      <c r="D778" t="s">
        <v>4</v>
      </c>
      <c r="E778" t="s">
        <v>77</v>
      </c>
      <c r="F778" t="s">
        <v>78</v>
      </c>
      <c r="G778" t="s">
        <v>757</v>
      </c>
      <c r="H778" t="s">
        <v>42</v>
      </c>
      <c r="I778" t="s">
        <v>67</v>
      </c>
      <c r="J778" t="s">
        <v>1334</v>
      </c>
      <c r="M778" t="s">
        <v>106</v>
      </c>
      <c r="P778" t="s">
        <v>79</v>
      </c>
      <c r="Q778" t="s">
        <v>47</v>
      </c>
      <c r="R778" t="s">
        <v>48</v>
      </c>
      <c r="V778" t="s">
        <v>49</v>
      </c>
      <c r="X778" t="s">
        <v>49</v>
      </c>
      <c r="Y778" t="s">
        <v>74</v>
      </c>
      <c r="Z778" t="s">
        <v>1316</v>
      </c>
      <c r="AA778" t="s">
        <v>1316</v>
      </c>
    </row>
    <row r="779" spans="1:27" x14ac:dyDescent="0.35">
      <c r="A779" t="str">
        <f t="shared" si="25"/>
        <v>2407D4</v>
      </c>
      <c r="B779" t="str">
        <f t="shared" si="24"/>
        <v>2407</v>
      </c>
      <c r="C779" t="s">
        <v>1335</v>
      </c>
      <c r="D779" t="s">
        <v>3</v>
      </c>
      <c r="E779" t="s">
        <v>52</v>
      </c>
      <c r="F779" t="s">
        <v>53</v>
      </c>
      <c r="G779" t="s">
        <v>757</v>
      </c>
      <c r="H779" t="s">
        <v>42</v>
      </c>
      <c r="I779" t="s">
        <v>43</v>
      </c>
      <c r="J779" t="s">
        <v>1334</v>
      </c>
      <c r="K779" t="s">
        <v>56</v>
      </c>
      <c r="M779" t="s">
        <v>106</v>
      </c>
      <c r="P779" t="s">
        <v>58</v>
      </c>
      <c r="Q779" t="s">
        <v>47</v>
      </c>
      <c r="R779" t="s">
        <v>48</v>
      </c>
      <c r="V779" t="s">
        <v>49</v>
      </c>
      <c r="X779" t="s">
        <v>49</v>
      </c>
      <c r="Y779" t="s">
        <v>59</v>
      </c>
      <c r="Z779" t="s">
        <v>993</v>
      </c>
      <c r="AA779" t="s">
        <v>993</v>
      </c>
    </row>
    <row r="780" spans="1:27" x14ac:dyDescent="0.35">
      <c r="A780" t="str">
        <f t="shared" si="25"/>
        <v>2407D2</v>
      </c>
      <c r="B780" t="str">
        <f t="shared" si="24"/>
        <v>2407</v>
      </c>
      <c r="C780" t="s">
        <v>1336</v>
      </c>
      <c r="D780" t="s">
        <v>2</v>
      </c>
      <c r="E780" t="s">
        <v>62</v>
      </c>
      <c r="F780" t="s">
        <v>63</v>
      </c>
      <c r="G780" t="s">
        <v>757</v>
      </c>
      <c r="H780" t="s">
        <v>42</v>
      </c>
      <c r="I780" t="s">
        <v>43</v>
      </c>
      <c r="J780" t="s">
        <v>1334</v>
      </c>
      <c r="K780" t="s">
        <v>56</v>
      </c>
      <c r="M780" t="s">
        <v>106</v>
      </c>
      <c r="P780" t="s">
        <v>58</v>
      </c>
      <c r="Q780" t="s">
        <v>47</v>
      </c>
      <c r="R780" t="s">
        <v>48</v>
      </c>
      <c r="V780" t="s">
        <v>49</v>
      </c>
      <c r="X780" t="s">
        <v>49</v>
      </c>
      <c r="Y780" t="s">
        <v>59</v>
      </c>
      <c r="Z780" t="s">
        <v>995</v>
      </c>
      <c r="AA780" t="s">
        <v>995</v>
      </c>
    </row>
    <row r="781" spans="1:27" x14ac:dyDescent="0.35">
      <c r="A781" t="str">
        <f t="shared" si="25"/>
        <v>2407F3</v>
      </c>
      <c r="B781" t="str">
        <f t="shared" si="24"/>
        <v>2407</v>
      </c>
      <c r="C781" t="s">
        <v>1337</v>
      </c>
      <c r="D781" t="s">
        <v>5</v>
      </c>
      <c r="E781" t="s">
        <v>40</v>
      </c>
      <c r="F781" t="s">
        <v>73</v>
      </c>
      <c r="G781" t="s">
        <v>757</v>
      </c>
      <c r="H781" t="s">
        <v>42</v>
      </c>
      <c r="I781" t="s">
        <v>67</v>
      </c>
      <c r="J781" t="s">
        <v>1334</v>
      </c>
      <c r="M781" t="s">
        <v>106</v>
      </c>
      <c r="P781" t="s">
        <v>46</v>
      </c>
      <c r="Q781" t="s">
        <v>47</v>
      </c>
      <c r="R781" t="s">
        <v>48</v>
      </c>
      <c r="V781" t="s">
        <v>49</v>
      </c>
      <c r="X781" t="s">
        <v>49</v>
      </c>
      <c r="Y781" t="s">
        <v>74</v>
      </c>
      <c r="Z781" t="s">
        <v>1329</v>
      </c>
      <c r="AA781" t="s">
        <v>1329</v>
      </c>
    </row>
    <row r="782" spans="1:27" x14ac:dyDescent="0.35">
      <c r="A782" t="str">
        <f t="shared" si="25"/>
        <v>2407C2</v>
      </c>
      <c r="B782" t="str">
        <f t="shared" si="24"/>
        <v>2407</v>
      </c>
      <c r="C782" t="s">
        <v>1338</v>
      </c>
      <c r="D782" t="s">
        <v>1</v>
      </c>
      <c r="E782" t="s">
        <v>65</v>
      </c>
      <c r="F782" t="s">
        <v>66</v>
      </c>
      <c r="G782" t="s">
        <v>757</v>
      </c>
      <c r="H782" t="s">
        <v>42</v>
      </c>
      <c r="I782" t="s">
        <v>67</v>
      </c>
      <c r="J782" t="s">
        <v>1334</v>
      </c>
      <c r="M782" t="s">
        <v>106</v>
      </c>
      <c r="P782" t="s">
        <v>58</v>
      </c>
      <c r="Q782" t="s">
        <v>47</v>
      </c>
      <c r="R782" t="s">
        <v>48</v>
      </c>
      <c r="V782" t="s">
        <v>49</v>
      </c>
      <c r="X782" t="s">
        <v>49</v>
      </c>
      <c r="Y782" t="s">
        <v>70</v>
      </c>
      <c r="Z782" t="s">
        <v>993</v>
      </c>
      <c r="AA782" t="s">
        <v>993</v>
      </c>
    </row>
    <row r="783" spans="1:27" x14ac:dyDescent="0.35">
      <c r="A783" t="str">
        <f t="shared" si="25"/>
        <v>2407D7</v>
      </c>
      <c r="B783" t="str">
        <f t="shared" si="24"/>
        <v>2407</v>
      </c>
      <c r="C783" t="s">
        <v>1339</v>
      </c>
      <c r="D783" t="s">
        <v>6</v>
      </c>
      <c r="E783" t="s">
        <v>94</v>
      </c>
      <c r="F783" t="s">
        <v>111</v>
      </c>
      <c r="G783" t="s">
        <v>757</v>
      </c>
      <c r="H783" t="s">
        <v>42</v>
      </c>
      <c r="I783" t="s">
        <v>43</v>
      </c>
      <c r="J783" t="s">
        <v>1334</v>
      </c>
      <c r="M783" t="s">
        <v>106</v>
      </c>
      <c r="P783" t="s">
        <v>46</v>
      </c>
      <c r="Q783" t="s">
        <v>47</v>
      </c>
      <c r="R783" t="s">
        <v>48</v>
      </c>
      <c r="V783" t="s">
        <v>49</v>
      </c>
      <c r="X783" t="s">
        <v>49</v>
      </c>
      <c r="Y783" t="s">
        <v>59</v>
      </c>
      <c r="Z783" t="s">
        <v>1332</v>
      </c>
      <c r="AA783" t="s">
        <v>1332</v>
      </c>
    </row>
    <row r="784" spans="1:27" x14ac:dyDescent="0.35">
      <c r="A784" t="str">
        <f t="shared" si="25"/>
        <v>2406F2</v>
      </c>
      <c r="B784" t="str">
        <f t="shared" si="24"/>
        <v>2406</v>
      </c>
      <c r="C784" t="s">
        <v>1340</v>
      </c>
      <c r="D784" t="s">
        <v>4</v>
      </c>
      <c r="E784" t="s">
        <v>77</v>
      </c>
      <c r="F784" t="s">
        <v>78</v>
      </c>
      <c r="G784" t="s">
        <v>757</v>
      </c>
      <c r="H784" t="s">
        <v>42</v>
      </c>
      <c r="I784" t="s">
        <v>67</v>
      </c>
      <c r="J784" t="s">
        <v>1341</v>
      </c>
      <c r="M784" t="s">
        <v>106</v>
      </c>
      <c r="P784" t="s">
        <v>189</v>
      </c>
      <c r="Q784" t="s">
        <v>47</v>
      </c>
      <c r="R784" t="s">
        <v>48</v>
      </c>
      <c r="V784" t="s">
        <v>49</v>
      </c>
      <c r="X784" t="s">
        <v>49</v>
      </c>
      <c r="Y784" t="s">
        <v>74</v>
      </c>
      <c r="Z784" t="s">
        <v>1316</v>
      </c>
      <c r="AA784" t="s">
        <v>1316</v>
      </c>
    </row>
    <row r="785" spans="1:27" x14ac:dyDescent="0.35">
      <c r="A785" t="str">
        <f t="shared" si="25"/>
        <v>2406D4</v>
      </c>
      <c r="B785" t="str">
        <f t="shared" si="24"/>
        <v>2406</v>
      </c>
      <c r="C785" t="s">
        <v>1342</v>
      </c>
      <c r="D785" t="s">
        <v>3</v>
      </c>
      <c r="E785" t="s">
        <v>52</v>
      </c>
      <c r="F785" t="s">
        <v>53</v>
      </c>
      <c r="G785" t="s">
        <v>757</v>
      </c>
      <c r="H785" t="s">
        <v>42</v>
      </c>
      <c r="I785" t="s">
        <v>43</v>
      </c>
      <c r="J785" t="s">
        <v>1341</v>
      </c>
      <c r="K785" t="s">
        <v>56</v>
      </c>
      <c r="M785" t="s">
        <v>106</v>
      </c>
      <c r="P785" t="s">
        <v>69</v>
      </c>
      <c r="Q785" t="s">
        <v>47</v>
      </c>
      <c r="R785" t="s">
        <v>48</v>
      </c>
      <c r="V785" t="s">
        <v>49</v>
      </c>
      <c r="X785" t="s">
        <v>49</v>
      </c>
      <c r="Y785" t="s">
        <v>59</v>
      </c>
      <c r="Z785" t="s">
        <v>1343</v>
      </c>
      <c r="AA785" t="s">
        <v>1344</v>
      </c>
    </row>
    <row r="786" spans="1:27" x14ac:dyDescent="0.35">
      <c r="A786" t="str">
        <f t="shared" si="25"/>
        <v>2406D2</v>
      </c>
      <c r="B786" t="str">
        <f t="shared" si="24"/>
        <v>2406</v>
      </c>
      <c r="C786" t="s">
        <v>1345</v>
      </c>
      <c r="D786" t="s">
        <v>2</v>
      </c>
      <c r="E786" t="s">
        <v>62</v>
      </c>
      <c r="F786" t="s">
        <v>63</v>
      </c>
      <c r="G786" t="s">
        <v>757</v>
      </c>
      <c r="H786" t="s">
        <v>42</v>
      </c>
      <c r="I786" t="s">
        <v>43</v>
      </c>
      <c r="J786" t="s">
        <v>1341</v>
      </c>
      <c r="K786" t="s">
        <v>56</v>
      </c>
      <c r="M786" t="s">
        <v>106</v>
      </c>
      <c r="P786" t="s">
        <v>69</v>
      </c>
      <c r="Q786" t="s">
        <v>47</v>
      </c>
      <c r="R786" t="s">
        <v>48</v>
      </c>
      <c r="V786" t="s">
        <v>49</v>
      </c>
      <c r="X786" t="s">
        <v>49</v>
      </c>
      <c r="Y786" t="s">
        <v>59</v>
      </c>
      <c r="Z786" t="s">
        <v>1343</v>
      </c>
      <c r="AA786" t="s">
        <v>1344</v>
      </c>
    </row>
    <row r="787" spans="1:27" x14ac:dyDescent="0.35">
      <c r="A787" t="str">
        <f t="shared" si="25"/>
        <v>2406F3</v>
      </c>
      <c r="B787" t="str">
        <f t="shared" si="24"/>
        <v>2406</v>
      </c>
      <c r="C787" t="s">
        <v>1346</v>
      </c>
      <c r="D787" t="s">
        <v>5</v>
      </c>
      <c r="E787" t="s">
        <v>40</v>
      </c>
      <c r="F787" t="s">
        <v>73</v>
      </c>
      <c r="G787" t="s">
        <v>757</v>
      </c>
      <c r="H787" t="s">
        <v>42</v>
      </c>
      <c r="I787" t="s">
        <v>67</v>
      </c>
      <c r="J787" t="s">
        <v>1341</v>
      </c>
      <c r="M787" t="s">
        <v>106</v>
      </c>
      <c r="P787" t="s">
        <v>46</v>
      </c>
      <c r="Q787" t="s">
        <v>47</v>
      </c>
      <c r="R787" t="s">
        <v>48</v>
      </c>
      <c r="V787" t="s">
        <v>49</v>
      </c>
      <c r="X787" t="s">
        <v>49</v>
      </c>
      <c r="Y787" t="s">
        <v>74</v>
      </c>
      <c r="Z787" t="s">
        <v>1347</v>
      </c>
      <c r="AA787" t="s">
        <v>1347</v>
      </c>
    </row>
    <row r="788" spans="1:27" x14ac:dyDescent="0.35">
      <c r="A788" t="str">
        <f t="shared" si="25"/>
        <v>2406C2</v>
      </c>
      <c r="B788" t="str">
        <f t="shared" si="24"/>
        <v>2406</v>
      </c>
      <c r="C788" t="s">
        <v>1348</v>
      </c>
      <c r="D788" t="s">
        <v>1</v>
      </c>
      <c r="E788" t="s">
        <v>65</v>
      </c>
      <c r="F788" t="s">
        <v>66</v>
      </c>
      <c r="G788" t="s">
        <v>757</v>
      </c>
      <c r="H788" t="s">
        <v>42</v>
      </c>
      <c r="I788" t="s">
        <v>67</v>
      </c>
      <c r="J788" t="s">
        <v>1341</v>
      </c>
      <c r="M788" t="s">
        <v>106</v>
      </c>
      <c r="P788" t="s">
        <v>69</v>
      </c>
      <c r="Q788" t="s">
        <v>47</v>
      </c>
      <c r="R788" t="s">
        <v>48</v>
      </c>
      <c r="V788" t="s">
        <v>49</v>
      </c>
      <c r="X788" t="s">
        <v>49</v>
      </c>
      <c r="Y788" t="s">
        <v>70</v>
      </c>
      <c r="Z788" t="s">
        <v>1344</v>
      </c>
      <c r="AA788" t="s">
        <v>1344</v>
      </c>
    </row>
    <row r="789" spans="1:27" x14ac:dyDescent="0.35">
      <c r="A789" t="str">
        <f t="shared" si="25"/>
        <v>2406D7</v>
      </c>
      <c r="B789" t="str">
        <f t="shared" si="24"/>
        <v>2406</v>
      </c>
      <c r="C789" t="s">
        <v>1349</v>
      </c>
      <c r="D789" t="s">
        <v>6</v>
      </c>
      <c r="E789" t="s">
        <v>94</v>
      </c>
      <c r="F789" t="s">
        <v>111</v>
      </c>
      <c r="G789" t="s">
        <v>757</v>
      </c>
      <c r="H789" t="s">
        <v>42</v>
      </c>
      <c r="I789" t="s">
        <v>43</v>
      </c>
      <c r="J789" t="s">
        <v>1341</v>
      </c>
      <c r="M789" t="s">
        <v>106</v>
      </c>
      <c r="P789" t="s">
        <v>46</v>
      </c>
      <c r="Q789" t="s">
        <v>47</v>
      </c>
      <c r="R789" t="s">
        <v>48</v>
      </c>
      <c r="V789" t="s">
        <v>49</v>
      </c>
      <c r="X789" t="s">
        <v>49</v>
      </c>
      <c r="Y789" t="s">
        <v>59</v>
      </c>
      <c r="Z789" t="s">
        <v>1350</v>
      </c>
      <c r="AA789" t="s">
        <v>1350</v>
      </c>
    </row>
    <row r="790" spans="1:27" x14ac:dyDescent="0.35">
      <c r="A790" t="str">
        <f t="shared" si="25"/>
        <v>2405F2</v>
      </c>
      <c r="B790" t="str">
        <f t="shared" si="24"/>
        <v>2405</v>
      </c>
      <c r="C790" t="s">
        <v>1351</v>
      </c>
      <c r="D790" t="s">
        <v>4</v>
      </c>
      <c r="E790" t="s">
        <v>77</v>
      </c>
      <c r="F790" t="s">
        <v>78</v>
      </c>
      <c r="G790" t="s">
        <v>757</v>
      </c>
      <c r="H790" t="s">
        <v>42</v>
      </c>
      <c r="I790" t="s">
        <v>67</v>
      </c>
      <c r="J790" t="s">
        <v>1352</v>
      </c>
      <c r="M790" t="s">
        <v>106</v>
      </c>
      <c r="P790" t="s">
        <v>91</v>
      </c>
      <c r="Q790" t="s">
        <v>47</v>
      </c>
      <c r="R790" t="s">
        <v>48</v>
      </c>
      <c r="V790" t="s">
        <v>49</v>
      </c>
      <c r="X790" t="s">
        <v>49</v>
      </c>
      <c r="Y790" t="s">
        <v>74</v>
      </c>
      <c r="Z790" t="s">
        <v>1353</v>
      </c>
      <c r="AA790" t="s">
        <v>1353</v>
      </c>
    </row>
    <row r="791" spans="1:27" x14ac:dyDescent="0.35">
      <c r="A791" t="str">
        <f t="shared" si="25"/>
        <v>2405D4</v>
      </c>
      <c r="B791" t="str">
        <f t="shared" si="24"/>
        <v>2405</v>
      </c>
      <c r="C791" t="s">
        <v>1354</v>
      </c>
      <c r="D791" t="s">
        <v>3</v>
      </c>
      <c r="E791" t="s">
        <v>52</v>
      </c>
      <c r="F791" t="s">
        <v>53</v>
      </c>
      <c r="G791" t="s">
        <v>757</v>
      </c>
      <c r="H791" t="s">
        <v>42</v>
      </c>
      <c r="I791" t="s">
        <v>43</v>
      </c>
      <c r="J791" t="s">
        <v>1352</v>
      </c>
      <c r="K791" t="s">
        <v>56</v>
      </c>
      <c r="M791" t="s">
        <v>106</v>
      </c>
      <c r="P791" t="s">
        <v>58</v>
      </c>
      <c r="Q791" t="s">
        <v>47</v>
      </c>
      <c r="R791" t="s">
        <v>48</v>
      </c>
      <c r="V791" t="s">
        <v>49</v>
      </c>
      <c r="X791" t="s">
        <v>49</v>
      </c>
      <c r="Y791" t="s">
        <v>59</v>
      </c>
      <c r="Z791" t="s">
        <v>1258</v>
      </c>
      <c r="AA791" t="s">
        <v>1258</v>
      </c>
    </row>
    <row r="792" spans="1:27" x14ac:dyDescent="0.35">
      <c r="A792" t="str">
        <f t="shared" si="25"/>
        <v>2405D2</v>
      </c>
      <c r="B792" t="str">
        <f t="shared" si="24"/>
        <v>2405</v>
      </c>
      <c r="C792" t="s">
        <v>1355</v>
      </c>
      <c r="D792" t="s">
        <v>2</v>
      </c>
      <c r="E792" t="s">
        <v>62</v>
      </c>
      <c r="F792" t="s">
        <v>63</v>
      </c>
      <c r="G792" t="s">
        <v>757</v>
      </c>
      <c r="H792" t="s">
        <v>42</v>
      </c>
      <c r="I792" t="s">
        <v>43</v>
      </c>
      <c r="J792" t="s">
        <v>1352</v>
      </c>
      <c r="K792" t="s">
        <v>56</v>
      </c>
      <c r="M792" t="s">
        <v>106</v>
      </c>
      <c r="P792" t="s">
        <v>58</v>
      </c>
      <c r="Q792" t="s">
        <v>47</v>
      </c>
      <c r="R792" t="s">
        <v>48</v>
      </c>
      <c r="V792" t="s">
        <v>49</v>
      </c>
      <c r="X792" t="s">
        <v>49</v>
      </c>
      <c r="Y792" t="s">
        <v>59</v>
      </c>
      <c r="Z792" t="s">
        <v>1356</v>
      </c>
      <c r="AA792" t="s">
        <v>1356</v>
      </c>
    </row>
    <row r="793" spans="1:27" x14ac:dyDescent="0.35">
      <c r="A793" t="str">
        <f t="shared" si="25"/>
        <v>2405F3</v>
      </c>
      <c r="B793" t="str">
        <f t="shared" si="24"/>
        <v>2405</v>
      </c>
      <c r="C793" t="s">
        <v>1357</v>
      </c>
      <c r="D793" t="s">
        <v>5</v>
      </c>
      <c r="E793" t="s">
        <v>40</v>
      </c>
      <c r="F793" t="s">
        <v>73</v>
      </c>
      <c r="G793" t="s">
        <v>757</v>
      </c>
      <c r="H793" t="s">
        <v>42</v>
      </c>
      <c r="I793" t="s">
        <v>67</v>
      </c>
      <c r="J793" t="s">
        <v>1352</v>
      </c>
      <c r="M793" t="s">
        <v>106</v>
      </c>
      <c r="P793" t="s">
        <v>46</v>
      </c>
      <c r="Q793" t="s">
        <v>47</v>
      </c>
      <c r="R793" t="s">
        <v>48</v>
      </c>
      <c r="V793" t="s">
        <v>49</v>
      </c>
      <c r="X793" t="s">
        <v>49</v>
      </c>
      <c r="Y793" t="s">
        <v>74</v>
      </c>
      <c r="Z793" t="s">
        <v>1347</v>
      </c>
      <c r="AA793" t="s">
        <v>1347</v>
      </c>
    </row>
    <row r="794" spans="1:27" x14ac:dyDescent="0.35">
      <c r="A794" t="str">
        <f t="shared" si="25"/>
        <v>2405C2</v>
      </c>
      <c r="B794" t="str">
        <f t="shared" si="24"/>
        <v>2405</v>
      </c>
      <c r="C794" t="s">
        <v>1358</v>
      </c>
      <c r="D794" t="s">
        <v>1</v>
      </c>
      <c r="E794" t="s">
        <v>65</v>
      </c>
      <c r="F794" t="s">
        <v>66</v>
      </c>
      <c r="G794" t="s">
        <v>757</v>
      </c>
      <c r="H794" t="s">
        <v>42</v>
      </c>
      <c r="I794" t="s">
        <v>67</v>
      </c>
      <c r="J794" t="s">
        <v>1352</v>
      </c>
      <c r="M794" t="s">
        <v>106</v>
      </c>
      <c r="P794" t="s">
        <v>69</v>
      </c>
      <c r="Q794" t="s">
        <v>47</v>
      </c>
      <c r="R794" t="s">
        <v>48</v>
      </c>
      <c r="V794" t="s">
        <v>49</v>
      </c>
      <c r="X794" t="s">
        <v>49</v>
      </c>
      <c r="Y794" t="s">
        <v>70</v>
      </c>
      <c r="Z794" t="s">
        <v>1359</v>
      </c>
      <c r="AA794" t="s">
        <v>1359</v>
      </c>
    </row>
    <row r="795" spans="1:27" x14ac:dyDescent="0.35">
      <c r="A795" t="str">
        <f t="shared" si="25"/>
        <v>2405D7</v>
      </c>
      <c r="B795" t="str">
        <f t="shared" si="24"/>
        <v>2405</v>
      </c>
      <c r="C795" t="s">
        <v>1360</v>
      </c>
      <c r="D795" t="s">
        <v>6</v>
      </c>
      <c r="E795" t="s">
        <v>94</v>
      </c>
      <c r="F795" t="s">
        <v>111</v>
      </c>
      <c r="G795" t="s">
        <v>757</v>
      </c>
      <c r="H795" t="s">
        <v>42</v>
      </c>
      <c r="I795" t="s">
        <v>43</v>
      </c>
      <c r="J795" t="s">
        <v>1352</v>
      </c>
      <c r="M795" t="s">
        <v>106</v>
      </c>
      <c r="P795" t="s">
        <v>46</v>
      </c>
      <c r="Q795" t="s">
        <v>47</v>
      </c>
      <c r="R795" t="s">
        <v>48</v>
      </c>
      <c r="V795" t="s">
        <v>49</v>
      </c>
      <c r="X795" t="s">
        <v>49</v>
      </c>
      <c r="Y795" t="s">
        <v>59</v>
      </c>
      <c r="Z795" t="s">
        <v>1350</v>
      </c>
      <c r="AA795" t="s">
        <v>1350</v>
      </c>
    </row>
    <row r="796" spans="1:27" x14ac:dyDescent="0.35">
      <c r="A796" t="str">
        <f t="shared" si="25"/>
        <v>2309F2</v>
      </c>
      <c r="B796" t="str">
        <f t="shared" si="24"/>
        <v>2309</v>
      </c>
      <c r="C796" t="s">
        <v>1361</v>
      </c>
      <c r="D796" t="s">
        <v>4</v>
      </c>
      <c r="E796" t="s">
        <v>77</v>
      </c>
      <c r="F796" t="s">
        <v>78</v>
      </c>
      <c r="G796" t="s">
        <v>757</v>
      </c>
      <c r="H796" t="s">
        <v>42</v>
      </c>
      <c r="I796" t="s">
        <v>67</v>
      </c>
      <c r="J796" t="s">
        <v>1362</v>
      </c>
      <c r="M796" t="s">
        <v>106</v>
      </c>
      <c r="P796" t="s">
        <v>79</v>
      </c>
      <c r="Q796" t="s">
        <v>47</v>
      </c>
      <c r="R796" t="s">
        <v>48</v>
      </c>
      <c r="V796" t="s">
        <v>49</v>
      </c>
      <c r="X796" t="s">
        <v>49</v>
      </c>
      <c r="Y796" t="s">
        <v>74</v>
      </c>
      <c r="Z796" t="s">
        <v>1178</v>
      </c>
      <c r="AA796" t="s">
        <v>1178</v>
      </c>
    </row>
    <row r="797" spans="1:27" x14ac:dyDescent="0.35">
      <c r="A797" t="str">
        <f t="shared" si="25"/>
        <v>2309D4</v>
      </c>
      <c r="B797" t="str">
        <f t="shared" si="24"/>
        <v>2309</v>
      </c>
      <c r="C797" t="s">
        <v>1363</v>
      </c>
      <c r="D797" t="s">
        <v>3</v>
      </c>
      <c r="E797" t="s">
        <v>52</v>
      </c>
      <c r="F797" t="s">
        <v>53</v>
      </c>
      <c r="G797" t="s">
        <v>757</v>
      </c>
      <c r="H797" t="s">
        <v>42</v>
      </c>
      <c r="I797" t="s">
        <v>43</v>
      </c>
      <c r="J797" t="s">
        <v>1362</v>
      </c>
      <c r="K797" t="s">
        <v>56</v>
      </c>
      <c r="M797" t="s">
        <v>106</v>
      </c>
      <c r="P797" t="s">
        <v>58</v>
      </c>
      <c r="Q797" t="s">
        <v>47</v>
      </c>
      <c r="R797" t="s">
        <v>48</v>
      </c>
      <c r="V797" t="s">
        <v>49</v>
      </c>
      <c r="X797" t="s">
        <v>49</v>
      </c>
      <c r="Y797" t="s">
        <v>59</v>
      </c>
      <c r="Z797" t="s">
        <v>1364</v>
      </c>
      <c r="AA797" t="s">
        <v>1364</v>
      </c>
    </row>
    <row r="798" spans="1:27" x14ac:dyDescent="0.35">
      <c r="A798" t="str">
        <f t="shared" si="25"/>
        <v>2309D2</v>
      </c>
      <c r="B798" t="str">
        <f t="shared" si="24"/>
        <v>2309</v>
      </c>
      <c r="C798" t="s">
        <v>1365</v>
      </c>
      <c r="D798" t="s">
        <v>2</v>
      </c>
      <c r="E798" t="s">
        <v>62</v>
      </c>
      <c r="F798" t="s">
        <v>63</v>
      </c>
      <c r="G798" t="s">
        <v>757</v>
      </c>
      <c r="H798" t="s">
        <v>42</v>
      </c>
      <c r="I798" t="s">
        <v>43</v>
      </c>
      <c r="J798" t="s">
        <v>1362</v>
      </c>
      <c r="K798" t="s">
        <v>56</v>
      </c>
      <c r="M798" t="s">
        <v>106</v>
      </c>
      <c r="P798" t="s">
        <v>58</v>
      </c>
      <c r="Q798" t="s">
        <v>47</v>
      </c>
      <c r="R798" t="s">
        <v>48</v>
      </c>
      <c r="V798" t="s">
        <v>49</v>
      </c>
      <c r="X798" t="s">
        <v>49</v>
      </c>
      <c r="Y798" t="s">
        <v>59</v>
      </c>
      <c r="Z798" t="s">
        <v>1366</v>
      </c>
      <c r="AA798" t="s">
        <v>1366</v>
      </c>
    </row>
    <row r="799" spans="1:27" x14ac:dyDescent="0.35">
      <c r="A799" t="str">
        <f t="shared" si="25"/>
        <v>2309F3</v>
      </c>
      <c r="B799" t="str">
        <f t="shared" si="24"/>
        <v>2309</v>
      </c>
      <c r="C799" t="s">
        <v>1367</v>
      </c>
      <c r="D799" t="s">
        <v>5</v>
      </c>
      <c r="E799" t="s">
        <v>40</v>
      </c>
      <c r="F799" t="s">
        <v>73</v>
      </c>
      <c r="G799" t="s">
        <v>757</v>
      </c>
      <c r="H799" t="s">
        <v>42</v>
      </c>
      <c r="I799" t="s">
        <v>67</v>
      </c>
      <c r="J799" t="s">
        <v>1362</v>
      </c>
      <c r="M799" t="s">
        <v>106</v>
      </c>
      <c r="P799" t="s">
        <v>46</v>
      </c>
      <c r="Q799" t="s">
        <v>47</v>
      </c>
      <c r="R799" t="s">
        <v>48</v>
      </c>
      <c r="V799" t="s">
        <v>49</v>
      </c>
      <c r="X799" t="s">
        <v>49</v>
      </c>
      <c r="Y799" t="s">
        <v>74</v>
      </c>
      <c r="Z799" t="s">
        <v>1178</v>
      </c>
      <c r="AA799" t="s">
        <v>1178</v>
      </c>
    </row>
    <row r="800" spans="1:27" x14ac:dyDescent="0.35">
      <c r="A800" t="str">
        <f t="shared" si="25"/>
        <v>2309D7</v>
      </c>
      <c r="B800" t="str">
        <f t="shared" si="24"/>
        <v>2309</v>
      </c>
      <c r="C800" t="s">
        <v>1368</v>
      </c>
      <c r="D800" t="s">
        <v>6</v>
      </c>
      <c r="E800" t="s">
        <v>94</v>
      </c>
      <c r="F800" t="s">
        <v>111</v>
      </c>
      <c r="G800" t="s">
        <v>757</v>
      </c>
      <c r="H800" t="s">
        <v>42</v>
      </c>
      <c r="I800" t="s">
        <v>43</v>
      </c>
      <c r="J800" t="s">
        <v>1362</v>
      </c>
      <c r="M800" t="s">
        <v>106</v>
      </c>
      <c r="P800" t="s">
        <v>46</v>
      </c>
      <c r="Q800" t="s">
        <v>47</v>
      </c>
      <c r="R800" t="s">
        <v>48</v>
      </c>
      <c r="V800" t="s">
        <v>49</v>
      </c>
      <c r="X800" t="s">
        <v>49</v>
      </c>
      <c r="Y800" t="s">
        <v>59</v>
      </c>
      <c r="Z800" t="s">
        <v>1369</v>
      </c>
      <c r="AA800" t="s">
        <v>1369</v>
      </c>
    </row>
    <row r="801" spans="1:27" x14ac:dyDescent="0.35">
      <c r="A801" t="str">
        <f t="shared" si="25"/>
        <v>2404F2</v>
      </c>
      <c r="B801" t="str">
        <f t="shared" si="24"/>
        <v>2404</v>
      </c>
      <c r="C801" t="s">
        <v>1370</v>
      </c>
      <c r="D801" t="s">
        <v>4</v>
      </c>
      <c r="E801" t="s">
        <v>77</v>
      </c>
      <c r="F801" t="s">
        <v>78</v>
      </c>
      <c r="G801" t="s">
        <v>757</v>
      </c>
      <c r="H801" t="s">
        <v>42</v>
      </c>
      <c r="I801" t="s">
        <v>67</v>
      </c>
      <c r="J801" t="s">
        <v>1371</v>
      </c>
      <c r="M801" t="s">
        <v>106</v>
      </c>
      <c r="P801" t="s">
        <v>138</v>
      </c>
      <c r="Q801" t="s">
        <v>47</v>
      </c>
      <c r="R801" t="s">
        <v>48</v>
      </c>
      <c r="V801" t="s">
        <v>49</v>
      </c>
      <c r="X801" t="s">
        <v>49</v>
      </c>
      <c r="Y801" t="s">
        <v>74</v>
      </c>
      <c r="Z801" t="s">
        <v>1353</v>
      </c>
      <c r="AA801" t="s">
        <v>1353</v>
      </c>
    </row>
    <row r="802" spans="1:27" x14ac:dyDescent="0.35">
      <c r="A802" t="str">
        <f t="shared" si="25"/>
        <v>2404D4</v>
      </c>
      <c r="B802" t="str">
        <f t="shared" si="24"/>
        <v>2404</v>
      </c>
      <c r="C802" t="s">
        <v>1372</v>
      </c>
      <c r="D802" t="s">
        <v>3</v>
      </c>
      <c r="E802" t="s">
        <v>52</v>
      </c>
      <c r="F802" t="s">
        <v>53</v>
      </c>
      <c r="G802" t="s">
        <v>757</v>
      </c>
      <c r="H802" t="s">
        <v>42</v>
      </c>
      <c r="I802" t="s">
        <v>43</v>
      </c>
      <c r="J802" t="s">
        <v>1371</v>
      </c>
      <c r="K802" t="s">
        <v>56</v>
      </c>
      <c r="M802" t="s">
        <v>106</v>
      </c>
      <c r="P802" t="s">
        <v>58</v>
      </c>
      <c r="Q802" t="s">
        <v>47</v>
      </c>
      <c r="R802" t="s">
        <v>48</v>
      </c>
      <c r="V802" t="s">
        <v>49</v>
      </c>
      <c r="X802" t="s">
        <v>49</v>
      </c>
      <c r="Y802" t="s">
        <v>59</v>
      </c>
      <c r="Z802" t="s">
        <v>1373</v>
      </c>
      <c r="AA802" t="s">
        <v>1373</v>
      </c>
    </row>
    <row r="803" spans="1:27" x14ac:dyDescent="0.35">
      <c r="A803" t="str">
        <f t="shared" si="25"/>
        <v>2404D2</v>
      </c>
      <c r="B803" t="str">
        <f t="shared" si="24"/>
        <v>2404</v>
      </c>
      <c r="C803" t="s">
        <v>1374</v>
      </c>
      <c r="D803" t="s">
        <v>2</v>
      </c>
      <c r="E803" t="s">
        <v>62</v>
      </c>
      <c r="F803" t="s">
        <v>63</v>
      </c>
      <c r="G803" t="s">
        <v>757</v>
      </c>
      <c r="H803" t="s">
        <v>42</v>
      </c>
      <c r="I803" t="s">
        <v>43</v>
      </c>
      <c r="J803" t="s">
        <v>1371</v>
      </c>
      <c r="K803" t="s">
        <v>56</v>
      </c>
      <c r="M803" t="s">
        <v>106</v>
      </c>
      <c r="P803" t="s">
        <v>58</v>
      </c>
      <c r="Q803" t="s">
        <v>47</v>
      </c>
      <c r="R803" t="s">
        <v>48</v>
      </c>
      <c r="V803" t="s">
        <v>49</v>
      </c>
      <c r="X803" t="s">
        <v>49</v>
      </c>
      <c r="Y803" t="s">
        <v>59</v>
      </c>
      <c r="Z803" t="s">
        <v>1375</v>
      </c>
      <c r="AA803" t="s">
        <v>1373</v>
      </c>
    </row>
    <row r="804" spans="1:27" x14ac:dyDescent="0.35">
      <c r="A804" t="str">
        <f t="shared" si="25"/>
        <v>2404F3</v>
      </c>
      <c r="B804" t="str">
        <f t="shared" si="24"/>
        <v>2404</v>
      </c>
      <c r="C804" t="s">
        <v>1376</v>
      </c>
      <c r="D804" t="s">
        <v>5</v>
      </c>
      <c r="E804" t="s">
        <v>40</v>
      </c>
      <c r="F804" t="s">
        <v>73</v>
      </c>
      <c r="G804" t="s">
        <v>757</v>
      </c>
      <c r="H804" t="s">
        <v>42</v>
      </c>
      <c r="I804" t="s">
        <v>67</v>
      </c>
      <c r="J804" t="s">
        <v>1371</v>
      </c>
      <c r="M804" t="s">
        <v>106</v>
      </c>
      <c r="P804" t="s">
        <v>46</v>
      </c>
      <c r="Q804" t="s">
        <v>47</v>
      </c>
      <c r="R804" t="s">
        <v>48</v>
      </c>
      <c r="V804" t="s">
        <v>49</v>
      </c>
      <c r="X804" t="s">
        <v>49</v>
      </c>
      <c r="Y804" t="s">
        <v>74</v>
      </c>
      <c r="Z804" t="s">
        <v>1347</v>
      </c>
      <c r="AA804" t="s">
        <v>1347</v>
      </c>
    </row>
    <row r="805" spans="1:27" x14ac:dyDescent="0.35">
      <c r="A805" t="str">
        <f t="shared" si="25"/>
        <v>2404C2</v>
      </c>
      <c r="B805" t="str">
        <f t="shared" si="24"/>
        <v>2404</v>
      </c>
      <c r="C805" t="s">
        <v>1377</v>
      </c>
      <c r="D805" t="s">
        <v>1</v>
      </c>
      <c r="E805" t="s">
        <v>65</v>
      </c>
      <c r="F805" t="s">
        <v>66</v>
      </c>
      <c r="G805" t="s">
        <v>757</v>
      </c>
      <c r="H805" t="s">
        <v>42</v>
      </c>
      <c r="I805" t="s">
        <v>67</v>
      </c>
      <c r="J805" t="s">
        <v>1371</v>
      </c>
      <c r="M805" t="s">
        <v>106</v>
      </c>
      <c r="P805" t="s">
        <v>69</v>
      </c>
      <c r="Q805" t="s">
        <v>47</v>
      </c>
      <c r="R805" t="s">
        <v>48</v>
      </c>
      <c r="V805" t="s">
        <v>49</v>
      </c>
      <c r="X805" t="s">
        <v>49</v>
      </c>
      <c r="Y805" t="s">
        <v>70</v>
      </c>
      <c r="Z805" t="s">
        <v>1378</v>
      </c>
      <c r="AA805" t="s">
        <v>1378</v>
      </c>
    </row>
    <row r="806" spans="1:27" x14ac:dyDescent="0.35">
      <c r="A806" t="str">
        <f t="shared" si="25"/>
        <v>2404D7</v>
      </c>
      <c r="B806" t="str">
        <f t="shared" si="24"/>
        <v>2404</v>
      </c>
      <c r="C806" t="s">
        <v>1379</v>
      </c>
      <c r="D806" t="s">
        <v>6</v>
      </c>
      <c r="E806" t="s">
        <v>94</v>
      </c>
      <c r="F806" t="s">
        <v>111</v>
      </c>
      <c r="G806" t="s">
        <v>757</v>
      </c>
      <c r="H806" t="s">
        <v>42</v>
      </c>
      <c r="I806" t="s">
        <v>43</v>
      </c>
      <c r="J806" t="s">
        <v>1371</v>
      </c>
      <c r="M806" t="s">
        <v>106</v>
      </c>
      <c r="P806" t="s">
        <v>46</v>
      </c>
      <c r="Q806" t="s">
        <v>47</v>
      </c>
      <c r="R806" t="s">
        <v>48</v>
      </c>
      <c r="V806" t="s">
        <v>49</v>
      </c>
      <c r="X806" t="s">
        <v>49</v>
      </c>
      <c r="Y806" t="s">
        <v>59</v>
      </c>
      <c r="Z806" t="s">
        <v>1380</v>
      </c>
      <c r="AA806" t="s">
        <v>1380</v>
      </c>
    </row>
    <row r="807" spans="1:27" x14ac:dyDescent="0.35">
      <c r="A807" t="str">
        <f t="shared" si="25"/>
        <v>2403F2</v>
      </c>
      <c r="B807" t="str">
        <f t="shared" si="24"/>
        <v>2403</v>
      </c>
      <c r="C807" t="s">
        <v>1381</v>
      </c>
      <c r="D807" t="s">
        <v>4</v>
      </c>
      <c r="E807" t="s">
        <v>77</v>
      </c>
      <c r="F807" t="s">
        <v>78</v>
      </c>
      <c r="G807" t="s">
        <v>757</v>
      </c>
      <c r="H807" t="s">
        <v>42</v>
      </c>
      <c r="I807" t="s">
        <v>67</v>
      </c>
      <c r="J807" t="s">
        <v>1382</v>
      </c>
      <c r="M807" t="s">
        <v>106</v>
      </c>
      <c r="P807" t="s">
        <v>138</v>
      </c>
      <c r="Q807" t="s">
        <v>47</v>
      </c>
      <c r="R807" t="s">
        <v>48</v>
      </c>
      <c r="V807" t="s">
        <v>49</v>
      </c>
      <c r="X807" t="s">
        <v>49</v>
      </c>
      <c r="Y807" t="s">
        <v>74</v>
      </c>
      <c r="Z807" t="s">
        <v>1353</v>
      </c>
      <c r="AA807" t="s">
        <v>1353</v>
      </c>
    </row>
    <row r="808" spans="1:27" x14ac:dyDescent="0.35">
      <c r="A808" t="str">
        <f t="shared" si="25"/>
        <v>2403D4</v>
      </c>
      <c r="B808" t="str">
        <f t="shared" si="24"/>
        <v>2403</v>
      </c>
      <c r="C808" t="s">
        <v>1383</v>
      </c>
      <c r="D808" t="s">
        <v>3</v>
      </c>
      <c r="E808" t="s">
        <v>52</v>
      </c>
      <c r="F808" t="s">
        <v>53</v>
      </c>
      <c r="G808" t="s">
        <v>757</v>
      </c>
      <c r="H808" t="s">
        <v>42</v>
      </c>
      <c r="I808" t="s">
        <v>43</v>
      </c>
      <c r="J808" t="s">
        <v>1382</v>
      </c>
      <c r="K808" t="s">
        <v>56</v>
      </c>
      <c r="M808" t="s">
        <v>106</v>
      </c>
      <c r="P808" t="s">
        <v>58</v>
      </c>
      <c r="Q808" t="s">
        <v>47</v>
      </c>
      <c r="R808" t="s">
        <v>48</v>
      </c>
      <c r="V808" t="s">
        <v>49</v>
      </c>
      <c r="X808" t="s">
        <v>49</v>
      </c>
      <c r="Y808" t="s">
        <v>59</v>
      </c>
      <c r="Z808" t="s">
        <v>1373</v>
      </c>
      <c r="AA808" t="s">
        <v>1373</v>
      </c>
    </row>
    <row r="809" spans="1:27" x14ac:dyDescent="0.35">
      <c r="A809" t="str">
        <f t="shared" si="25"/>
        <v>2403D2</v>
      </c>
      <c r="B809" t="str">
        <f t="shared" si="24"/>
        <v>2403</v>
      </c>
      <c r="C809" t="s">
        <v>1384</v>
      </c>
      <c r="D809" t="s">
        <v>2</v>
      </c>
      <c r="E809" t="s">
        <v>62</v>
      </c>
      <c r="F809" t="s">
        <v>63</v>
      </c>
      <c r="G809" t="s">
        <v>757</v>
      </c>
      <c r="H809" t="s">
        <v>42</v>
      </c>
      <c r="I809" t="s">
        <v>43</v>
      </c>
      <c r="J809" t="s">
        <v>1382</v>
      </c>
      <c r="K809" t="s">
        <v>56</v>
      </c>
      <c r="M809" t="s">
        <v>106</v>
      </c>
      <c r="P809" t="s">
        <v>58</v>
      </c>
      <c r="Q809" t="s">
        <v>47</v>
      </c>
      <c r="R809" t="s">
        <v>48</v>
      </c>
      <c r="V809" t="s">
        <v>49</v>
      </c>
      <c r="X809" t="s">
        <v>49</v>
      </c>
      <c r="Y809" t="s">
        <v>59</v>
      </c>
      <c r="Z809" t="s">
        <v>1375</v>
      </c>
      <c r="AA809" t="s">
        <v>1373</v>
      </c>
    </row>
    <row r="810" spans="1:27" x14ac:dyDescent="0.35">
      <c r="A810" t="str">
        <f t="shared" si="25"/>
        <v>2403F3</v>
      </c>
      <c r="B810" t="str">
        <f t="shared" si="24"/>
        <v>2403</v>
      </c>
      <c r="C810" t="s">
        <v>1385</v>
      </c>
      <c r="D810" t="s">
        <v>5</v>
      </c>
      <c r="E810" t="s">
        <v>40</v>
      </c>
      <c r="F810" t="s">
        <v>73</v>
      </c>
      <c r="G810" t="s">
        <v>757</v>
      </c>
      <c r="H810" t="s">
        <v>42</v>
      </c>
      <c r="I810" t="s">
        <v>67</v>
      </c>
      <c r="J810" t="s">
        <v>1382</v>
      </c>
      <c r="M810" t="s">
        <v>106</v>
      </c>
      <c r="P810" t="s">
        <v>46</v>
      </c>
      <c r="Q810" t="s">
        <v>47</v>
      </c>
      <c r="R810" t="s">
        <v>48</v>
      </c>
      <c r="V810" t="s">
        <v>49</v>
      </c>
      <c r="X810" t="s">
        <v>49</v>
      </c>
      <c r="Y810" t="s">
        <v>74</v>
      </c>
      <c r="Z810" t="s">
        <v>1347</v>
      </c>
      <c r="AA810" t="s">
        <v>1347</v>
      </c>
    </row>
    <row r="811" spans="1:27" x14ac:dyDescent="0.35">
      <c r="A811" t="str">
        <f t="shared" si="25"/>
        <v>2403C2</v>
      </c>
      <c r="B811" t="str">
        <f t="shared" si="24"/>
        <v>2403</v>
      </c>
      <c r="C811" t="s">
        <v>1386</v>
      </c>
      <c r="D811" t="s">
        <v>1</v>
      </c>
      <c r="E811" t="s">
        <v>65</v>
      </c>
      <c r="F811" t="s">
        <v>66</v>
      </c>
      <c r="G811" t="s">
        <v>757</v>
      </c>
      <c r="H811" t="s">
        <v>42</v>
      </c>
      <c r="I811" t="s">
        <v>67</v>
      </c>
      <c r="J811" t="s">
        <v>1382</v>
      </c>
      <c r="M811" t="s">
        <v>106</v>
      </c>
      <c r="P811" t="s">
        <v>69</v>
      </c>
      <c r="Q811" t="s">
        <v>47</v>
      </c>
      <c r="R811" t="s">
        <v>48</v>
      </c>
      <c r="V811" t="s">
        <v>49</v>
      </c>
      <c r="X811" t="s">
        <v>49</v>
      </c>
      <c r="Y811" t="s">
        <v>70</v>
      </c>
      <c r="Z811" t="s">
        <v>1387</v>
      </c>
      <c r="AA811" t="s">
        <v>1387</v>
      </c>
    </row>
    <row r="812" spans="1:27" x14ac:dyDescent="0.35">
      <c r="A812" t="str">
        <f t="shared" si="25"/>
        <v>2403D7</v>
      </c>
      <c r="B812" t="str">
        <f t="shared" si="24"/>
        <v>2403</v>
      </c>
      <c r="C812" t="s">
        <v>1388</v>
      </c>
      <c r="D812" t="s">
        <v>6</v>
      </c>
      <c r="E812" t="s">
        <v>94</v>
      </c>
      <c r="F812" t="s">
        <v>111</v>
      </c>
      <c r="G812" t="s">
        <v>757</v>
      </c>
      <c r="H812" t="s">
        <v>42</v>
      </c>
      <c r="I812" t="s">
        <v>43</v>
      </c>
      <c r="J812" t="s">
        <v>1382</v>
      </c>
      <c r="M812" t="s">
        <v>106</v>
      </c>
      <c r="P812" t="s">
        <v>46</v>
      </c>
      <c r="Q812" t="s">
        <v>47</v>
      </c>
      <c r="R812" t="s">
        <v>48</v>
      </c>
      <c r="V812" t="s">
        <v>49</v>
      </c>
      <c r="X812" t="s">
        <v>49</v>
      </c>
      <c r="Y812" t="s">
        <v>59</v>
      </c>
      <c r="Z812" t="s">
        <v>1380</v>
      </c>
      <c r="AA812" t="s">
        <v>1380</v>
      </c>
    </row>
    <row r="813" spans="1:27" x14ac:dyDescent="0.35">
      <c r="A813" t="str">
        <f t="shared" si="25"/>
        <v>2402F2</v>
      </c>
      <c r="B813" t="str">
        <f t="shared" si="24"/>
        <v>2402</v>
      </c>
      <c r="C813" t="s">
        <v>1389</v>
      </c>
      <c r="D813" t="s">
        <v>4</v>
      </c>
      <c r="E813" t="s">
        <v>77</v>
      </c>
      <c r="F813" t="s">
        <v>78</v>
      </c>
      <c r="G813" t="s">
        <v>757</v>
      </c>
      <c r="H813" t="s">
        <v>42</v>
      </c>
      <c r="I813" t="s">
        <v>67</v>
      </c>
      <c r="J813" t="s">
        <v>1390</v>
      </c>
      <c r="M813" t="s">
        <v>106</v>
      </c>
      <c r="P813" t="s">
        <v>138</v>
      </c>
      <c r="Q813" t="s">
        <v>47</v>
      </c>
      <c r="R813" t="s">
        <v>48</v>
      </c>
      <c r="V813" t="s">
        <v>49</v>
      </c>
      <c r="X813" t="s">
        <v>49</v>
      </c>
      <c r="Y813" t="s">
        <v>74</v>
      </c>
      <c r="Z813" t="s">
        <v>1353</v>
      </c>
      <c r="AA813" t="s">
        <v>1353</v>
      </c>
    </row>
    <row r="814" spans="1:27" x14ac:dyDescent="0.35">
      <c r="A814" t="str">
        <f t="shared" si="25"/>
        <v>2402D4</v>
      </c>
      <c r="B814" t="str">
        <f t="shared" si="24"/>
        <v>2402</v>
      </c>
      <c r="C814" t="s">
        <v>1391</v>
      </c>
      <c r="D814" t="s">
        <v>3</v>
      </c>
      <c r="E814" t="s">
        <v>52</v>
      </c>
      <c r="F814" t="s">
        <v>53</v>
      </c>
      <c r="G814" t="s">
        <v>757</v>
      </c>
      <c r="H814" t="s">
        <v>42</v>
      </c>
      <c r="I814" t="s">
        <v>43</v>
      </c>
      <c r="J814" t="s">
        <v>1390</v>
      </c>
      <c r="K814" t="s">
        <v>56</v>
      </c>
      <c r="M814" t="s">
        <v>106</v>
      </c>
      <c r="P814" t="s">
        <v>58</v>
      </c>
      <c r="Q814" t="s">
        <v>47</v>
      </c>
      <c r="R814" t="s">
        <v>48</v>
      </c>
      <c r="V814" t="s">
        <v>49</v>
      </c>
      <c r="X814" t="s">
        <v>49</v>
      </c>
      <c r="Y814" t="s">
        <v>59</v>
      </c>
      <c r="Z814" t="s">
        <v>1392</v>
      </c>
      <c r="AA814" t="s">
        <v>1392</v>
      </c>
    </row>
    <row r="815" spans="1:27" x14ac:dyDescent="0.35">
      <c r="A815" t="str">
        <f t="shared" si="25"/>
        <v>2402D2</v>
      </c>
      <c r="B815" t="str">
        <f t="shared" si="24"/>
        <v>2402</v>
      </c>
      <c r="C815" t="s">
        <v>1393</v>
      </c>
      <c r="D815" t="s">
        <v>2</v>
      </c>
      <c r="E815" t="s">
        <v>62</v>
      </c>
      <c r="F815" t="s">
        <v>63</v>
      </c>
      <c r="G815" t="s">
        <v>757</v>
      </c>
      <c r="H815" t="s">
        <v>42</v>
      </c>
      <c r="I815" t="s">
        <v>43</v>
      </c>
      <c r="J815" t="s">
        <v>1390</v>
      </c>
      <c r="K815" t="s">
        <v>56</v>
      </c>
      <c r="M815" t="s">
        <v>106</v>
      </c>
      <c r="P815" t="s">
        <v>58</v>
      </c>
      <c r="Q815" t="s">
        <v>47</v>
      </c>
      <c r="R815" t="s">
        <v>48</v>
      </c>
      <c r="V815" t="s">
        <v>49</v>
      </c>
      <c r="X815" t="s">
        <v>49</v>
      </c>
      <c r="Y815" t="s">
        <v>59</v>
      </c>
      <c r="Z815" t="s">
        <v>1394</v>
      </c>
      <c r="AA815" t="s">
        <v>1394</v>
      </c>
    </row>
    <row r="816" spans="1:27" x14ac:dyDescent="0.35">
      <c r="A816" t="str">
        <f t="shared" si="25"/>
        <v>2402F3</v>
      </c>
      <c r="B816" t="str">
        <f t="shared" si="24"/>
        <v>2402</v>
      </c>
      <c r="C816" t="s">
        <v>1395</v>
      </c>
      <c r="D816" t="s">
        <v>5</v>
      </c>
      <c r="E816" t="s">
        <v>40</v>
      </c>
      <c r="F816" t="s">
        <v>73</v>
      </c>
      <c r="G816" t="s">
        <v>757</v>
      </c>
      <c r="H816" t="s">
        <v>42</v>
      </c>
      <c r="I816" t="s">
        <v>67</v>
      </c>
      <c r="J816" t="s">
        <v>1390</v>
      </c>
      <c r="M816" t="s">
        <v>106</v>
      </c>
      <c r="P816" t="s">
        <v>46</v>
      </c>
      <c r="Q816" t="s">
        <v>47</v>
      </c>
      <c r="R816" t="s">
        <v>48</v>
      </c>
      <c r="V816" t="s">
        <v>49</v>
      </c>
      <c r="X816" t="s">
        <v>49</v>
      </c>
      <c r="Y816" t="s">
        <v>74</v>
      </c>
      <c r="Z816" t="s">
        <v>1347</v>
      </c>
      <c r="AA816" t="s">
        <v>1347</v>
      </c>
    </row>
    <row r="817" spans="1:27" x14ac:dyDescent="0.35">
      <c r="A817" t="str">
        <f t="shared" si="25"/>
        <v>2402C2</v>
      </c>
      <c r="B817" t="str">
        <f t="shared" si="24"/>
        <v>2402</v>
      </c>
      <c r="C817" t="s">
        <v>1396</v>
      </c>
      <c r="D817" t="s">
        <v>1</v>
      </c>
      <c r="E817" t="s">
        <v>65</v>
      </c>
      <c r="F817" t="s">
        <v>66</v>
      </c>
      <c r="G817" t="s">
        <v>757</v>
      </c>
      <c r="H817" t="s">
        <v>42</v>
      </c>
      <c r="I817" t="s">
        <v>67</v>
      </c>
      <c r="J817" t="s">
        <v>1390</v>
      </c>
      <c r="M817" t="s">
        <v>106</v>
      </c>
      <c r="P817" t="s">
        <v>58</v>
      </c>
      <c r="Q817" t="s">
        <v>47</v>
      </c>
      <c r="R817" t="s">
        <v>48</v>
      </c>
      <c r="V817" t="s">
        <v>49</v>
      </c>
      <c r="X817" t="s">
        <v>49</v>
      </c>
      <c r="Y817" t="s">
        <v>70</v>
      </c>
      <c r="Z817" t="s">
        <v>1394</v>
      </c>
      <c r="AA817" t="s">
        <v>1394</v>
      </c>
    </row>
    <row r="818" spans="1:27" x14ac:dyDescent="0.35">
      <c r="A818" t="str">
        <f t="shared" si="25"/>
        <v>2402D7</v>
      </c>
      <c r="B818" t="str">
        <f t="shared" si="24"/>
        <v>2402</v>
      </c>
      <c r="C818" t="s">
        <v>1397</v>
      </c>
      <c r="D818" t="s">
        <v>6</v>
      </c>
      <c r="E818" t="s">
        <v>94</v>
      </c>
      <c r="F818" t="s">
        <v>111</v>
      </c>
      <c r="G818" t="s">
        <v>757</v>
      </c>
      <c r="H818" t="s">
        <v>42</v>
      </c>
      <c r="I818" t="s">
        <v>43</v>
      </c>
      <c r="J818" t="s">
        <v>1390</v>
      </c>
      <c r="M818" t="s">
        <v>106</v>
      </c>
      <c r="P818" t="s">
        <v>46</v>
      </c>
      <c r="Q818" t="s">
        <v>47</v>
      </c>
      <c r="R818" t="s">
        <v>48</v>
      </c>
      <c r="V818" t="s">
        <v>49</v>
      </c>
      <c r="X818" t="s">
        <v>49</v>
      </c>
      <c r="Y818" t="s">
        <v>59</v>
      </c>
      <c r="Z818" t="s">
        <v>1398</v>
      </c>
      <c r="AA818" t="s">
        <v>1398</v>
      </c>
    </row>
    <row r="819" spans="1:27" x14ac:dyDescent="0.35">
      <c r="A819" t="str">
        <f t="shared" si="25"/>
        <v>2401F2</v>
      </c>
      <c r="B819" t="str">
        <f t="shared" si="24"/>
        <v>2401</v>
      </c>
      <c r="C819" t="s">
        <v>1399</v>
      </c>
      <c r="D819" t="s">
        <v>4</v>
      </c>
      <c r="E819" t="s">
        <v>77</v>
      </c>
      <c r="F819" t="s">
        <v>78</v>
      </c>
      <c r="G819" t="s">
        <v>757</v>
      </c>
      <c r="H819" t="s">
        <v>42</v>
      </c>
      <c r="I819" t="s">
        <v>67</v>
      </c>
      <c r="J819" t="s">
        <v>1400</v>
      </c>
      <c r="M819" t="s">
        <v>106</v>
      </c>
      <c r="P819" t="s">
        <v>138</v>
      </c>
      <c r="Q819" t="s">
        <v>47</v>
      </c>
      <c r="R819" t="s">
        <v>48</v>
      </c>
      <c r="V819" t="s">
        <v>49</v>
      </c>
      <c r="X819" t="s">
        <v>49</v>
      </c>
      <c r="Y819" t="s">
        <v>74</v>
      </c>
      <c r="Z819" t="s">
        <v>1353</v>
      </c>
      <c r="AA819" t="s">
        <v>1353</v>
      </c>
    </row>
    <row r="820" spans="1:27" x14ac:dyDescent="0.35">
      <c r="A820" t="str">
        <f t="shared" si="25"/>
        <v>2401D4</v>
      </c>
      <c r="B820" t="str">
        <f t="shared" si="24"/>
        <v>2401</v>
      </c>
      <c r="C820" t="s">
        <v>1401</v>
      </c>
      <c r="D820" t="s">
        <v>3</v>
      </c>
      <c r="E820" t="s">
        <v>52</v>
      </c>
      <c r="F820" t="s">
        <v>53</v>
      </c>
      <c r="G820" t="s">
        <v>757</v>
      </c>
      <c r="H820" t="s">
        <v>42</v>
      </c>
      <c r="I820" t="s">
        <v>43</v>
      </c>
      <c r="J820" t="s">
        <v>1400</v>
      </c>
      <c r="K820" t="s">
        <v>56</v>
      </c>
      <c r="M820" t="s">
        <v>106</v>
      </c>
      <c r="P820" t="s">
        <v>58</v>
      </c>
      <c r="Q820" t="s">
        <v>47</v>
      </c>
      <c r="R820" t="s">
        <v>48</v>
      </c>
      <c r="V820" t="s">
        <v>49</v>
      </c>
      <c r="X820" t="s">
        <v>49</v>
      </c>
      <c r="Y820" t="s">
        <v>59</v>
      </c>
      <c r="Z820" t="s">
        <v>1402</v>
      </c>
      <c r="AA820" t="s">
        <v>1402</v>
      </c>
    </row>
    <row r="821" spans="1:27" x14ac:dyDescent="0.35">
      <c r="A821" t="str">
        <f t="shared" si="25"/>
        <v>2401D2</v>
      </c>
      <c r="B821" t="str">
        <f t="shared" si="24"/>
        <v>2401</v>
      </c>
      <c r="C821" t="s">
        <v>1403</v>
      </c>
      <c r="D821" t="s">
        <v>2</v>
      </c>
      <c r="E821" t="s">
        <v>62</v>
      </c>
      <c r="F821" t="s">
        <v>63</v>
      </c>
      <c r="G821" t="s">
        <v>757</v>
      </c>
      <c r="H821" t="s">
        <v>42</v>
      </c>
      <c r="I821" t="s">
        <v>43</v>
      </c>
      <c r="J821" t="s">
        <v>1400</v>
      </c>
      <c r="K821" t="s">
        <v>56</v>
      </c>
      <c r="M821" t="s">
        <v>106</v>
      </c>
      <c r="P821" t="s">
        <v>58</v>
      </c>
      <c r="Q821" t="s">
        <v>47</v>
      </c>
      <c r="R821" t="s">
        <v>48</v>
      </c>
      <c r="V821" t="s">
        <v>49</v>
      </c>
      <c r="X821" t="s">
        <v>49</v>
      </c>
      <c r="Y821" t="s">
        <v>59</v>
      </c>
      <c r="Z821" t="s">
        <v>1402</v>
      </c>
      <c r="AA821" t="s">
        <v>1402</v>
      </c>
    </row>
    <row r="822" spans="1:27" x14ac:dyDescent="0.35">
      <c r="A822" t="str">
        <f t="shared" si="25"/>
        <v>2401F3</v>
      </c>
      <c r="B822" t="str">
        <f t="shared" si="24"/>
        <v>2401</v>
      </c>
      <c r="C822" t="s">
        <v>1404</v>
      </c>
      <c r="D822" t="s">
        <v>5</v>
      </c>
      <c r="E822" t="s">
        <v>40</v>
      </c>
      <c r="F822" t="s">
        <v>73</v>
      </c>
      <c r="G822" t="s">
        <v>757</v>
      </c>
      <c r="H822" t="s">
        <v>42</v>
      </c>
      <c r="I822" t="s">
        <v>67</v>
      </c>
      <c r="J822" t="s">
        <v>1400</v>
      </c>
      <c r="M822" t="s">
        <v>106</v>
      </c>
      <c r="P822" t="s">
        <v>46</v>
      </c>
      <c r="Q822" t="s">
        <v>47</v>
      </c>
      <c r="R822" t="s">
        <v>48</v>
      </c>
      <c r="V822" t="s">
        <v>49</v>
      </c>
      <c r="X822" t="s">
        <v>49</v>
      </c>
      <c r="Y822" t="s">
        <v>74</v>
      </c>
      <c r="Z822" t="s">
        <v>1347</v>
      </c>
      <c r="AA822" t="s">
        <v>1347</v>
      </c>
    </row>
    <row r="823" spans="1:27" x14ac:dyDescent="0.35">
      <c r="A823" t="str">
        <f t="shared" si="25"/>
        <v>2401C2</v>
      </c>
      <c r="B823" t="str">
        <f t="shared" si="24"/>
        <v>2401</v>
      </c>
      <c r="C823" t="s">
        <v>1405</v>
      </c>
      <c r="D823" t="s">
        <v>1</v>
      </c>
      <c r="E823" t="s">
        <v>65</v>
      </c>
      <c r="F823" t="s">
        <v>66</v>
      </c>
      <c r="G823" t="s">
        <v>757</v>
      </c>
      <c r="H823" t="s">
        <v>42</v>
      </c>
      <c r="I823" t="s">
        <v>67</v>
      </c>
      <c r="J823" t="s">
        <v>1400</v>
      </c>
      <c r="M823" t="s">
        <v>106</v>
      </c>
      <c r="P823" t="s">
        <v>69</v>
      </c>
      <c r="Q823" t="s">
        <v>47</v>
      </c>
      <c r="R823" t="s">
        <v>48</v>
      </c>
      <c r="V823" t="s">
        <v>49</v>
      </c>
      <c r="X823" t="s">
        <v>49</v>
      </c>
      <c r="Y823" t="s">
        <v>70</v>
      </c>
      <c r="Z823" t="s">
        <v>3595</v>
      </c>
      <c r="AA823" t="s">
        <v>3595</v>
      </c>
    </row>
    <row r="824" spans="1:27" x14ac:dyDescent="0.35">
      <c r="A824" t="str">
        <f t="shared" si="25"/>
        <v>2401D7</v>
      </c>
      <c r="B824" t="str">
        <f t="shared" si="24"/>
        <v>2401</v>
      </c>
      <c r="C824" t="s">
        <v>1406</v>
      </c>
      <c r="D824" t="s">
        <v>6</v>
      </c>
      <c r="E824" t="s">
        <v>94</v>
      </c>
      <c r="F824" t="s">
        <v>111</v>
      </c>
      <c r="G824" t="s">
        <v>757</v>
      </c>
      <c r="H824" t="s">
        <v>42</v>
      </c>
      <c r="I824" t="s">
        <v>43</v>
      </c>
      <c r="J824" t="s">
        <v>1400</v>
      </c>
      <c r="M824" t="s">
        <v>106</v>
      </c>
      <c r="P824" t="s">
        <v>46</v>
      </c>
      <c r="Q824" t="s">
        <v>47</v>
      </c>
      <c r="R824" t="s">
        <v>48</v>
      </c>
      <c r="V824" t="s">
        <v>49</v>
      </c>
      <c r="X824" t="s">
        <v>49</v>
      </c>
      <c r="Y824" t="s">
        <v>59</v>
      </c>
      <c r="Z824" t="s">
        <v>1407</v>
      </c>
      <c r="AA824" t="s">
        <v>1407</v>
      </c>
    </row>
    <row r="825" spans="1:27" x14ac:dyDescent="0.35">
      <c r="A825" t="str">
        <f t="shared" si="25"/>
        <v>2010F2</v>
      </c>
      <c r="B825" t="str">
        <f t="shared" si="24"/>
        <v>2010</v>
      </c>
      <c r="C825" t="s">
        <v>1408</v>
      </c>
      <c r="D825" t="s">
        <v>4</v>
      </c>
      <c r="E825" t="s">
        <v>77</v>
      </c>
      <c r="F825" t="s">
        <v>78</v>
      </c>
      <c r="G825" t="s">
        <v>757</v>
      </c>
      <c r="H825" t="s">
        <v>42</v>
      </c>
      <c r="I825" t="s">
        <v>67</v>
      </c>
      <c r="J825" t="s">
        <v>1409</v>
      </c>
      <c r="M825" t="s">
        <v>106</v>
      </c>
      <c r="P825" t="s">
        <v>79</v>
      </c>
      <c r="Q825" t="s">
        <v>47</v>
      </c>
      <c r="R825" t="s">
        <v>48</v>
      </c>
      <c r="V825" t="s">
        <v>49</v>
      </c>
      <c r="X825" t="s">
        <v>49</v>
      </c>
      <c r="Y825" t="s">
        <v>74</v>
      </c>
      <c r="Z825" t="s">
        <v>1410</v>
      </c>
      <c r="AA825" t="s">
        <v>1410</v>
      </c>
    </row>
    <row r="826" spans="1:27" x14ac:dyDescent="0.35">
      <c r="A826" t="str">
        <f t="shared" si="25"/>
        <v>2010D4</v>
      </c>
      <c r="B826" t="str">
        <f t="shared" si="24"/>
        <v>2010</v>
      </c>
      <c r="C826" t="s">
        <v>1411</v>
      </c>
      <c r="D826" t="s">
        <v>3</v>
      </c>
      <c r="E826" t="s">
        <v>52</v>
      </c>
      <c r="F826" t="s">
        <v>53</v>
      </c>
      <c r="G826" t="s">
        <v>757</v>
      </c>
      <c r="H826" t="s">
        <v>42</v>
      </c>
      <c r="I826" t="s">
        <v>43</v>
      </c>
      <c r="J826" t="s">
        <v>1409</v>
      </c>
      <c r="K826" t="s">
        <v>56</v>
      </c>
      <c r="M826" t="s">
        <v>106</v>
      </c>
      <c r="P826" t="s">
        <v>58</v>
      </c>
      <c r="Q826" t="s">
        <v>47</v>
      </c>
      <c r="R826" t="s">
        <v>48</v>
      </c>
      <c r="V826" t="s">
        <v>49</v>
      </c>
      <c r="X826" t="s">
        <v>49</v>
      </c>
      <c r="Y826" t="s">
        <v>59</v>
      </c>
      <c r="Z826" t="s">
        <v>621</v>
      </c>
      <c r="AA826" t="s">
        <v>621</v>
      </c>
    </row>
    <row r="827" spans="1:27" x14ac:dyDescent="0.35">
      <c r="A827" t="str">
        <f t="shared" si="25"/>
        <v>2010D2</v>
      </c>
      <c r="B827" t="str">
        <f t="shared" si="24"/>
        <v>2010</v>
      </c>
      <c r="C827" t="s">
        <v>1412</v>
      </c>
      <c r="D827" t="s">
        <v>2</v>
      </c>
      <c r="E827" t="s">
        <v>62</v>
      </c>
      <c r="F827" t="s">
        <v>63</v>
      </c>
      <c r="G827" t="s">
        <v>757</v>
      </c>
      <c r="H827" t="s">
        <v>42</v>
      </c>
      <c r="I827" t="s">
        <v>43</v>
      </c>
      <c r="J827" t="s">
        <v>1409</v>
      </c>
      <c r="K827" t="s">
        <v>56</v>
      </c>
      <c r="M827" t="s">
        <v>106</v>
      </c>
      <c r="P827" t="s">
        <v>58</v>
      </c>
      <c r="Q827" t="s">
        <v>47</v>
      </c>
      <c r="R827" t="s">
        <v>48</v>
      </c>
      <c r="V827" t="s">
        <v>49</v>
      </c>
      <c r="X827" t="s">
        <v>49</v>
      </c>
      <c r="Y827" t="s">
        <v>59</v>
      </c>
      <c r="Z827" t="s">
        <v>621</v>
      </c>
      <c r="AA827" t="s">
        <v>621</v>
      </c>
    </row>
    <row r="828" spans="1:27" x14ac:dyDescent="0.35">
      <c r="A828" t="str">
        <f t="shared" si="25"/>
        <v>2010F3</v>
      </c>
      <c r="B828" t="str">
        <f t="shared" si="24"/>
        <v>2010</v>
      </c>
      <c r="C828" t="s">
        <v>1413</v>
      </c>
      <c r="D828" t="s">
        <v>5</v>
      </c>
      <c r="E828" t="s">
        <v>40</v>
      </c>
      <c r="F828" t="s">
        <v>73</v>
      </c>
      <c r="G828" t="s">
        <v>757</v>
      </c>
      <c r="H828" t="s">
        <v>42</v>
      </c>
      <c r="I828" t="s">
        <v>67</v>
      </c>
      <c r="J828" t="s">
        <v>1409</v>
      </c>
      <c r="M828" t="s">
        <v>106</v>
      </c>
      <c r="P828" t="s">
        <v>58</v>
      </c>
      <c r="Q828" t="s">
        <v>47</v>
      </c>
      <c r="R828" t="s">
        <v>48</v>
      </c>
      <c r="V828" t="s">
        <v>49</v>
      </c>
      <c r="X828" t="s">
        <v>49</v>
      </c>
      <c r="Y828" t="s">
        <v>74</v>
      </c>
      <c r="Z828" t="s">
        <v>1414</v>
      </c>
      <c r="AA828" t="s">
        <v>1414</v>
      </c>
    </row>
    <row r="829" spans="1:27" x14ac:dyDescent="0.35">
      <c r="A829" t="str">
        <f t="shared" si="25"/>
        <v>2010C2</v>
      </c>
      <c r="B829" t="str">
        <f t="shared" si="24"/>
        <v>2010</v>
      </c>
      <c r="C829" t="s">
        <v>1415</v>
      </c>
      <c r="D829" t="s">
        <v>1</v>
      </c>
      <c r="E829" t="s">
        <v>65</v>
      </c>
      <c r="F829" t="s">
        <v>66</v>
      </c>
      <c r="G829" t="s">
        <v>757</v>
      </c>
      <c r="H829" t="s">
        <v>42</v>
      </c>
      <c r="I829" t="s">
        <v>67</v>
      </c>
      <c r="J829" t="s">
        <v>1409</v>
      </c>
      <c r="M829" t="s">
        <v>106</v>
      </c>
      <c r="P829" t="s">
        <v>69</v>
      </c>
      <c r="Q829" t="s">
        <v>47</v>
      </c>
      <c r="R829" t="s">
        <v>48</v>
      </c>
      <c r="V829" t="s">
        <v>49</v>
      </c>
      <c r="X829" t="s">
        <v>49</v>
      </c>
      <c r="Y829" t="s">
        <v>70</v>
      </c>
      <c r="Z829" t="s">
        <v>1416</v>
      </c>
      <c r="AA829" t="s">
        <v>1416</v>
      </c>
    </row>
    <row r="830" spans="1:27" x14ac:dyDescent="0.35">
      <c r="A830" t="str">
        <f t="shared" si="25"/>
        <v>2010D7</v>
      </c>
      <c r="B830" t="str">
        <f t="shared" si="24"/>
        <v>2010</v>
      </c>
      <c r="C830" t="s">
        <v>1417</v>
      </c>
      <c r="D830" t="s">
        <v>6</v>
      </c>
      <c r="E830" t="s">
        <v>94</v>
      </c>
      <c r="F830" t="s">
        <v>111</v>
      </c>
      <c r="G830" t="s">
        <v>757</v>
      </c>
      <c r="H830" t="s">
        <v>42</v>
      </c>
      <c r="I830" t="s">
        <v>43</v>
      </c>
      <c r="J830" t="s">
        <v>1409</v>
      </c>
      <c r="M830" t="s">
        <v>106</v>
      </c>
      <c r="P830" t="s">
        <v>46</v>
      </c>
      <c r="Q830" t="s">
        <v>47</v>
      </c>
      <c r="R830" t="s">
        <v>48</v>
      </c>
      <c r="V830" t="s">
        <v>49</v>
      </c>
      <c r="X830" t="s">
        <v>49</v>
      </c>
      <c r="Y830" t="s">
        <v>59</v>
      </c>
      <c r="Z830" t="s">
        <v>1418</v>
      </c>
      <c r="AA830" t="s">
        <v>1418</v>
      </c>
    </row>
    <row r="831" spans="1:27" x14ac:dyDescent="0.35">
      <c r="A831" t="str">
        <f t="shared" si="25"/>
        <v>2009F2</v>
      </c>
      <c r="B831" t="str">
        <f t="shared" si="24"/>
        <v>2009</v>
      </c>
      <c r="C831" t="s">
        <v>1419</v>
      </c>
      <c r="D831" t="s">
        <v>4</v>
      </c>
      <c r="E831" t="s">
        <v>77</v>
      </c>
      <c r="F831" t="s">
        <v>78</v>
      </c>
      <c r="G831" t="s">
        <v>757</v>
      </c>
      <c r="H831" t="s">
        <v>42</v>
      </c>
      <c r="I831" t="s">
        <v>67</v>
      </c>
      <c r="J831" t="s">
        <v>1420</v>
      </c>
      <c r="M831" t="s">
        <v>106</v>
      </c>
      <c r="P831" t="s">
        <v>438</v>
      </c>
      <c r="Q831" t="s">
        <v>47</v>
      </c>
      <c r="R831" t="s">
        <v>48</v>
      </c>
      <c r="V831" t="s">
        <v>49</v>
      </c>
      <c r="X831" t="s">
        <v>49</v>
      </c>
      <c r="Y831" t="s">
        <v>74</v>
      </c>
      <c r="Z831" t="s">
        <v>1421</v>
      </c>
      <c r="AA831" t="s">
        <v>1421</v>
      </c>
    </row>
    <row r="832" spans="1:27" x14ac:dyDescent="0.35">
      <c r="A832" t="str">
        <f t="shared" si="25"/>
        <v>2009D4</v>
      </c>
      <c r="B832" t="str">
        <f t="shared" si="24"/>
        <v>2009</v>
      </c>
      <c r="C832" t="s">
        <v>1422</v>
      </c>
      <c r="D832" t="s">
        <v>3</v>
      </c>
      <c r="E832" t="s">
        <v>52</v>
      </c>
      <c r="F832" t="s">
        <v>53</v>
      </c>
      <c r="G832" t="s">
        <v>757</v>
      </c>
      <c r="H832" t="s">
        <v>42</v>
      </c>
      <c r="I832" t="s">
        <v>43</v>
      </c>
      <c r="J832" t="s">
        <v>1420</v>
      </c>
      <c r="K832" t="s">
        <v>56</v>
      </c>
      <c r="M832" t="s">
        <v>106</v>
      </c>
      <c r="P832" t="s">
        <v>58</v>
      </c>
      <c r="Q832" t="s">
        <v>47</v>
      </c>
      <c r="R832" t="s">
        <v>48</v>
      </c>
      <c r="V832" t="s">
        <v>49</v>
      </c>
      <c r="X832" t="s">
        <v>49</v>
      </c>
      <c r="Y832" t="s">
        <v>59</v>
      </c>
      <c r="Z832" t="s">
        <v>3591</v>
      </c>
      <c r="AA832" t="s">
        <v>3591</v>
      </c>
    </row>
    <row r="833" spans="1:27" x14ac:dyDescent="0.35">
      <c r="A833" t="str">
        <f t="shared" si="25"/>
        <v>2009D2</v>
      </c>
      <c r="B833" t="str">
        <f t="shared" si="24"/>
        <v>2009</v>
      </c>
      <c r="C833" t="s">
        <v>1423</v>
      </c>
      <c r="D833" t="s">
        <v>2</v>
      </c>
      <c r="E833" t="s">
        <v>62</v>
      </c>
      <c r="F833" t="s">
        <v>63</v>
      </c>
      <c r="G833" t="s">
        <v>757</v>
      </c>
      <c r="H833" t="s">
        <v>42</v>
      </c>
      <c r="I833" t="s">
        <v>43</v>
      </c>
      <c r="J833" t="s">
        <v>1420</v>
      </c>
      <c r="K833" t="s">
        <v>56</v>
      </c>
      <c r="M833" t="s">
        <v>106</v>
      </c>
      <c r="P833" t="s">
        <v>58</v>
      </c>
      <c r="Q833" t="s">
        <v>47</v>
      </c>
      <c r="R833" t="s">
        <v>48</v>
      </c>
      <c r="V833" t="s">
        <v>49</v>
      </c>
      <c r="X833" t="s">
        <v>49</v>
      </c>
      <c r="Y833" t="s">
        <v>59</v>
      </c>
      <c r="Z833" t="s">
        <v>1402</v>
      </c>
      <c r="AA833" t="s">
        <v>1402</v>
      </c>
    </row>
    <row r="834" spans="1:27" x14ac:dyDescent="0.35">
      <c r="A834" t="str">
        <f t="shared" si="25"/>
        <v>2009F3</v>
      </c>
      <c r="B834" t="str">
        <f t="shared" ref="B834:B897" si="26">LEFT($J:$J,4)</f>
        <v>2009</v>
      </c>
      <c r="C834" t="s">
        <v>1424</v>
      </c>
      <c r="D834" t="s">
        <v>5</v>
      </c>
      <c r="E834" t="s">
        <v>40</v>
      </c>
      <c r="F834" t="s">
        <v>73</v>
      </c>
      <c r="G834" t="s">
        <v>757</v>
      </c>
      <c r="H834" t="s">
        <v>42</v>
      </c>
      <c r="I834" t="s">
        <v>67</v>
      </c>
      <c r="J834" t="s">
        <v>1420</v>
      </c>
      <c r="M834" t="s">
        <v>106</v>
      </c>
      <c r="P834" t="s">
        <v>69</v>
      </c>
      <c r="Q834" t="s">
        <v>47</v>
      </c>
      <c r="R834" t="s">
        <v>48</v>
      </c>
      <c r="V834" t="s">
        <v>49</v>
      </c>
      <c r="X834" t="s">
        <v>49</v>
      </c>
      <c r="Y834" t="s">
        <v>74</v>
      </c>
      <c r="Z834" t="s">
        <v>1425</v>
      </c>
      <c r="AA834" t="s">
        <v>1425</v>
      </c>
    </row>
    <row r="835" spans="1:27" x14ac:dyDescent="0.35">
      <c r="A835" t="str">
        <f t="shared" ref="A835:A898" si="27">B835&amp;D835</f>
        <v>2009C2</v>
      </c>
      <c r="B835" t="str">
        <f t="shared" si="26"/>
        <v>2009</v>
      </c>
      <c r="C835" t="s">
        <v>1426</v>
      </c>
      <c r="D835" t="s">
        <v>1</v>
      </c>
      <c r="E835" t="s">
        <v>65</v>
      </c>
      <c r="F835" t="s">
        <v>66</v>
      </c>
      <c r="G835" t="s">
        <v>757</v>
      </c>
      <c r="H835" t="s">
        <v>42</v>
      </c>
      <c r="I835" t="s">
        <v>67</v>
      </c>
      <c r="J835" t="s">
        <v>1420</v>
      </c>
      <c r="M835" t="s">
        <v>106</v>
      </c>
      <c r="P835" t="s">
        <v>69</v>
      </c>
      <c r="Q835" t="s">
        <v>47</v>
      </c>
      <c r="R835" t="s">
        <v>48</v>
      </c>
      <c r="V835" t="s">
        <v>49</v>
      </c>
      <c r="X835" t="s">
        <v>49</v>
      </c>
      <c r="Y835" t="s">
        <v>70</v>
      </c>
      <c r="Z835" t="s">
        <v>1427</v>
      </c>
      <c r="AA835" t="s">
        <v>1427</v>
      </c>
    </row>
    <row r="836" spans="1:27" x14ac:dyDescent="0.35">
      <c r="A836" t="str">
        <f t="shared" si="27"/>
        <v>2009D7</v>
      </c>
      <c r="B836" t="str">
        <f t="shared" si="26"/>
        <v>2009</v>
      </c>
      <c r="C836" t="s">
        <v>1428</v>
      </c>
      <c r="D836" t="s">
        <v>6</v>
      </c>
      <c r="E836" t="s">
        <v>94</v>
      </c>
      <c r="F836" t="s">
        <v>111</v>
      </c>
      <c r="G836" t="s">
        <v>757</v>
      </c>
      <c r="H836" t="s">
        <v>42</v>
      </c>
      <c r="I836" t="s">
        <v>43</v>
      </c>
      <c r="J836" t="s">
        <v>1420</v>
      </c>
      <c r="M836" t="s">
        <v>106</v>
      </c>
      <c r="P836" t="s">
        <v>273</v>
      </c>
      <c r="Q836" t="s">
        <v>47</v>
      </c>
      <c r="R836" t="s">
        <v>48</v>
      </c>
      <c r="V836" t="s">
        <v>49</v>
      </c>
      <c r="X836" t="s">
        <v>49</v>
      </c>
      <c r="Y836" t="s">
        <v>59</v>
      </c>
      <c r="Z836" t="s">
        <v>1429</v>
      </c>
      <c r="AA836" t="s">
        <v>1429</v>
      </c>
    </row>
    <row r="837" spans="1:27" x14ac:dyDescent="0.35">
      <c r="A837" t="str">
        <f t="shared" si="27"/>
        <v>2008F2</v>
      </c>
      <c r="B837" t="str">
        <f t="shared" si="26"/>
        <v>2008</v>
      </c>
      <c r="C837" t="s">
        <v>1430</v>
      </c>
      <c r="D837" t="s">
        <v>4</v>
      </c>
      <c r="E837" t="s">
        <v>77</v>
      </c>
      <c r="F837" t="s">
        <v>78</v>
      </c>
      <c r="G837" t="s">
        <v>757</v>
      </c>
      <c r="H837" t="s">
        <v>42</v>
      </c>
      <c r="I837" t="s">
        <v>67</v>
      </c>
      <c r="J837" t="s">
        <v>1431</v>
      </c>
      <c r="M837" t="s">
        <v>106</v>
      </c>
      <c r="P837" t="s">
        <v>189</v>
      </c>
      <c r="Q837" t="s">
        <v>47</v>
      </c>
      <c r="R837" t="s">
        <v>48</v>
      </c>
      <c r="V837" t="s">
        <v>49</v>
      </c>
      <c r="X837" t="s">
        <v>49</v>
      </c>
      <c r="Y837" t="s">
        <v>74</v>
      </c>
      <c r="Z837" t="s">
        <v>1410</v>
      </c>
      <c r="AA837" t="s">
        <v>1410</v>
      </c>
    </row>
    <row r="838" spans="1:27" x14ac:dyDescent="0.35">
      <c r="A838" t="str">
        <f t="shared" si="27"/>
        <v>2008D4</v>
      </c>
      <c r="B838" t="str">
        <f t="shared" si="26"/>
        <v>2008</v>
      </c>
      <c r="C838" t="s">
        <v>1432</v>
      </c>
      <c r="D838" t="s">
        <v>3</v>
      </c>
      <c r="E838" t="s">
        <v>52</v>
      </c>
      <c r="F838" t="s">
        <v>53</v>
      </c>
      <c r="G838" t="s">
        <v>757</v>
      </c>
      <c r="H838" t="s">
        <v>42</v>
      </c>
      <c r="I838" t="s">
        <v>43</v>
      </c>
      <c r="J838" t="s">
        <v>1431</v>
      </c>
      <c r="K838" t="s">
        <v>56</v>
      </c>
      <c r="M838" t="s">
        <v>106</v>
      </c>
      <c r="P838" t="s">
        <v>58</v>
      </c>
      <c r="Q838" t="s">
        <v>47</v>
      </c>
      <c r="R838" t="s">
        <v>48</v>
      </c>
      <c r="V838" t="s">
        <v>49</v>
      </c>
      <c r="X838" t="s">
        <v>49</v>
      </c>
      <c r="Y838" t="s">
        <v>59</v>
      </c>
      <c r="Z838" t="s">
        <v>926</v>
      </c>
      <c r="AA838" t="s">
        <v>926</v>
      </c>
    </row>
    <row r="839" spans="1:27" x14ac:dyDescent="0.35">
      <c r="A839" t="str">
        <f t="shared" si="27"/>
        <v>2008D2</v>
      </c>
      <c r="B839" t="str">
        <f t="shared" si="26"/>
        <v>2008</v>
      </c>
      <c r="C839" t="s">
        <v>1433</v>
      </c>
      <c r="D839" t="s">
        <v>2</v>
      </c>
      <c r="E839" t="s">
        <v>62</v>
      </c>
      <c r="F839" t="s">
        <v>63</v>
      </c>
      <c r="G839" t="s">
        <v>757</v>
      </c>
      <c r="H839" t="s">
        <v>42</v>
      </c>
      <c r="I839" t="s">
        <v>43</v>
      </c>
      <c r="J839" t="s">
        <v>1431</v>
      </c>
      <c r="K839" t="s">
        <v>56</v>
      </c>
      <c r="M839" t="s">
        <v>106</v>
      </c>
      <c r="P839" t="s">
        <v>58</v>
      </c>
      <c r="Q839" t="s">
        <v>47</v>
      </c>
      <c r="R839" t="s">
        <v>48</v>
      </c>
      <c r="V839" t="s">
        <v>49</v>
      </c>
      <c r="X839" t="s">
        <v>49</v>
      </c>
      <c r="Y839" t="s">
        <v>59</v>
      </c>
      <c r="Z839" t="s">
        <v>1434</v>
      </c>
      <c r="AA839" t="s">
        <v>1434</v>
      </c>
    </row>
    <row r="840" spans="1:27" x14ac:dyDescent="0.35">
      <c r="A840" t="str">
        <f t="shared" si="27"/>
        <v>2008F3</v>
      </c>
      <c r="B840" t="str">
        <f t="shared" si="26"/>
        <v>2008</v>
      </c>
      <c r="C840" t="s">
        <v>1435</v>
      </c>
      <c r="D840" t="s">
        <v>5</v>
      </c>
      <c r="E840" t="s">
        <v>40</v>
      </c>
      <c r="F840" t="s">
        <v>73</v>
      </c>
      <c r="G840" t="s">
        <v>757</v>
      </c>
      <c r="H840" t="s">
        <v>42</v>
      </c>
      <c r="I840" t="s">
        <v>67</v>
      </c>
      <c r="J840" t="s">
        <v>1431</v>
      </c>
      <c r="M840" t="s">
        <v>106</v>
      </c>
      <c r="P840" t="s">
        <v>69</v>
      </c>
      <c r="Q840" t="s">
        <v>47</v>
      </c>
      <c r="R840" t="s">
        <v>48</v>
      </c>
      <c r="V840" t="s">
        <v>49</v>
      </c>
      <c r="X840" t="s">
        <v>49</v>
      </c>
      <c r="Y840" t="s">
        <v>74</v>
      </c>
      <c r="Z840" t="s">
        <v>1436</v>
      </c>
      <c r="AA840" t="s">
        <v>1436</v>
      </c>
    </row>
    <row r="841" spans="1:27" x14ac:dyDescent="0.35">
      <c r="A841" t="str">
        <f t="shared" si="27"/>
        <v>2008C2</v>
      </c>
      <c r="B841" t="str">
        <f t="shared" si="26"/>
        <v>2008</v>
      </c>
      <c r="C841" t="s">
        <v>1437</v>
      </c>
      <c r="D841" t="s">
        <v>1</v>
      </c>
      <c r="E841" t="s">
        <v>65</v>
      </c>
      <c r="F841" t="s">
        <v>66</v>
      </c>
      <c r="G841" t="s">
        <v>757</v>
      </c>
      <c r="H841" t="s">
        <v>42</v>
      </c>
      <c r="I841" t="s">
        <v>67</v>
      </c>
      <c r="J841" t="s">
        <v>1431</v>
      </c>
      <c r="M841" t="s">
        <v>106</v>
      </c>
      <c r="P841" t="s">
        <v>69</v>
      </c>
      <c r="Q841" t="s">
        <v>47</v>
      </c>
      <c r="R841" t="s">
        <v>48</v>
      </c>
      <c r="V841" t="s">
        <v>49</v>
      </c>
      <c r="X841" t="s">
        <v>49</v>
      </c>
      <c r="Y841" t="s">
        <v>70</v>
      </c>
      <c r="Z841" t="s">
        <v>1427</v>
      </c>
      <c r="AA841" t="s">
        <v>1427</v>
      </c>
    </row>
    <row r="842" spans="1:27" x14ac:dyDescent="0.35">
      <c r="A842" t="str">
        <f t="shared" si="27"/>
        <v>2008D7</v>
      </c>
      <c r="B842" t="str">
        <f t="shared" si="26"/>
        <v>2008</v>
      </c>
      <c r="C842" t="s">
        <v>1438</v>
      </c>
      <c r="D842" t="s">
        <v>6</v>
      </c>
      <c r="E842" t="s">
        <v>94</v>
      </c>
      <c r="F842" t="s">
        <v>111</v>
      </c>
      <c r="G842" t="s">
        <v>757</v>
      </c>
      <c r="H842" t="s">
        <v>42</v>
      </c>
      <c r="I842" t="s">
        <v>43</v>
      </c>
      <c r="J842" t="s">
        <v>1431</v>
      </c>
      <c r="M842" t="s">
        <v>106</v>
      </c>
      <c r="P842" t="s">
        <v>46</v>
      </c>
      <c r="Q842" t="s">
        <v>47</v>
      </c>
      <c r="R842" t="s">
        <v>48</v>
      </c>
      <c r="V842" t="s">
        <v>49</v>
      </c>
      <c r="X842" t="s">
        <v>49</v>
      </c>
      <c r="Y842" t="s">
        <v>59</v>
      </c>
      <c r="Z842" t="s">
        <v>1439</v>
      </c>
      <c r="AA842" t="s">
        <v>1439</v>
      </c>
    </row>
    <row r="843" spans="1:27" x14ac:dyDescent="0.35">
      <c r="A843" t="str">
        <f t="shared" si="27"/>
        <v>2007F2</v>
      </c>
      <c r="B843" t="str">
        <f t="shared" si="26"/>
        <v>2007</v>
      </c>
      <c r="C843" t="s">
        <v>1440</v>
      </c>
      <c r="D843" t="s">
        <v>4</v>
      </c>
      <c r="E843" t="s">
        <v>77</v>
      </c>
      <c r="F843" t="s">
        <v>78</v>
      </c>
      <c r="G843" t="s">
        <v>757</v>
      </c>
      <c r="H843" t="s">
        <v>42</v>
      </c>
      <c r="I843" t="s">
        <v>67</v>
      </c>
      <c r="J843" t="s">
        <v>1441</v>
      </c>
      <c r="M843" t="s">
        <v>106</v>
      </c>
      <c r="P843" t="s">
        <v>79</v>
      </c>
      <c r="Q843" t="s">
        <v>47</v>
      </c>
      <c r="R843" t="s">
        <v>48</v>
      </c>
      <c r="V843" t="s">
        <v>49</v>
      </c>
      <c r="X843" t="s">
        <v>49</v>
      </c>
      <c r="Y843" t="s">
        <v>74</v>
      </c>
      <c r="Z843" t="s">
        <v>1410</v>
      </c>
      <c r="AA843" t="s">
        <v>1410</v>
      </c>
    </row>
    <row r="844" spans="1:27" x14ac:dyDescent="0.35">
      <c r="A844" t="str">
        <f t="shared" si="27"/>
        <v>2007D4</v>
      </c>
      <c r="B844" t="str">
        <f t="shared" si="26"/>
        <v>2007</v>
      </c>
      <c r="C844" t="s">
        <v>1442</v>
      </c>
      <c r="D844" t="s">
        <v>3</v>
      </c>
      <c r="E844" t="s">
        <v>52</v>
      </c>
      <c r="F844" t="s">
        <v>53</v>
      </c>
      <c r="G844" t="s">
        <v>757</v>
      </c>
      <c r="H844" t="s">
        <v>42</v>
      </c>
      <c r="I844" t="s">
        <v>43</v>
      </c>
      <c r="J844" t="s">
        <v>1441</v>
      </c>
      <c r="K844" t="s">
        <v>56</v>
      </c>
      <c r="M844" t="s">
        <v>106</v>
      </c>
      <c r="P844" t="s">
        <v>58</v>
      </c>
      <c r="Q844" t="s">
        <v>47</v>
      </c>
      <c r="R844" t="s">
        <v>48</v>
      </c>
      <c r="V844" t="s">
        <v>49</v>
      </c>
      <c r="X844" t="s">
        <v>49</v>
      </c>
      <c r="Y844" t="s">
        <v>59</v>
      </c>
      <c r="Z844" t="s">
        <v>1443</v>
      </c>
      <c r="AA844" t="s">
        <v>1443</v>
      </c>
    </row>
    <row r="845" spans="1:27" x14ac:dyDescent="0.35">
      <c r="A845" t="str">
        <f t="shared" si="27"/>
        <v>2007D2</v>
      </c>
      <c r="B845" t="str">
        <f t="shared" si="26"/>
        <v>2007</v>
      </c>
      <c r="C845" t="s">
        <v>1444</v>
      </c>
      <c r="D845" t="s">
        <v>2</v>
      </c>
      <c r="E845" t="s">
        <v>62</v>
      </c>
      <c r="F845" t="s">
        <v>63</v>
      </c>
      <c r="G845" t="s">
        <v>757</v>
      </c>
      <c r="H845" t="s">
        <v>42</v>
      </c>
      <c r="I845" t="s">
        <v>43</v>
      </c>
      <c r="J845" t="s">
        <v>1441</v>
      </c>
      <c r="K845" t="s">
        <v>56</v>
      </c>
      <c r="M845" t="s">
        <v>106</v>
      </c>
      <c r="P845" t="s">
        <v>58</v>
      </c>
      <c r="Q845" t="s">
        <v>47</v>
      </c>
      <c r="R845" t="s">
        <v>48</v>
      </c>
      <c r="V845" t="s">
        <v>49</v>
      </c>
      <c r="X845" t="s">
        <v>49</v>
      </c>
      <c r="Y845" t="s">
        <v>59</v>
      </c>
      <c r="Z845" t="s">
        <v>1443</v>
      </c>
      <c r="AA845" t="s">
        <v>1443</v>
      </c>
    </row>
    <row r="846" spans="1:27" x14ac:dyDescent="0.35">
      <c r="A846" t="str">
        <f t="shared" si="27"/>
        <v>2007F3</v>
      </c>
      <c r="B846" t="str">
        <f t="shared" si="26"/>
        <v>2007</v>
      </c>
      <c r="C846" t="s">
        <v>1445</v>
      </c>
      <c r="D846" t="s">
        <v>5</v>
      </c>
      <c r="E846" t="s">
        <v>40</v>
      </c>
      <c r="F846" t="s">
        <v>73</v>
      </c>
      <c r="G846" t="s">
        <v>757</v>
      </c>
      <c r="H846" t="s">
        <v>42</v>
      </c>
      <c r="I846" t="s">
        <v>67</v>
      </c>
      <c r="J846" t="s">
        <v>1441</v>
      </c>
      <c r="M846" t="s">
        <v>106</v>
      </c>
      <c r="P846" t="s">
        <v>58</v>
      </c>
      <c r="Q846" t="s">
        <v>47</v>
      </c>
      <c r="R846" t="s">
        <v>48</v>
      </c>
      <c r="V846" t="s">
        <v>49</v>
      </c>
      <c r="X846" t="s">
        <v>49</v>
      </c>
      <c r="Y846" t="s">
        <v>74</v>
      </c>
      <c r="Z846" t="s">
        <v>1436</v>
      </c>
      <c r="AA846" t="s">
        <v>1436</v>
      </c>
    </row>
    <row r="847" spans="1:27" x14ac:dyDescent="0.35">
      <c r="A847" t="str">
        <f t="shared" si="27"/>
        <v>2007C2</v>
      </c>
      <c r="B847" t="str">
        <f t="shared" si="26"/>
        <v>2007</v>
      </c>
      <c r="C847" t="s">
        <v>1446</v>
      </c>
      <c r="D847" t="s">
        <v>1</v>
      </c>
      <c r="E847" t="s">
        <v>65</v>
      </c>
      <c r="F847" t="s">
        <v>66</v>
      </c>
      <c r="G847" t="s">
        <v>757</v>
      </c>
      <c r="H847" t="s">
        <v>42</v>
      </c>
      <c r="I847" t="s">
        <v>67</v>
      </c>
      <c r="J847" t="s">
        <v>1441</v>
      </c>
      <c r="M847" t="s">
        <v>106</v>
      </c>
      <c r="P847" t="s">
        <v>69</v>
      </c>
      <c r="Q847" t="s">
        <v>47</v>
      </c>
      <c r="R847" t="s">
        <v>48</v>
      </c>
      <c r="V847" t="s">
        <v>49</v>
      </c>
      <c r="X847" t="s">
        <v>49</v>
      </c>
      <c r="Y847" t="s">
        <v>70</v>
      </c>
      <c r="Z847" t="s">
        <v>1447</v>
      </c>
      <c r="AA847" t="s">
        <v>1447</v>
      </c>
    </row>
    <row r="848" spans="1:27" x14ac:dyDescent="0.35">
      <c r="A848" t="str">
        <f t="shared" si="27"/>
        <v>2007D7</v>
      </c>
      <c r="B848" t="str">
        <f t="shared" si="26"/>
        <v>2007</v>
      </c>
      <c r="C848" t="s">
        <v>1448</v>
      </c>
      <c r="D848" t="s">
        <v>6</v>
      </c>
      <c r="E848" t="s">
        <v>94</v>
      </c>
      <c r="F848" t="s">
        <v>111</v>
      </c>
      <c r="G848" t="s">
        <v>757</v>
      </c>
      <c r="H848" t="s">
        <v>42</v>
      </c>
      <c r="I848" t="s">
        <v>43</v>
      </c>
      <c r="J848" t="s">
        <v>1441</v>
      </c>
      <c r="M848" t="s">
        <v>106</v>
      </c>
      <c r="P848" t="s">
        <v>46</v>
      </c>
      <c r="Q848" t="s">
        <v>47</v>
      </c>
      <c r="R848" t="s">
        <v>48</v>
      </c>
      <c r="V848" t="s">
        <v>49</v>
      </c>
      <c r="X848" t="s">
        <v>49</v>
      </c>
      <c r="Y848" t="s">
        <v>59</v>
      </c>
      <c r="Z848" t="s">
        <v>1449</v>
      </c>
      <c r="AA848" t="s">
        <v>1449</v>
      </c>
    </row>
    <row r="849" spans="1:27" x14ac:dyDescent="0.35">
      <c r="A849" t="str">
        <f t="shared" si="27"/>
        <v>2006F2</v>
      </c>
      <c r="B849" t="str">
        <f t="shared" si="26"/>
        <v>2006</v>
      </c>
      <c r="C849" t="s">
        <v>1450</v>
      </c>
      <c r="D849" t="s">
        <v>4</v>
      </c>
      <c r="E849" t="s">
        <v>77</v>
      </c>
      <c r="F849" t="s">
        <v>78</v>
      </c>
      <c r="G849" t="s">
        <v>757</v>
      </c>
      <c r="H849" t="s">
        <v>42</v>
      </c>
      <c r="I849" t="s">
        <v>67</v>
      </c>
      <c r="J849" t="s">
        <v>1451</v>
      </c>
      <c r="M849" t="s">
        <v>106</v>
      </c>
      <c r="P849" t="s">
        <v>189</v>
      </c>
      <c r="Q849" t="s">
        <v>47</v>
      </c>
      <c r="R849" t="s">
        <v>48</v>
      </c>
      <c r="V849" t="s">
        <v>49</v>
      </c>
      <c r="X849" t="s">
        <v>49</v>
      </c>
      <c r="Y849" t="s">
        <v>74</v>
      </c>
      <c r="Z849" t="s">
        <v>1421</v>
      </c>
      <c r="AA849" t="s">
        <v>1421</v>
      </c>
    </row>
    <row r="850" spans="1:27" x14ac:dyDescent="0.35">
      <c r="A850" t="str">
        <f t="shared" si="27"/>
        <v>2006D4</v>
      </c>
      <c r="B850" t="str">
        <f t="shared" si="26"/>
        <v>2006</v>
      </c>
      <c r="C850" t="s">
        <v>1452</v>
      </c>
      <c r="D850" t="s">
        <v>3</v>
      </c>
      <c r="E850" t="s">
        <v>52</v>
      </c>
      <c r="F850" t="s">
        <v>53</v>
      </c>
      <c r="G850" t="s">
        <v>757</v>
      </c>
      <c r="H850" t="s">
        <v>42</v>
      </c>
      <c r="I850" t="s">
        <v>43</v>
      </c>
      <c r="J850" t="s">
        <v>1451</v>
      </c>
      <c r="K850" t="s">
        <v>56</v>
      </c>
      <c r="M850" t="s">
        <v>106</v>
      </c>
      <c r="P850" t="s">
        <v>58</v>
      </c>
      <c r="Q850" t="s">
        <v>47</v>
      </c>
      <c r="R850" t="s">
        <v>48</v>
      </c>
      <c r="V850" t="s">
        <v>49</v>
      </c>
      <c r="X850" t="s">
        <v>49</v>
      </c>
      <c r="Y850" t="s">
        <v>59</v>
      </c>
      <c r="Z850" t="s">
        <v>1447</v>
      </c>
      <c r="AA850" t="s">
        <v>1447</v>
      </c>
    </row>
    <row r="851" spans="1:27" x14ac:dyDescent="0.35">
      <c r="A851" t="str">
        <f t="shared" si="27"/>
        <v>2006D2</v>
      </c>
      <c r="B851" t="str">
        <f t="shared" si="26"/>
        <v>2006</v>
      </c>
      <c r="C851" t="s">
        <v>1453</v>
      </c>
      <c r="D851" t="s">
        <v>2</v>
      </c>
      <c r="E851" t="s">
        <v>62</v>
      </c>
      <c r="F851" t="s">
        <v>63</v>
      </c>
      <c r="G851" t="s">
        <v>757</v>
      </c>
      <c r="H851" t="s">
        <v>42</v>
      </c>
      <c r="I851" t="s">
        <v>43</v>
      </c>
      <c r="J851" t="s">
        <v>1451</v>
      </c>
      <c r="K851" t="s">
        <v>56</v>
      </c>
      <c r="M851" t="s">
        <v>106</v>
      </c>
      <c r="P851" t="s">
        <v>58</v>
      </c>
      <c r="Q851" t="s">
        <v>47</v>
      </c>
      <c r="R851" t="s">
        <v>48</v>
      </c>
      <c r="V851" t="s">
        <v>49</v>
      </c>
      <c r="X851" t="s">
        <v>49</v>
      </c>
      <c r="Y851" t="s">
        <v>59</v>
      </c>
      <c r="Z851" t="s">
        <v>1447</v>
      </c>
      <c r="AA851" t="s">
        <v>1447</v>
      </c>
    </row>
    <row r="852" spans="1:27" x14ac:dyDescent="0.35">
      <c r="A852" t="str">
        <f t="shared" si="27"/>
        <v>2006F3</v>
      </c>
      <c r="B852" t="str">
        <f t="shared" si="26"/>
        <v>2006</v>
      </c>
      <c r="C852" t="s">
        <v>1454</v>
      </c>
      <c r="D852" t="s">
        <v>5</v>
      </c>
      <c r="E852" t="s">
        <v>40</v>
      </c>
      <c r="F852" t="s">
        <v>73</v>
      </c>
      <c r="G852" t="s">
        <v>757</v>
      </c>
      <c r="H852" t="s">
        <v>42</v>
      </c>
      <c r="I852" t="s">
        <v>67</v>
      </c>
      <c r="J852" t="s">
        <v>1451</v>
      </c>
      <c r="M852" t="s">
        <v>106</v>
      </c>
      <c r="P852" t="s">
        <v>69</v>
      </c>
      <c r="Q852" t="s">
        <v>47</v>
      </c>
      <c r="R852" t="s">
        <v>48</v>
      </c>
      <c r="V852" t="s">
        <v>49</v>
      </c>
      <c r="X852" t="s">
        <v>49</v>
      </c>
      <c r="Y852" t="s">
        <v>74</v>
      </c>
      <c r="Z852" t="s">
        <v>1455</v>
      </c>
      <c r="AA852" t="s">
        <v>1455</v>
      </c>
    </row>
    <row r="853" spans="1:27" x14ac:dyDescent="0.35">
      <c r="A853" t="str">
        <f t="shared" si="27"/>
        <v>2006C2</v>
      </c>
      <c r="B853" t="str">
        <f t="shared" si="26"/>
        <v>2006</v>
      </c>
      <c r="C853" t="s">
        <v>1456</v>
      </c>
      <c r="D853" t="s">
        <v>1</v>
      </c>
      <c r="E853" t="s">
        <v>65</v>
      </c>
      <c r="F853" t="s">
        <v>66</v>
      </c>
      <c r="G853" t="s">
        <v>757</v>
      </c>
      <c r="H853" t="s">
        <v>42</v>
      </c>
      <c r="I853" t="s">
        <v>67</v>
      </c>
      <c r="J853" t="s">
        <v>1451</v>
      </c>
      <c r="M853" t="s">
        <v>106</v>
      </c>
      <c r="P853" t="s">
        <v>69</v>
      </c>
      <c r="Q853" t="s">
        <v>47</v>
      </c>
      <c r="R853" t="s">
        <v>48</v>
      </c>
      <c r="V853" t="s">
        <v>49</v>
      </c>
      <c r="X853" t="s">
        <v>49</v>
      </c>
      <c r="Y853" t="s">
        <v>70</v>
      </c>
      <c r="Z853" t="s">
        <v>1447</v>
      </c>
      <c r="AA853" t="s">
        <v>1447</v>
      </c>
    </row>
    <row r="854" spans="1:27" x14ac:dyDescent="0.35">
      <c r="A854" t="str">
        <f t="shared" si="27"/>
        <v>2006D7</v>
      </c>
      <c r="B854" t="str">
        <f t="shared" si="26"/>
        <v>2006</v>
      </c>
      <c r="C854" t="s">
        <v>1457</v>
      </c>
      <c r="D854" t="s">
        <v>6</v>
      </c>
      <c r="E854" t="s">
        <v>94</v>
      </c>
      <c r="F854" t="s">
        <v>111</v>
      </c>
      <c r="G854" t="s">
        <v>757</v>
      </c>
      <c r="H854" t="s">
        <v>42</v>
      </c>
      <c r="I854" t="s">
        <v>43</v>
      </c>
      <c r="J854" t="s">
        <v>1451</v>
      </c>
      <c r="M854" t="s">
        <v>106</v>
      </c>
      <c r="P854" t="s">
        <v>46</v>
      </c>
      <c r="Q854" t="s">
        <v>47</v>
      </c>
      <c r="R854" t="s">
        <v>48</v>
      </c>
      <c r="V854" t="s">
        <v>49</v>
      </c>
      <c r="X854" t="s">
        <v>49</v>
      </c>
      <c r="Y854" t="s">
        <v>59</v>
      </c>
      <c r="Z854" t="s">
        <v>1458</v>
      </c>
      <c r="AA854" t="s">
        <v>1458</v>
      </c>
    </row>
    <row r="855" spans="1:27" x14ac:dyDescent="0.35">
      <c r="A855" t="str">
        <f t="shared" si="27"/>
        <v>2005F2</v>
      </c>
      <c r="B855" t="str">
        <f t="shared" si="26"/>
        <v>2005</v>
      </c>
      <c r="C855" t="s">
        <v>1459</v>
      </c>
      <c r="D855" t="s">
        <v>4</v>
      </c>
      <c r="E855" t="s">
        <v>77</v>
      </c>
      <c r="F855" t="s">
        <v>78</v>
      </c>
      <c r="G855" t="s">
        <v>757</v>
      </c>
      <c r="H855" t="s">
        <v>42</v>
      </c>
      <c r="I855" t="s">
        <v>67</v>
      </c>
      <c r="J855" t="s">
        <v>1460</v>
      </c>
      <c r="M855" t="s">
        <v>106</v>
      </c>
      <c r="P855" t="s">
        <v>91</v>
      </c>
      <c r="Q855" t="s">
        <v>47</v>
      </c>
      <c r="R855" t="s">
        <v>48</v>
      </c>
      <c r="V855" t="s">
        <v>49</v>
      </c>
      <c r="X855" t="s">
        <v>49</v>
      </c>
      <c r="Y855" t="s">
        <v>74</v>
      </c>
      <c r="Z855" t="s">
        <v>1461</v>
      </c>
      <c r="AA855" t="s">
        <v>1461</v>
      </c>
    </row>
    <row r="856" spans="1:27" x14ac:dyDescent="0.35">
      <c r="A856" t="str">
        <f t="shared" si="27"/>
        <v>2005D4</v>
      </c>
      <c r="B856" t="str">
        <f t="shared" si="26"/>
        <v>2005</v>
      </c>
      <c r="C856" t="s">
        <v>1462</v>
      </c>
      <c r="D856" t="s">
        <v>3</v>
      </c>
      <c r="E856" t="s">
        <v>52</v>
      </c>
      <c r="F856" t="s">
        <v>53</v>
      </c>
      <c r="G856" t="s">
        <v>757</v>
      </c>
      <c r="H856" t="s">
        <v>42</v>
      </c>
      <c r="I856" t="s">
        <v>43</v>
      </c>
      <c r="J856" t="s">
        <v>1460</v>
      </c>
      <c r="K856" t="s">
        <v>56</v>
      </c>
      <c r="M856" t="s">
        <v>106</v>
      </c>
      <c r="P856" t="s">
        <v>58</v>
      </c>
      <c r="Q856" t="s">
        <v>47</v>
      </c>
      <c r="R856" t="s">
        <v>48</v>
      </c>
      <c r="V856" t="s">
        <v>49</v>
      </c>
      <c r="X856" t="s">
        <v>49</v>
      </c>
      <c r="Y856" t="s">
        <v>59</v>
      </c>
      <c r="Z856" t="s">
        <v>3591</v>
      </c>
      <c r="AA856" t="s">
        <v>3591</v>
      </c>
    </row>
    <row r="857" spans="1:27" x14ac:dyDescent="0.35">
      <c r="A857" t="str">
        <f t="shared" si="27"/>
        <v>2005D2</v>
      </c>
      <c r="B857" t="str">
        <f t="shared" si="26"/>
        <v>2005</v>
      </c>
      <c r="C857" t="s">
        <v>1463</v>
      </c>
      <c r="D857" t="s">
        <v>2</v>
      </c>
      <c r="E857" t="s">
        <v>62</v>
      </c>
      <c r="F857" t="s">
        <v>63</v>
      </c>
      <c r="G857" t="s">
        <v>757</v>
      </c>
      <c r="H857" t="s">
        <v>42</v>
      </c>
      <c r="I857" t="s">
        <v>43</v>
      </c>
      <c r="J857" t="s">
        <v>1460</v>
      </c>
      <c r="K857" t="s">
        <v>56</v>
      </c>
      <c r="M857" t="s">
        <v>106</v>
      </c>
      <c r="P857" t="s">
        <v>58</v>
      </c>
      <c r="Q857" t="s">
        <v>47</v>
      </c>
      <c r="R857" t="s">
        <v>48</v>
      </c>
      <c r="V857" t="s">
        <v>49</v>
      </c>
      <c r="X857" t="s">
        <v>49</v>
      </c>
      <c r="Y857" t="s">
        <v>59</v>
      </c>
      <c r="Z857" t="s">
        <v>1464</v>
      </c>
      <c r="AA857" t="s">
        <v>1464</v>
      </c>
    </row>
    <row r="858" spans="1:27" x14ac:dyDescent="0.35">
      <c r="A858" t="str">
        <f t="shared" si="27"/>
        <v>2005F3</v>
      </c>
      <c r="B858" t="str">
        <f t="shared" si="26"/>
        <v>2005</v>
      </c>
      <c r="C858" t="s">
        <v>1465</v>
      </c>
      <c r="D858" t="s">
        <v>5</v>
      </c>
      <c r="E858" t="s">
        <v>40</v>
      </c>
      <c r="F858" t="s">
        <v>73</v>
      </c>
      <c r="G858" t="s">
        <v>757</v>
      </c>
      <c r="H858" t="s">
        <v>42</v>
      </c>
      <c r="I858" t="s">
        <v>67</v>
      </c>
      <c r="J858" t="s">
        <v>1460</v>
      </c>
      <c r="M858" t="s">
        <v>106</v>
      </c>
      <c r="P858" t="s">
        <v>58</v>
      </c>
      <c r="Q858" t="s">
        <v>47</v>
      </c>
      <c r="R858" t="s">
        <v>48</v>
      </c>
      <c r="V858" t="s">
        <v>49</v>
      </c>
      <c r="X858" t="s">
        <v>49</v>
      </c>
      <c r="Y858" t="s">
        <v>74</v>
      </c>
      <c r="Z858" t="s">
        <v>1466</v>
      </c>
      <c r="AA858" t="s">
        <v>1466</v>
      </c>
    </row>
    <row r="859" spans="1:27" x14ac:dyDescent="0.35">
      <c r="A859" t="str">
        <f t="shared" si="27"/>
        <v>2005C2</v>
      </c>
      <c r="B859" t="str">
        <f t="shared" si="26"/>
        <v>2005</v>
      </c>
      <c r="C859" t="s">
        <v>1467</v>
      </c>
      <c r="D859" t="s">
        <v>1</v>
      </c>
      <c r="E859" t="s">
        <v>65</v>
      </c>
      <c r="F859" t="s">
        <v>66</v>
      </c>
      <c r="G859" t="s">
        <v>757</v>
      </c>
      <c r="H859" t="s">
        <v>42</v>
      </c>
      <c r="I859" t="s">
        <v>67</v>
      </c>
      <c r="J859" t="s">
        <v>1460</v>
      </c>
      <c r="M859" t="s">
        <v>106</v>
      </c>
      <c r="P859" t="s">
        <v>69</v>
      </c>
      <c r="Q859" t="s">
        <v>47</v>
      </c>
      <c r="R859" t="s">
        <v>48</v>
      </c>
      <c r="V859" t="s">
        <v>49</v>
      </c>
      <c r="X859" t="s">
        <v>49</v>
      </c>
      <c r="Y859" t="s">
        <v>70</v>
      </c>
      <c r="Z859" t="s">
        <v>1427</v>
      </c>
      <c r="AA859" t="s">
        <v>1427</v>
      </c>
    </row>
    <row r="860" spans="1:27" x14ac:dyDescent="0.35">
      <c r="A860" t="str">
        <f t="shared" si="27"/>
        <v>2005D7</v>
      </c>
      <c r="B860" t="str">
        <f t="shared" si="26"/>
        <v>2005</v>
      </c>
      <c r="C860" t="s">
        <v>1468</v>
      </c>
      <c r="D860" t="s">
        <v>6</v>
      </c>
      <c r="E860" t="s">
        <v>94</v>
      </c>
      <c r="F860" t="s">
        <v>111</v>
      </c>
      <c r="G860" t="s">
        <v>757</v>
      </c>
      <c r="H860" t="s">
        <v>42</v>
      </c>
      <c r="I860" t="s">
        <v>43</v>
      </c>
      <c r="J860" t="s">
        <v>1460</v>
      </c>
      <c r="M860" t="s">
        <v>106</v>
      </c>
      <c r="P860" t="s">
        <v>46</v>
      </c>
      <c r="Q860" t="s">
        <v>47</v>
      </c>
      <c r="R860" t="s">
        <v>48</v>
      </c>
      <c r="V860" t="s">
        <v>49</v>
      </c>
      <c r="X860" t="s">
        <v>49</v>
      </c>
      <c r="Y860" t="s">
        <v>59</v>
      </c>
      <c r="Z860" t="s">
        <v>1469</v>
      </c>
      <c r="AA860" t="s">
        <v>1470</v>
      </c>
    </row>
    <row r="861" spans="1:27" x14ac:dyDescent="0.35">
      <c r="A861" t="str">
        <f t="shared" si="27"/>
        <v>2003F2</v>
      </c>
      <c r="B861" t="str">
        <f t="shared" si="26"/>
        <v>2003</v>
      </c>
      <c r="C861" t="s">
        <v>1471</v>
      </c>
      <c r="D861" t="s">
        <v>4</v>
      </c>
      <c r="E861" t="s">
        <v>77</v>
      </c>
      <c r="F861" t="s">
        <v>78</v>
      </c>
      <c r="G861" t="s">
        <v>757</v>
      </c>
      <c r="H861" t="s">
        <v>42</v>
      </c>
      <c r="I861" t="s">
        <v>67</v>
      </c>
      <c r="J861" t="s">
        <v>1472</v>
      </c>
      <c r="M861" t="s">
        <v>106</v>
      </c>
      <c r="P861" t="s">
        <v>91</v>
      </c>
      <c r="Q861" t="s">
        <v>47</v>
      </c>
      <c r="R861" t="s">
        <v>48</v>
      </c>
      <c r="V861" t="s">
        <v>49</v>
      </c>
      <c r="X861" t="s">
        <v>49</v>
      </c>
      <c r="Y861" t="s">
        <v>74</v>
      </c>
      <c r="Z861" t="s">
        <v>1461</v>
      </c>
      <c r="AA861" t="s">
        <v>1461</v>
      </c>
    </row>
    <row r="862" spans="1:27" x14ac:dyDescent="0.35">
      <c r="A862" t="str">
        <f t="shared" si="27"/>
        <v>2003D4</v>
      </c>
      <c r="B862" t="str">
        <f t="shared" si="26"/>
        <v>2003</v>
      </c>
      <c r="C862" t="s">
        <v>1473</v>
      </c>
      <c r="D862" t="s">
        <v>3</v>
      </c>
      <c r="E862" t="s">
        <v>52</v>
      </c>
      <c r="F862" t="s">
        <v>53</v>
      </c>
      <c r="G862" t="s">
        <v>757</v>
      </c>
      <c r="H862" t="s">
        <v>42</v>
      </c>
      <c r="I862" t="s">
        <v>43</v>
      </c>
      <c r="J862" t="s">
        <v>1472</v>
      </c>
      <c r="K862" t="s">
        <v>56</v>
      </c>
      <c r="M862" t="s">
        <v>106</v>
      </c>
      <c r="P862" t="s">
        <v>58</v>
      </c>
      <c r="Q862" t="s">
        <v>47</v>
      </c>
      <c r="R862" t="s">
        <v>48</v>
      </c>
      <c r="V862" t="s">
        <v>49</v>
      </c>
      <c r="X862" t="s">
        <v>49</v>
      </c>
      <c r="Y862" t="s">
        <v>59</v>
      </c>
      <c r="Z862" t="s">
        <v>3591</v>
      </c>
      <c r="AA862" t="s">
        <v>3591</v>
      </c>
    </row>
    <row r="863" spans="1:27" x14ac:dyDescent="0.35">
      <c r="A863" t="str">
        <f t="shared" si="27"/>
        <v>2003D2</v>
      </c>
      <c r="B863" t="str">
        <f t="shared" si="26"/>
        <v>2003</v>
      </c>
      <c r="C863" t="s">
        <v>1474</v>
      </c>
      <c r="D863" t="s">
        <v>2</v>
      </c>
      <c r="E863" t="s">
        <v>62</v>
      </c>
      <c r="F863" t="s">
        <v>63</v>
      </c>
      <c r="G863" t="s">
        <v>757</v>
      </c>
      <c r="H863" t="s">
        <v>42</v>
      </c>
      <c r="I863" t="s">
        <v>43</v>
      </c>
      <c r="J863" t="s">
        <v>1472</v>
      </c>
      <c r="K863" t="s">
        <v>56</v>
      </c>
      <c r="M863" t="s">
        <v>106</v>
      </c>
      <c r="P863" t="s">
        <v>58</v>
      </c>
      <c r="Q863" t="s">
        <v>47</v>
      </c>
      <c r="R863" t="s">
        <v>48</v>
      </c>
      <c r="V863" t="s">
        <v>49</v>
      </c>
      <c r="X863" t="s">
        <v>49</v>
      </c>
      <c r="Y863" t="s">
        <v>59</v>
      </c>
      <c r="Z863" t="s">
        <v>1464</v>
      </c>
      <c r="AA863" t="s">
        <v>1464</v>
      </c>
    </row>
    <row r="864" spans="1:27" x14ac:dyDescent="0.35">
      <c r="A864" t="str">
        <f t="shared" si="27"/>
        <v>2003F3</v>
      </c>
      <c r="B864" t="str">
        <f t="shared" si="26"/>
        <v>2003</v>
      </c>
      <c r="C864" t="s">
        <v>1475</v>
      </c>
      <c r="D864" t="s">
        <v>5</v>
      </c>
      <c r="E864" t="s">
        <v>40</v>
      </c>
      <c r="F864" t="s">
        <v>73</v>
      </c>
      <c r="G864" t="s">
        <v>757</v>
      </c>
      <c r="H864" t="s">
        <v>42</v>
      </c>
      <c r="I864" t="s">
        <v>67</v>
      </c>
      <c r="J864" t="s">
        <v>1472</v>
      </c>
      <c r="M864" t="s">
        <v>106</v>
      </c>
      <c r="P864" t="s">
        <v>58</v>
      </c>
      <c r="Q864" t="s">
        <v>47</v>
      </c>
      <c r="R864" t="s">
        <v>48</v>
      </c>
      <c r="V864" t="s">
        <v>49</v>
      </c>
      <c r="X864" t="s">
        <v>49</v>
      </c>
      <c r="Y864" t="s">
        <v>74</v>
      </c>
      <c r="Z864" t="s">
        <v>1466</v>
      </c>
      <c r="AA864" t="s">
        <v>1466</v>
      </c>
    </row>
    <row r="865" spans="1:27" x14ac:dyDescent="0.35">
      <c r="A865" t="str">
        <f t="shared" si="27"/>
        <v>2003C2</v>
      </c>
      <c r="B865" t="str">
        <f t="shared" si="26"/>
        <v>2003</v>
      </c>
      <c r="C865" t="s">
        <v>1476</v>
      </c>
      <c r="D865" t="s">
        <v>1</v>
      </c>
      <c r="E865" t="s">
        <v>65</v>
      </c>
      <c r="F865" t="s">
        <v>66</v>
      </c>
      <c r="G865" t="s">
        <v>757</v>
      </c>
      <c r="H865" t="s">
        <v>42</v>
      </c>
      <c r="I865" t="s">
        <v>67</v>
      </c>
      <c r="J865" t="s">
        <v>1472</v>
      </c>
      <c r="M865" t="s">
        <v>106</v>
      </c>
      <c r="P865" t="s">
        <v>69</v>
      </c>
      <c r="Q865" t="s">
        <v>47</v>
      </c>
      <c r="R865" t="s">
        <v>48</v>
      </c>
      <c r="V865" t="s">
        <v>49</v>
      </c>
      <c r="X865" t="s">
        <v>49</v>
      </c>
      <c r="Y865" t="s">
        <v>70</v>
      </c>
      <c r="Z865" t="s">
        <v>1427</v>
      </c>
      <c r="AA865" t="s">
        <v>1427</v>
      </c>
    </row>
    <row r="866" spans="1:27" x14ac:dyDescent="0.35">
      <c r="A866" t="str">
        <f t="shared" si="27"/>
        <v>2003D7</v>
      </c>
      <c r="B866" t="str">
        <f t="shared" si="26"/>
        <v>2003</v>
      </c>
      <c r="C866" t="s">
        <v>1477</v>
      </c>
      <c r="D866" t="s">
        <v>6</v>
      </c>
      <c r="E866" t="s">
        <v>94</v>
      </c>
      <c r="F866" t="s">
        <v>111</v>
      </c>
      <c r="G866" t="s">
        <v>757</v>
      </c>
      <c r="H866" t="s">
        <v>42</v>
      </c>
      <c r="I866" t="s">
        <v>43</v>
      </c>
      <c r="J866" t="s">
        <v>1472</v>
      </c>
      <c r="M866" t="s">
        <v>106</v>
      </c>
      <c r="P866" t="s">
        <v>46</v>
      </c>
      <c r="Q866" t="s">
        <v>47</v>
      </c>
      <c r="R866" t="s">
        <v>48</v>
      </c>
      <c r="V866" t="s">
        <v>49</v>
      </c>
      <c r="X866" t="s">
        <v>49</v>
      </c>
      <c r="Y866" t="s">
        <v>59</v>
      </c>
      <c r="Z866" t="s">
        <v>1470</v>
      </c>
      <c r="AA866" t="s">
        <v>1470</v>
      </c>
    </row>
    <row r="867" spans="1:27" x14ac:dyDescent="0.35">
      <c r="A867" t="str">
        <f t="shared" si="27"/>
        <v>2309C2</v>
      </c>
      <c r="B867" t="str">
        <f t="shared" si="26"/>
        <v>2309</v>
      </c>
      <c r="C867" t="s">
        <v>1478</v>
      </c>
      <c r="D867" t="s">
        <v>1</v>
      </c>
      <c r="E867" t="s">
        <v>65</v>
      </c>
      <c r="F867" t="s">
        <v>66</v>
      </c>
      <c r="G867" t="s">
        <v>757</v>
      </c>
      <c r="H867" t="s">
        <v>42</v>
      </c>
      <c r="I867" t="s">
        <v>67</v>
      </c>
      <c r="J867" t="s">
        <v>1362</v>
      </c>
      <c r="M867" t="s">
        <v>106</v>
      </c>
      <c r="P867" t="s">
        <v>69</v>
      </c>
      <c r="Q867" t="s">
        <v>47</v>
      </c>
      <c r="R867" t="s">
        <v>48</v>
      </c>
      <c r="V867" t="s">
        <v>49</v>
      </c>
      <c r="X867" t="s">
        <v>49</v>
      </c>
      <c r="Y867" t="s">
        <v>70</v>
      </c>
      <c r="Z867" t="s">
        <v>1479</v>
      </c>
      <c r="AA867" t="s">
        <v>1479</v>
      </c>
    </row>
    <row r="868" spans="1:27" x14ac:dyDescent="0.35">
      <c r="A868" t="str">
        <f t="shared" si="27"/>
        <v>2308F2</v>
      </c>
      <c r="B868" t="str">
        <f t="shared" si="26"/>
        <v>2308</v>
      </c>
      <c r="C868" t="s">
        <v>1480</v>
      </c>
      <c r="D868" t="s">
        <v>4</v>
      </c>
      <c r="E868" t="s">
        <v>77</v>
      </c>
      <c r="F868" t="s">
        <v>78</v>
      </c>
      <c r="G868" t="s">
        <v>757</v>
      </c>
      <c r="H868" t="s">
        <v>42</v>
      </c>
      <c r="I868" t="s">
        <v>67</v>
      </c>
      <c r="J868" t="s">
        <v>1481</v>
      </c>
      <c r="M868" t="s">
        <v>106</v>
      </c>
      <c r="P868" t="s">
        <v>189</v>
      </c>
      <c r="Q868" t="s">
        <v>47</v>
      </c>
      <c r="R868" t="s">
        <v>48</v>
      </c>
      <c r="V868" t="s">
        <v>49</v>
      </c>
      <c r="X868" t="s">
        <v>49</v>
      </c>
      <c r="Y868" t="s">
        <v>74</v>
      </c>
      <c r="Z868" t="s">
        <v>1482</v>
      </c>
      <c r="AA868" t="s">
        <v>1482</v>
      </c>
    </row>
    <row r="869" spans="1:27" x14ac:dyDescent="0.35">
      <c r="A869" t="str">
        <f t="shared" si="27"/>
        <v>2308D4</v>
      </c>
      <c r="B869" t="str">
        <f t="shared" si="26"/>
        <v>2308</v>
      </c>
      <c r="C869" t="s">
        <v>1483</v>
      </c>
      <c r="D869" t="s">
        <v>3</v>
      </c>
      <c r="E869" t="s">
        <v>52</v>
      </c>
      <c r="F869" t="s">
        <v>53</v>
      </c>
      <c r="G869" t="s">
        <v>757</v>
      </c>
      <c r="H869" t="s">
        <v>42</v>
      </c>
      <c r="I869" t="s">
        <v>43</v>
      </c>
      <c r="J869" t="s">
        <v>1481</v>
      </c>
      <c r="K869" t="s">
        <v>56</v>
      </c>
      <c r="M869" t="s">
        <v>106</v>
      </c>
      <c r="P869" t="s">
        <v>58</v>
      </c>
      <c r="Q869" t="s">
        <v>47</v>
      </c>
      <c r="R869" t="s">
        <v>48</v>
      </c>
      <c r="V869" t="s">
        <v>49</v>
      </c>
      <c r="X869" t="s">
        <v>49</v>
      </c>
      <c r="Y869" t="s">
        <v>59</v>
      </c>
      <c r="Z869" t="s">
        <v>995</v>
      </c>
      <c r="AA869" t="s">
        <v>995</v>
      </c>
    </row>
    <row r="870" spans="1:27" x14ac:dyDescent="0.35">
      <c r="A870" t="str">
        <f t="shared" si="27"/>
        <v>2308D2</v>
      </c>
      <c r="B870" t="str">
        <f t="shared" si="26"/>
        <v>2308</v>
      </c>
      <c r="C870" t="s">
        <v>1484</v>
      </c>
      <c r="D870" t="s">
        <v>2</v>
      </c>
      <c r="E870" t="s">
        <v>62</v>
      </c>
      <c r="F870" t="s">
        <v>63</v>
      </c>
      <c r="G870" t="s">
        <v>757</v>
      </c>
      <c r="H870" t="s">
        <v>42</v>
      </c>
      <c r="I870" t="s">
        <v>43</v>
      </c>
      <c r="J870" t="s">
        <v>1481</v>
      </c>
      <c r="K870" t="s">
        <v>56</v>
      </c>
      <c r="M870" t="s">
        <v>106</v>
      </c>
      <c r="P870" t="s">
        <v>58</v>
      </c>
      <c r="Q870" t="s">
        <v>47</v>
      </c>
      <c r="R870" t="s">
        <v>48</v>
      </c>
      <c r="V870" t="s">
        <v>49</v>
      </c>
      <c r="X870" t="s">
        <v>49</v>
      </c>
      <c r="Y870" t="s">
        <v>59</v>
      </c>
      <c r="Z870" t="s">
        <v>1485</v>
      </c>
      <c r="AA870" t="s">
        <v>1485</v>
      </c>
    </row>
    <row r="871" spans="1:27" x14ac:dyDescent="0.35">
      <c r="A871" t="str">
        <f t="shared" si="27"/>
        <v>2308F3</v>
      </c>
      <c r="B871" t="str">
        <f t="shared" si="26"/>
        <v>2308</v>
      </c>
      <c r="C871" t="s">
        <v>1486</v>
      </c>
      <c r="D871" t="s">
        <v>5</v>
      </c>
      <c r="E871" t="s">
        <v>40</v>
      </c>
      <c r="F871" t="s">
        <v>73</v>
      </c>
      <c r="G871" t="s">
        <v>757</v>
      </c>
      <c r="H871" t="s">
        <v>42</v>
      </c>
      <c r="I871" t="s">
        <v>67</v>
      </c>
      <c r="J871" t="s">
        <v>1481</v>
      </c>
      <c r="M871" t="s">
        <v>106</v>
      </c>
      <c r="P871" t="s">
        <v>46</v>
      </c>
      <c r="Q871" t="s">
        <v>47</v>
      </c>
      <c r="R871" t="s">
        <v>48</v>
      </c>
      <c r="V871" t="s">
        <v>49</v>
      </c>
      <c r="X871" t="s">
        <v>49</v>
      </c>
      <c r="Y871" t="s">
        <v>74</v>
      </c>
      <c r="Z871" t="s">
        <v>1487</v>
      </c>
      <c r="AA871" t="s">
        <v>1487</v>
      </c>
    </row>
    <row r="872" spans="1:27" x14ac:dyDescent="0.35">
      <c r="A872" t="str">
        <f t="shared" si="27"/>
        <v>2308C2</v>
      </c>
      <c r="B872" t="str">
        <f t="shared" si="26"/>
        <v>2308</v>
      </c>
      <c r="C872" t="s">
        <v>1488</v>
      </c>
      <c r="D872" t="s">
        <v>1</v>
      </c>
      <c r="E872" t="s">
        <v>65</v>
      </c>
      <c r="F872" t="s">
        <v>66</v>
      </c>
      <c r="G872" t="s">
        <v>757</v>
      </c>
      <c r="H872" t="s">
        <v>42</v>
      </c>
      <c r="I872" t="s">
        <v>67</v>
      </c>
      <c r="J872" t="s">
        <v>1481</v>
      </c>
      <c r="M872" t="s">
        <v>106</v>
      </c>
      <c r="P872" t="s">
        <v>69</v>
      </c>
      <c r="Q872" t="s">
        <v>47</v>
      </c>
      <c r="R872" t="s">
        <v>48</v>
      </c>
      <c r="V872" t="s">
        <v>49</v>
      </c>
      <c r="X872" t="s">
        <v>49</v>
      </c>
      <c r="Y872" t="s">
        <v>70</v>
      </c>
      <c r="Z872" t="s">
        <v>1489</v>
      </c>
      <c r="AA872" t="s">
        <v>1489</v>
      </c>
    </row>
    <row r="873" spans="1:27" x14ac:dyDescent="0.35">
      <c r="A873" t="str">
        <f t="shared" si="27"/>
        <v>2308D7</v>
      </c>
      <c r="B873" t="str">
        <f t="shared" si="26"/>
        <v>2308</v>
      </c>
      <c r="C873" t="s">
        <v>1490</v>
      </c>
      <c r="D873" t="s">
        <v>6</v>
      </c>
      <c r="E873" t="s">
        <v>94</v>
      </c>
      <c r="F873" t="s">
        <v>111</v>
      </c>
      <c r="G873" t="s">
        <v>757</v>
      </c>
      <c r="H873" t="s">
        <v>42</v>
      </c>
      <c r="I873" t="s">
        <v>43</v>
      </c>
      <c r="J873" t="s">
        <v>1481</v>
      </c>
      <c r="M873" t="s">
        <v>106</v>
      </c>
      <c r="P873" t="s">
        <v>46</v>
      </c>
      <c r="Q873" t="s">
        <v>47</v>
      </c>
      <c r="R873" t="s">
        <v>48</v>
      </c>
      <c r="V873" t="s">
        <v>49</v>
      </c>
      <c r="X873" t="s">
        <v>49</v>
      </c>
      <c r="Y873" t="s">
        <v>59</v>
      </c>
      <c r="Z873" t="s">
        <v>1369</v>
      </c>
      <c r="AA873" t="s">
        <v>1369</v>
      </c>
    </row>
    <row r="874" spans="1:27" x14ac:dyDescent="0.35">
      <c r="A874" t="str">
        <f t="shared" si="27"/>
        <v>2307F2</v>
      </c>
      <c r="B874" t="str">
        <f t="shared" si="26"/>
        <v>2307</v>
      </c>
      <c r="C874" t="s">
        <v>1491</v>
      </c>
      <c r="D874" t="s">
        <v>4</v>
      </c>
      <c r="E874" t="s">
        <v>77</v>
      </c>
      <c r="F874" t="s">
        <v>78</v>
      </c>
      <c r="G874" t="s">
        <v>757</v>
      </c>
      <c r="H874" t="s">
        <v>42</v>
      </c>
      <c r="I874" t="s">
        <v>67</v>
      </c>
      <c r="J874" t="s">
        <v>1492</v>
      </c>
      <c r="M874" t="s">
        <v>106</v>
      </c>
      <c r="P874" t="s">
        <v>79</v>
      </c>
      <c r="Q874" t="s">
        <v>47</v>
      </c>
      <c r="R874" t="s">
        <v>48</v>
      </c>
      <c r="V874" t="s">
        <v>49</v>
      </c>
      <c r="X874" t="s">
        <v>49</v>
      </c>
      <c r="Y874" t="s">
        <v>74</v>
      </c>
      <c r="Z874" t="s">
        <v>1482</v>
      </c>
      <c r="AA874" t="s">
        <v>1482</v>
      </c>
    </row>
    <row r="875" spans="1:27" x14ac:dyDescent="0.35">
      <c r="A875" t="str">
        <f t="shared" si="27"/>
        <v>2307D4</v>
      </c>
      <c r="B875" t="str">
        <f t="shared" si="26"/>
        <v>2307</v>
      </c>
      <c r="C875" t="s">
        <v>1493</v>
      </c>
      <c r="D875" t="s">
        <v>3</v>
      </c>
      <c r="E875" t="s">
        <v>52</v>
      </c>
      <c r="F875" t="s">
        <v>53</v>
      </c>
      <c r="G875" t="s">
        <v>757</v>
      </c>
      <c r="H875" t="s">
        <v>42</v>
      </c>
      <c r="I875" t="s">
        <v>43</v>
      </c>
      <c r="J875" t="s">
        <v>1492</v>
      </c>
      <c r="K875" t="s">
        <v>56</v>
      </c>
      <c r="M875" t="s">
        <v>106</v>
      </c>
      <c r="P875" t="s">
        <v>58</v>
      </c>
      <c r="Q875" t="s">
        <v>47</v>
      </c>
      <c r="R875" t="s">
        <v>48</v>
      </c>
      <c r="V875" t="s">
        <v>49</v>
      </c>
      <c r="X875" t="s">
        <v>49</v>
      </c>
      <c r="Y875" t="s">
        <v>59</v>
      </c>
      <c r="Z875" t="s">
        <v>1366</v>
      </c>
      <c r="AA875" t="s">
        <v>1366</v>
      </c>
    </row>
    <row r="876" spans="1:27" x14ac:dyDescent="0.35">
      <c r="A876" t="str">
        <f t="shared" si="27"/>
        <v>2307D2</v>
      </c>
      <c r="B876" t="str">
        <f t="shared" si="26"/>
        <v>2307</v>
      </c>
      <c r="C876" t="s">
        <v>1494</v>
      </c>
      <c r="D876" t="s">
        <v>2</v>
      </c>
      <c r="E876" t="s">
        <v>62</v>
      </c>
      <c r="F876" t="s">
        <v>63</v>
      </c>
      <c r="G876" t="s">
        <v>757</v>
      </c>
      <c r="H876" t="s">
        <v>42</v>
      </c>
      <c r="I876" t="s">
        <v>43</v>
      </c>
      <c r="J876" t="s">
        <v>1492</v>
      </c>
      <c r="K876" t="s">
        <v>56</v>
      </c>
      <c r="M876" t="s">
        <v>106</v>
      </c>
      <c r="P876" t="s">
        <v>58</v>
      </c>
      <c r="Q876" t="s">
        <v>47</v>
      </c>
      <c r="R876" t="s">
        <v>48</v>
      </c>
      <c r="V876" t="s">
        <v>49</v>
      </c>
      <c r="X876" t="s">
        <v>49</v>
      </c>
      <c r="Y876" t="s">
        <v>59</v>
      </c>
      <c r="Z876" t="s">
        <v>1366</v>
      </c>
      <c r="AA876" t="s">
        <v>1366</v>
      </c>
    </row>
    <row r="877" spans="1:27" x14ac:dyDescent="0.35">
      <c r="A877" t="str">
        <f t="shared" si="27"/>
        <v>2307F3</v>
      </c>
      <c r="B877" t="str">
        <f t="shared" si="26"/>
        <v>2307</v>
      </c>
      <c r="C877" t="s">
        <v>1495</v>
      </c>
      <c r="D877" t="s">
        <v>5</v>
      </c>
      <c r="E877" t="s">
        <v>40</v>
      </c>
      <c r="F877" t="s">
        <v>73</v>
      </c>
      <c r="G877" t="s">
        <v>757</v>
      </c>
      <c r="H877" t="s">
        <v>42</v>
      </c>
      <c r="I877" t="s">
        <v>67</v>
      </c>
      <c r="J877" t="s">
        <v>1492</v>
      </c>
      <c r="M877" t="s">
        <v>106</v>
      </c>
      <c r="P877" t="s">
        <v>46</v>
      </c>
      <c r="Q877" t="s">
        <v>47</v>
      </c>
      <c r="R877" t="s">
        <v>48</v>
      </c>
      <c r="V877" t="s">
        <v>49</v>
      </c>
      <c r="X877" t="s">
        <v>49</v>
      </c>
      <c r="Y877" t="s">
        <v>74</v>
      </c>
      <c r="Z877" t="s">
        <v>1487</v>
      </c>
      <c r="AA877" t="s">
        <v>1487</v>
      </c>
    </row>
    <row r="878" spans="1:27" x14ac:dyDescent="0.35">
      <c r="A878" t="str">
        <f t="shared" si="27"/>
        <v>2307C2</v>
      </c>
      <c r="B878" t="str">
        <f t="shared" si="26"/>
        <v>2307</v>
      </c>
      <c r="C878" t="s">
        <v>1496</v>
      </c>
      <c r="D878" t="s">
        <v>1</v>
      </c>
      <c r="E878" t="s">
        <v>65</v>
      </c>
      <c r="F878" t="s">
        <v>66</v>
      </c>
      <c r="G878" t="s">
        <v>757</v>
      </c>
      <c r="H878" t="s">
        <v>42</v>
      </c>
      <c r="I878" t="s">
        <v>67</v>
      </c>
      <c r="J878" t="s">
        <v>1492</v>
      </c>
      <c r="M878" t="s">
        <v>106</v>
      </c>
      <c r="P878" t="s">
        <v>58</v>
      </c>
      <c r="Q878" t="s">
        <v>47</v>
      </c>
      <c r="R878" t="s">
        <v>48</v>
      </c>
      <c r="V878" t="s">
        <v>49</v>
      </c>
      <c r="X878" t="s">
        <v>49</v>
      </c>
      <c r="Y878" t="s">
        <v>70</v>
      </c>
      <c r="Z878" t="s">
        <v>1497</v>
      </c>
      <c r="AA878" t="s">
        <v>1497</v>
      </c>
    </row>
    <row r="879" spans="1:27" x14ac:dyDescent="0.35">
      <c r="A879" t="str">
        <f t="shared" si="27"/>
        <v>2307D7</v>
      </c>
      <c r="B879" t="str">
        <f t="shared" si="26"/>
        <v>2307</v>
      </c>
      <c r="C879" t="s">
        <v>1498</v>
      </c>
      <c r="D879" t="s">
        <v>6</v>
      </c>
      <c r="E879" t="s">
        <v>94</v>
      </c>
      <c r="F879" t="s">
        <v>111</v>
      </c>
      <c r="G879" t="s">
        <v>757</v>
      </c>
      <c r="H879" t="s">
        <v>42</v>
      </c>
      <c r="I879" t="s">
        <v>43</v>
      </c>
      <c r="J879" t="s">
        <v>1492</v>
      </c>
      <c r="M879" t="s">
        <v>106</v>
      </c>
      <c r="P879" t="s">
        <v>46</v>
      </c>
      <c r="Q879" t="s">
        <v>47</v>
      </c>
      <c r="R879" t="s">
        <v>48</v>
      </c>
      <c r="V879" t="s">
        <v>49</v>
      </c>
      <c r="X879" t="s">
        <v>49</v>
      </c>
      <c r="Y879" t="s">
        <v>59</v>
      </c>
      <c r="Z879" t="s">
        <v>1369</v>
      </c>
      <c r="AA879" t="s">
        <v>1369</v>
      </c>
    </row>
    <row r="880" spans="1:27" x14ac:dyDescent="0.35">
      <c r="A880" t="str">
        <f t="shared" si="27"/>
        <v>2306F2</v>
      </c>
      <c r="B880" t="str">
        <f t="shared" si="26"/>
        <v>2306</v>
      </c>
      <c r="C880" t="s">
        <v>1499</v>
      </c>
      <c r="D880" t="s">
        <v>4</v>
      </c>
      <c r="E880" t="s">
        <v>77</v>
      </c>
      <c r="F880" t="s">
        <v>78</v>
      </c>
      <c r="G880" t="s">
        <v>757</v>
      </c>
      <c r="H880" t="s">
        <v>42</v>
      </c>
      <c r="I880" t="s">
        <v>67</v>
      </c>
      <c r="J880" t="s">
        <v>1500</v>
      </c>
      <c r="M880" t="s">
        <v>106</v>
      </c>
      <c r="P880" t="s">
        <v>189</v>
      </c>
      <c r="Q880" t="s">
        <v>47</v>
      </c>
      <c r="R880" t="s">
        <v>48</v>
      </c>
      <c r="V880" t="s">
        <v>49</v>
      </c>
      <c r="X880" t="s">
        <v>49</v>
      </c>
      <c r="Y880" t="s">
        <v>74</v>
      </c>
      <c r="Z880" t="s">
        <v>1482</v>
      </c>
      <c r="AA880" t="s">
        <v>1482</v>
      </c>
    </row>
    <row r="881" spans="1:27" x14ac:dyDescent="0.35">
      <c r="A881" t="str">
        <f t="shared" si="27"/>
        <v>2306D4</v>
      </c>
      <c r="B881" t="str">
        <f t="shared" si="26"/>
        <v>2306</v>
      </c>
      <c r="C881" t="s">
        <v>1501</v>
      </c>
      <c r="D881" t="s">
        <v>3</v>
      </c>
      <c r="E881" t="s">
        <v>52</v>
      </c>
      <c r="F881" t="s">
        <v>53</v>
      </c>
      <c r="G881" t="s">
        <v>757</v>
      </c>
      <c r="H881" t="s">
        <v>42</v>
      </c>
      <c r="I881" t="s">
        <v>43</v>
      </c>
      <c r="J881" t="s">
        <v>1500</v>
      </c>
      <c r="K881" t="s">
        <v>56</v>
      </c>
      <c r="M881" t="s">
        <v>106</v>
      </c>
      <c r="P881" t="s">
        <v>58</v>
      </c>
      <c r="Q881" t="s">
        <v>47</v>
      </c>
      <c r="R881" t="s">
        <v>48</v>
      </c>
      <c r="V881" t="s">
        <v>49</v>
      </c>
      <c r="X881" t="s">
        <v>49</v>
      </c>
      <c r="Y881" t="s">
        <v>59</v>
      </c>
      <c r="Z881" t="s">
        <v>1502</v>
      </c>
      <c r="AA881" t="s">
        <v>1502</v>
      </c>
    </row>
    <row r="882" spans="1:27" x14ac:dyDescent="0.35">
      <c r="A882" t="str">
        <f t="shared" si="27"/>
        <v>2306D2</v>
      </c>
      <c r="B882" t="str">
        <f t="shared" si="26"/>
        <v>2306</v>
      </c>
      <c r="C882" t="s">
        <v>1503</v>
      </c>
      <c r="D882" t="s">
        <v>2</v>
      </c>
      <c r="E882" t="s">
        <v>62</v>
      </c>
      <c r="F882" t="s">
        <v>63</v>
      </c>
      <c r="G882" t="s">
        <v>757</v>
      </c>
      <c r="H882" t="s">
        <v>42</v>
      </c>
      <c r="I882" t="s">
        <v>43</v>
      </c>
      <c r="J882" t="s">
        <v>1500</v>
      </c>
      <c r="K882" t="s">
        <v>56</v>
      </c>
      <c r="M882" t="s">
        <v>106</v>
      </c>
      <c r="P882" t="s">
        <v>58</v>
      </c>
      <c r="Q882" t="s">
        <v>47</v>
      </c>
      <c r="R882" t="s">
        <v>48</v>
      </c>
      <c r="V882" t="s">
        <v>49</v>
      </c>
      <c r="X882" t="s">
        <v>49</v>
      </c>
      <c r="Y882" t="s">
        <v>59</v>
      </c>
      <c r="Z882" t="s">
        <v>1502</v>
      </c>
      <c r="AA882" t="s">
        <v>1502</v>
      </c>
    </row>
    <row r="883" spans="1:27" x14ac:dyDescent="0.35">
      <c r="A883" t="str">
        <f t="shared" si="27"/>
        <v>2306F3</v>
      </c>
      <c r="B883" t="str">
        <f t="shared" si="26"/>
        <v>2306</v>
      </c>
      <c r="C883" t="s">
        <v>1504</v>
      </c>
      <c r="D883" t="s">
        <v>5</v>
      </c>
      <c r="E883" t="s">
        <v>40</v>
      </c>
      <c r="F883" t="s">
        <v>73</v>
      </c>
      <c r="G883" t="s">
        <v>757</v>
      </c>
      <c r="H883" t="s">
        <v>42</v>
      </c>
      <c r="I883" t="s">
        <v>67</v>
      </c>
      <c r="J883" t="s">
        <v>1500</v>
      </c>
      <c r="M883" t="s">
        <v>106</v>
      </c>
      <c r="P883" t="s">
        <v>46</v>
      </c>
      <c r="Q883" t="s">
        <v>47</v>
      </c>
      <c r="R883" t="s">
        <v>48</v>
      </c>
      <c r="V883" t="s">
        <v>49</v>
      </c>
      <c r="X883" t="s">
        <v>49</v>
      </c>
      <c r="Y883" t="s">
        <v>74</v>
      </c>
      <c r="Z883" t="s">
        <v>1487</v>
      </c>
      <c r="AA883" t="s">
        <v>1487</v>
      </c>
    </row>
    <row r="884" spans="1:27" x14ac:dyDescent="0.35">
      <c r="A884" t="str">
        <f t="shared" si="27"/>
        <v>2306C2</v>
      </c>
      <c r="B884" t="str">
        <f t="shared" si="26"/>
        <v>2306</v>
      </c>
      <c r="C884" t="s">
        <v>1505</v>
      </c>
      <c r="D884" t="s">
        <v>1</v>
      </c>
      <c r="E884" t="s">
        <v>65</v>
      </c>
      <c r="F884" t="s">
        <v>66</v>
      </c>
      <c r="G884" t="s">
        <v>757</v>
      </c>
      <c r="H884" t="s">
        <v>42</v>
      </c>
      <c r="I884" t="s">
        <v>67</v>
      </c>
      <c r="J884" t="s">
        <v>1500</v>
      </c>
      <c r="M884" t="s">
        <v>106</v>
      </c>
      <c r="P884" t="s">
        <v>69</v>
      </c>
      <c r="Q884" t="s">
        <v>47</v>
      </c>
      <c r="R884" t="s">
        <v>48</v>
      </c>
      <c r="V884" t="s">
        <v>49</v>
      </c>
      <c r="X884" t="s">
        <v>49</v>
      </c>
      <c r="Y884" t="s">
        <v>70</v>
      </c>
      <c r="Z884" t="s">
        <v>1497</v>
      </c>
      <c r="AA884" t="s">
        <v>1497</v>
      </c>
    </row>
    <row r="885" spans="1:27" x14ac:dyDescent="0.35">
      <c r="A885" t="str">
        <f t="shared" si="27"/>
        <v>2306D7</v>
      </c>
      <c r="B885" t="str">
        <f t="shared" si="26"/>
        <v>2306</v>
      </c>
      <c r="C885" t="s">
        <v>1506</v>
      </c>
      <c r="D885" t="s">
        <v>6</v>
      </c>
      <c r="E885" t="s">
        <v>94</v>
      </c>
      <c r="F885" t="s">
        <v>111</v>
      </c>
      <c r="G885" t="s">
        <v>757</v>
      </c>
      <c r="H885" t="s">
        <v>42</v>
      </c>
      <c r="I885" t="s">
        <v>43</v>
      </c>
      <c r="J885" t="s">
        <v>1500</v>
      </c>
      <c r="M885" t="s">
        <v>106</v>
      </c>
      <c r="P885" t="s">
        <v>46</v>
      </c>
      <c r="Q885" t="s">
        <v>47</v>
      </c>
      <c r="R885" t="s">
        <v>48</v>
      </c>
      <c r="V885" t="s">
        <v>49</v>
      </c>
      <c r="X885" t="s">
        <v>49</v>
      </c>
      <c r="Y885" t="s">
        <v>59</v>
      </c>
      <c r="Z885" t="s">
        <v>1507</v>
      </c>
      <c r="AA885" t="s">
        <v>1507</v>
      </c>
    </row>
    <row r="886" spans="1:27" x14ac:dyDescent="0.35">
      <c r="A886" t="str">
        <f t="shared" si="27"/>
        <v>2305F2</v>
      </c>
      <c r="B886" t="str">
        <f t="shared" si="26"/>
        <v>2305</v>
      </c>
      <c r="C886" t="s">
        <v>1508</v>
      </c>
      <c r="D886" t="s">
        <v>4</v>
      </c>
      <c r="E886" t="s">
        <v>77</v>
      </c>
      <c r="F886" t="s">
        <v>78</v>
      </c>
      <c r="G886" t="s">
        <v>757</v>
      </c>
      <c r="H886" t="s">
        <v>42</v>
      </c>
      <c r="I886" t="s">
        <v>67</v>
      </c>
      <c r="J886" t="s">
        <v>1509</v>
      </c>
      <c r="M886" t="s">
        <v>106</v>
      </c>
      <c r="P886" t="s">
        <v>91</v>
      </c>
      <c r="Q886" t="s">
        <v>47</v>
      </c>
      <c r="R886" t="s">
        <v>48</v>
      </c>
      <c r="V886" t="s">
        <v>49</v>
      </c>
      <c r="X886" t="s">
        <v>49</v>
      </c>
      <c r="Y886" t="s">
        <v>74</v>
      </c>
      <c r="Z886" t="s">
        <v>1482</v>
      </c>
      <c r="AA886" t="s">
        <v>1482</v>
      </c>
    </row>
    <row r="887" spans="1:27" x14ac:dyDescent="0.35">
      <c r="A887" t="str">
        <f t="shared" si="27"/>
        <v>2305D4</v>
      </c>
      <c r="B887" t="str">
        <f t="shared" si="26"/>
        <v>2305</v>
      </c>
      <c r="C887" t="s">
        <v>1510</v>
      </c>
      <c r="D887" t="s">
        <v>3</v>
      </c>
      <c r="E887" t="s">
        <v>52</v>
      </c>
      <c r="F887" t="s">
        <v>53</v>
      </c>
      <c r="G887" t="s">
        <v>757</v>
      </c>
      <c r="H887" t="s">
        <v>42</v>
      </c>
      <c r="I887" t="s">
        <v>43</v>
      </c>
      <c r="J887" t="s">
        <v>1509</v>
      </c>
      <c r="K887" t="s">
        <v>56</v>
      </c>
      <c r="M887" t="s">
        <v>106</v>
      </c>
      <c r="P887" t="s">
        <v>58</v>
      </c>
      <c r="Q887" t="s">
        <v>47</v>
      </c>
      <c r="R887" t="s">
        <v>48</v>
      </c>
      <c r="V887" t="s">
        <v>49</v>
      </c>
      <c r="X887" t="s">
        <v>49</v>
      </c>
      <c r="Y887" t="s">
        <v>59</v>
      </c>
      <c r="Z887" t="s">
        <v>1502</v>
      </c>
      <c r="AA887" t="s">
        <v>1502</v>
      </c>
    </row>
    <row r="888" spans="1:27" x14ac:dyDescent="0.35">
      <c r="A888" t="str">
        <f t="shared" si="27"/>
        <v>2305D2</v>
      </c>
      <c r="B888" t="str">
        <f t="shared" si="26"/>
        <v>2305</v>
      </c>
      <c r="C888" t="s">
        <v>1511</v>
      </c>
      <c r="D888" t="s">
        <v>2</v>
      </c>
      <c r="E888" t="s">
        <v>62</v>
      </c>
      <c r="F888" t="s">
        <v>63</v>
      </c>
      <c r="G888" t="s">
        <v>757</v>
      </c>
      <c r="H888" t="s">
        <v>42</v>
      </c>
      <c r="I888" t="s">
        <v>43</v>
      </c>
      <c r="J888" t="s">
        <v>1509</v>
      </c>
      <c r="K888" t="s">
        <v>56</v>
      </c>
      <c r="M888" t="s">
        <v>106</v>
      </c>
      <c r="P888" t="s">
        <v>58</v>
      </c>
      <c r="Q888" t="s">
        <v>47</v>
      </c>
      <c r="R888" t="s">
        <v>48</v>
      </c>
      <c r="V888" t="s">
        <v>49</v>
      </c>
      <c r="X888" t="s">
        <v>49</v>
      </c>
      <c r="Y888" t="s">
        <v>59</v>
      </c>
      <c r="Z888" t="s">
        <v>1512</v>
      </c>
      <c r="AA888" t="s">
        <v>1512</v>
      </c>
    </row>
    <row r="889" spans="1:27" x14ac:dyDescent="0.35">
      <c r="A889" t="str">
        <f t="shared" si="27"/>
        <v>2305F3</v>
      </c>
      <c r="B889" t="str">
        <f t="shared" si="26"/>
        <v>2305</v>
      </c>
      <c r="C889" t="s">
        <v>1513</v>
      </c>
      <c r="D889" t="s">
        <v>5</v>
      </c>
      <c r="E889" t="s">
        <v>40</v>
      </c>
      <c r="F889" t="s">
        <v>73</v>
      </c>
      <c r="G889" t="s">
        <v>757</v>
      </c>
      <c r="H889" t="s">
        <v>42</v>
      </c>
      <c r="I889" t="s">
        <v>67</v>
      </c>
      <c r="J889" t="s">
        <v>1509</v>
      </c>
      <c r="M889" t="s">
        <v>106</v>
      </c>
      <c r="P889" t="s">
        <v>46</v>
      </c>
      <c r="Q889" t="s">
        <v>47</v>
      </c>
      <c r="R889" t="s">
        <v>48</v>
      </c>
      <c r="V889" t="s">
        <v>49</v>
      </c>
      <c r="X889" t="s">
        <v>49</v>
      </c>
      <c r="Y889" t="s">
        <v>74</v>
      </c>
      <c r="Z889" t="s">
        <v>1487</v>
      </c>
      <c r="AA889" t="s">
        <v>1487</v>
      </c>
    </row>
    <row r="890" spans="1:27" x14ac:dyDescent="0.35">
      <c r="A890" t="str">
        <f t="shared" si="27"/>
        <v>2305C2</v>
      </c>
      <c r="B890" t="str">
        <f t="shared" si="26"/>
        <v>2305</v>
      </c>
      <c r="C890" t="s">
        <v>1514</v>
      </c>
      <c r="D890" t="s">
        <v>1</v>
      </c>
      <c r="E890" t="s">
        <v>65</v>
      </c>
      <c r="F890" t="s">
        <v>66</v>
      </c>
      <c r="G890" t="s">
        <v>757</v>
      </c>
      <c r="H890" t="s">
        <v>42</v>
      </c>
      <c r="I890" t="s">
        <v>67</v>
      </c>
      <c r="J890" t="s">
        <v>1509</v>
      </c>
      <c r="M890" t="s">
        <v>106</v>
      </c>
      <c r="P890" t="s">
        <v>58</v>
      </c>
      <c r="Q890" t="s">
        <v>47</v>
      </c>
      <c r="R890" t="s">
        <v>48</v>
      </c>
      <c r="V890" t="s">
        <v>49</v>
      </c>
      <c r="X890" t="s">
        <v>49</v>
      </c>
      <c r="Y890" t="s">
        <v>70</v>
      </c>
      <c r="Z890" t="s">
        <v>1515</v>
      </c>
      <c r="AA890" t="s">
        <v>1515</v>
      </c>
    </row>
    <row r="891" spans="1:27" x14ac:dyDescent="0.35">
      <c r="A891" t="str">
        <f t="shared" si="27"/>
        <v>2305D7</v>
      </c>
      <c r="B891" t="str">
        <f t="shared" si="26"/>
        <v>2305</v>
      </c>
      <c r="C891" t="s">
        <v>1516</v>
      </c>
      <c r="D891" t="s">
        <v>6</v>
      </c>
      <c r="E891" t="s">
        <v>94</v>
      </c>
      <c r="F891" t="s">
        <v>111</v>
      </c>
      <c r="G891" t="s">
        <v>757</v>
      </c>
      <c r="H891" t="s">
        <v>42</v>
      </c>
      <c r="I891" t="s">
        <v>43</v>
      </c>
      <c r="J891" t="s">
        <v>1509</v>
      </c>
      <c r="M891" t="s">
        <v>106</v>
      </c>
      <c r="P891" t="s">
        <v>46</v>
      </c>
      <c r="Q891" t="s">
        <v>47</v>
      </c>
      <c r="R891" t="s">
        <v>48</v>
      </c>
      <c r="V891" t="s">
        <v>49</v>
      </c>
      <c r="X891" t="s">
        <v>49</v>
      </c>
      <c r="Y891" t="s">
        <v>59</v>
      </c>
      <c r="Z891" t="s">
        <v>1507</v>
      </c>
      <c r="AA891" t="s">
        <v>1507</v>
      </c>
    </row>
    <row r="892" spans="1:27" x14ac:dyDescent="0.35">
      <c r="A892" t="str">
        <f t="shared" si="27"/>
        <v>2304F2</v>
      </c>
      <c r="B892" t="str">
        <f t="shared" si="26"/>
        <v>2304</v>
      </c>
      <c r="C892" t="s">
        <v>1517</v>
      </c>
      <c r="D892" t="s">
        <v>4</v>
      </c>
      <c r="E892" t="s">
        <v>77</v>
      </c>
      <c r="F892" t="s">
        <v>78</v>
      </c>
      <c r="G892" t="s">
        <v>757</v>
      </c>
      <c r="H892" t="s">
        <v>42</v>
      </c>
      <c r="I892" t="s">
        <v>67</v>
      </c>
      <c r="J892" t="s">
        <v>1518</v>
      </c>
      <c r="M892" t="s">
        <v>106</v>
      </c>
      <c r="P892" t="s">
        <v>138</v>
      </c>
      <c r="Q892" t="s">
        <v>47</v>
      </c>
      <c r="R892" t="s">
        <v>48</v>
      </c>
      <c r="V892" t="s">
        <v>49</v>
      </c>
      <c r="X892" t="s">
        <v>49</v>
      </c>
      <c r="Y892" t="s">
        <v>74</v>
      </c>
      <c r="Z892" t="s">
        <v>1482</v>
      </c>
      <c r="AA892" t="s">
        <v>1482</v>
      </c>
    </row>
    <row r="893" spans="1:27" x14ac:dyDescent="0.35">
      <c r="A893" t="str">
        <f t="shared" si="27"/>
        <v>2304D4</v>
      </c>
      <c r="B893" t="str">
        <f t="shared" si="26"/>
        <v>2304</v>
      </c>
      <c r="C893" t="s">
        <v>1519</v>
      </c>
      <c r="D893" t="s">
        <v>3</v>
      </c>
      <c r="E893" t="s">
        <v>52</v>
      </c>
      <c r="F893" t="s">
        <v>53</v>
      </c>
      <c r="G893" t="s">
        <v>757</v>
      </c>
      <c r="H893" t="s">
        <v>42</v>
      </c>
      <c r="I893" t="s">
        <v>43</v>
      </c>
      <c r="J893" t="s">
        <v>1518</v>
      </c>
      <c r="K893" t="s">
        <v>56</v>
      </c>
      <c r="M893" t="s">
        <v>106</v>
      </c>
      <c r="P893" t="s">
        <v>58</v>
      </c>
      <c r="Q893" t="s">
        <v>47</v>
      </c>
      <c r="R893" t="s">
        <v>48</v>
      </c>
      <c r="V893" t="s">
        <v>49</v>
      </c>
      <c r="X893" t="s">
        <v>49</v>
      </c>
      <c r="Y893" t="s">
        <v>59</v>
      </c>
      <c r="Z893" t="s">
        <v>1520</v>
      </c>
      <c r="AA893" t="s">
        <v>1520</v>
      </c>
    </row>
    <row r="894" spans="1:27" x14ac:dyDescent="0.35">
      <c r="A894" t="str">
        <f t="shared" si="27"/>
        <v>2304D2</v>
      </c>
      <c r="B894" t="str">
        <f t="shared" si="26"/>
        <v>2304</v>
      </c>
      <c r="C894" t="s">
        <v>1521</v>
      </c>
      <c r="D894" t="s">
        <v>2</v>
      </c>
      <c r="E894" t="s">
        <v>62</v>
      </c>
      <c r="F894" t="s">
        <v>63</v>
      </c>
      <c r="G894" t="s">
        <v>757</v>
      </c>
      <c r="H894" t="s">
        <v>42</v>
      </c>
      <c r="I894" t="s">
        <v>43</v>
      </c>
      <c r="J894" t="s">
        <v>1518</v>
      </c>
      <c r="K894" t="s">
        <v>56</v>
      </c>
      <c r="M894" t="s">
        <v>106</v>
      </c>
      <c r="P894" t="s">
        <v>58</v>
      </c>
      <c r="Q894" t="s">
        <v>47</v>
      </c>
      <c r="R894" t="s">
        <v>48</v>
      </c>
      <c r="V894" t="s">
        <v>49</v>
      </c>
      <c r="X894" t="s">
        <v>49</v>
      </c>
      <c r="Y894" t="s">
        <v>59</v>
      </c>
      <c r="Z894" t="s">
        <v>1522</v>
      </c>
      <c r="AA894" t="s">
        <v>1522</v>
      </c>
    </row>
    <row r="895" spans="1:27" x14ac:dyDescent="0.35">
      <c r="A895" t="str">
        <f t="shared" si="27"/>
        <v>2304F3</v>
      </c>
      <c r="B895" t="str">
        <f t="shared" si="26"/>
        <v>2304</v>
      </c>
      <c r="C895" t="s">
        <v>1523</v>
      </c>
      <c r="D895" t="s">
        <v>5</v>
      </c>
      <c r="E895" t="s">
        <v>40</v>
      </c>
      <c r="F895" t="s">
        <v>73</v>
      </c>
      <c r="G895" t="s">
        <v>757</v>
      </c>
      <c r="H895" t="s">
        <v>42</v>
      </c>
      <c r="I895" t="s">
        <v>67</v>
      </c>
      <c r="J895" t="s">
        <v>1518</v>
      </c>
      <c r="M895" t="s">
        <v>106</v>
      </c>
      <c r="P895" t="s">
        <v>46</v>
      </c>
      <c r="Q895" t="s">
        <v>47</v>
      </c>
      <c r="R895" t="s">
        <v>48</v>
      </c>
      <c r="V895" t="s">
        <v>49</v>
      </c>
      <c r="X895" t="s">
        <v>49</v>
      </c>
      <c r="Y895" t="s">
        <v>74</v>
      </c>
      <c r="Z895" t="s">
        <v>1487</v>
      </c>
      <c r="AA895" t="s">
        <v>1487</v>
      </c>
    </row>
    <row r="896" spans="1:27" x14ac:dyDescent="0.35">
      <c r="A896" t="str">
        <f t="shared" si="27"/>
        <v>2304C2</v>
      </c>
      <c r="B896" t="str">
        <f t="shared" si="26"/>
        <v>2304</v>
      </c>
      <c r="C896" t="s">
        <v>1524</v>
      </c>
      <c r="D896" t="s">
        <v>1</v>
      </c>
      <c r="E896" t="s">
        <v>65</v>
      </c>
      <c r="F896" t="s">
        <v>66</v>
      </c>
      <c r="G896" t="s">
        <v>757</v>
      </c>
      <c r="H896" t="s">
        <v>42</v>
      </c>
      <c r="I896" t="s">
        <v>67</v>
      </c>
      <c r="J896" t="s">
        <v>1518</v>
      </c>
      <c r="M896" t="s">
        <v>106</v>
      </c>
      <c r="P896" t="s">
        <v>69</v>
      </c>
      <c r="Q896" t="s">
        <v>47</v>
      </c>
      <c r="R896" t="s">
        <v>48</v>
      </c>
      <c r="V896" t="s">
        <v>49</v>
      </c>
      <c r="X896" t="s">
        <v>49</v>
      </c>
      <c r="Y896" t="s">
        <v>70</v>
      </c>
      <c r="Z896" t="s">
        <v>1520</v>
      </c>
      <c r="AA896" t="s">
        <v>1520</v>
      </c>
    </row>
    <row r="897" spans="1:27" x14ac:dyDescent="0.35">
      <c r="A897" t="str">
        <f t="shared" si="27"/>
        <v>2304D7</v>
      </c>
      <c r="B897" t="str">
        <f t="shared" si="26"/>
        <v>2304</v>
      </c>
      <c r="C897" t="s">
        <v>1525</v>
      </c>
      <c r="D897" t="s">
        <v>6</v>
      </c>
      <c r="E897" t="s">
        <v>94</v>
      </c>
      <c r="F897" t="s">
        <v>111</v>
      </c>
      <c r="G897" t="s">
        <v>757</v>
      </c>
      <c r="H897" t="s">
        <v>42</v>
      </c>
      <c r="I897" t="s">
        <v>43</v>
      </c>
      <c r="J897" t="s">
        <v>1518</v>
      </c>
      <c r="M897" t="s">
        <v>106</v>
      </c>
      <c r="P897" t="s">
        <v>46</v>
      </c>
      <c r="Q897" t="s">
        <v>47</v>
      </c>
      <c r="R897" t="s">
        <v>48</v>
      </c>
      <c r="V897" t="s">
        <v>49</v>
      </c>
      <c r="X897" t="s">
        <v>49</v>
      </c>
      <c r="Y897" t="s">
        <v>59</v>
      </c>
      <c r="Z897" t="s">
        <v>1507</v>
      </c>
      <c r="AA897" t="s">
        <v>1507</v>
      </c>
    </row>
    <row r="898" spans="1:27" x14ac:dyDescent="0.35">
      <c r="A898" t="str">
        <f t="shared" si="27"/>
        <v>2303F2</v>
      </c>
      <c r="B898" t="str">
        <f t="shared" ref="B898:B961" si="28">LEFT($J:$J,4)</f>
        <v>2303</v>
      </c>
      <c r="C898" t="s">
        <v>1526</v>
      </c>
      <c r="D898" t="s">
        <v>4</v>
      </c>
      <c r="E898" t="s">
        <v>77</v>
      </c>
      <c r="F898" t="s">
        <v>78</v>
      </c>
      <c r="G898" t="s">
        <v>757</v>
      </c>
      <c r="H898" t="s">
        <v>42</v>
      </c>
      <c r="I898" t="s">
        <v>67</v>
      </c>
      <c r="J898" t="s">
        <v>1527</v>
      </c>
      <c r="M898" t="s">
        <v>106</v>
      </c>
      <c r="P898" t="s">
        <v>138</v>
      </c>
      <c r="Q898" t="s">
        <v>47</v>
      </c>
      <c r="R898" t="s">
        <v>48</v>
      </c>
      <c r="V898" t="s">
        <v>49</v>
      </c>
      <c r="X898" t="s">
        <v>49</v>
      </c>
      <c r="Y898" t="s">
        <v>74</v>
      </c>
      <c r="Z898" t="s">
        <v>1528</v>
      </c>
      <c r="AA898" t="s">
        <v>1528</v>
      </c>
    </row>
    <row r="899" spans="1:27" x14ac:dyDescent="0.35">
      <c r="A899" t="str">
        <f t="shared" ref="A899:A962" si="29">B899&amp;D899</f>
        <v>2303D4</v>
      </c>
      <c r="B899" t="str">
        <f t="shared" si="28"/>
        <v>2303</v>
      </c>
      <c r="C899" t="s">
        <v>1529</v>
      </c>
      <c r="D899" t="s">
        <v>3</v>
      </c>
      <c r="E899" t="s">
        <v>52</v>
      </c>
      <c r="F899" t="s">
        <v>53</v>
      </c>
      <c r="G899" t="s">
        <v>757</v>
      </c>
      <c r="H899" t="s">
        <v>42</v>
      </c>
      <c r="I899" t="s">
        <v>43</v>
      </c>
      <c r="J899" t="s">
        <v>1527</v>
      </c>
      <c r="K899" t="s">
        <v>56</v>
      </c>
      <c r="M899" t="s">
        <v>106</v>
      </c>
      <c r="P899" t="s">
        <v>58</v>
      </c>
      <c r="Q899" t="s">
        <v>47</v>
      </c>
      <c r="R899" t="s">
        <v>48</v>
      </c>
      <c r="V899" t="s">
        <v>49</v>
      </c>
      <c r="X899" t="s">
        <v>49</v>
      </c>
      <c r="Y899" t="s">
        <v>59</v>
      </c>
      <c r="Z899" t="s">
        <v>1530</v>
      </c>
      <c r="AA899" t="s">
        <v>1530</v>
      </c>
    </row>
    <row r="900" spans="1:27" x14ac:dyDescent="0.35">
      <c r="A900" t="str">
        <f t="shared" si="29"/>
        <v>2303D2</v>
      </c>
      <c r="B900" t="str">
        <f t="shared" si="28"/>
        <v>2303</v>
      </c>
      <c r="C900" t="s">
        <v>1531</v>
      </c>
      <c r="D900" t="s">
        <v>2</v>
      </c>
      <c r="E900" t="s">
        <v>62</v>
      </c>
      <c r="F900" t="s">
        <v>63</v>
      </c>
      <c r="G900" t="s">
        <v>757</v>
      </c>
      <c r="H900" t="s">
        <v>42</v>
      </c>
      <c r="I900" t="s">
        <v>43</v>
      </c>
      <c r="J900" t="s">
        <v>1527</v>
      </c>
      <c r="K900" t="s">
        <v>56</v>
      </c>
      <c r="M900" t="s">
        <v>106</v>
      </c>
      <c r="P900" t="s">
        <v>58</v>
      </c>
      <c r="Q900" t="s">
        <v>47</v>
      </c>
      <c r="R900" t="s">
        <v>48</v>
      </c>
      <c r="V900" t="s">
        <v>49</v>
      </c>
      <c r="X900" t="s">
        <v>49</v>
      </c>
      <c r="Y900" t="s">
        <v>59</v>
      </c>
      <c r="Z900" t="s">
        <v>1530</v>
      </c>
      <c r="AA900" t="s">
        <v>1530</v>
      </c>
    </row>
    <row r="901" spans="1:27" x14ac:dyDescent="0.35">
      <c r="A901" t="str">
        <f t="shared" si="29"/>
        <v>2303F3</v>
      </c>
      <c r="B901" t="str">
        <f t="shared" si="28"/>
        <v>2303</v>
      </c>
      <c r="C901" t="s">
        <v>1532</v>
      </c>
      <c r="D901" t="s">
        <v>5</v>
      </c>
      <c r="E901" t="s">
        <v>40</v>
      </c>
      <c r="F901" t="s">
        <v>73</v>
      </c>
      <c r="G901" t="s">
        <v>757</v>
      </c>
      <c r="H901" t="s">
        <v>42</v>
      </c>
      <c r="I901" t="s">
        <v>67</v>
      </c>
      <c r="J901" t="s">
        <v>1527</v>
      </c>
      <c r="M901" t="s">
        <v>106</v>
      </c>
      <c r="P901" t="s">
        <v>46</v>
      </c>
      <c r="Q901" t="s">
        <v>47</v>
      </c>
      <c r="R901" t="s">
        <v>48</v>
      </c>
      <c r="V901" t="s">
        <v>49</v>
      </c>
      <c r="X901" t="s">
        <v>49</v>
      </c>
      <c r="Y901" t="s">
        <v>74</v>
      </c>
      <c r="Z901" t="s">
        <v>1487</v>
      </c>
      <c r="AA901" t="s">
        <v>1487</v>
      </c>
    </row>
    <row r="902" spans="1:27" x14ac:dyDescent="0.35">
      <c r="A902" t="str">
        <f t="shared" si="29"/>
        <v>2303C2</v>
      </c>
      <c r="B902" t="str">
        <f t="shared" si="28"/>
        <v>2303</v>
      </c>
      <c r="C902" t="s">
        <v>1533</v>
      </c>
      <c r="D902" t="s">
        <v>1</v>
      </c>
      <c r="E902" t="s">
        <v>65</v>
      </c>
      <c r="F902" t="s">
        <v>66</v>
      </c>
      <c r="G902" t="s">
        <v>757</v>
      </c>
      <c r="H902" t="s">
        <v>42</v>
      </c>
      <c r="I902" t="s">
        <v>67</v>
      </c>
      <c r="J902" t="s">
        <v>1527</v>
      </c>
      <c r="M902" t="s">
        <v>106</v>
      </c>
      <c r="P902" t="s">
        <v>69</v>
      </c>
      <c r="Q902" t="s">
        <v>47</v>
      </c>
      <c r="R902" t="s">
        <v>48</v>
      </c>
      <c r="V902" t="s">
        <v>49</v>
      </c>
      <c r="X902" t="s">
        <v>49</v>
      </c>
      <c r="Y902" t="s">
        <v>70</v>
      </c>
      <c r="Z902" t="s">
        <v>1530</v>
      </c>
      <c r="AA902" t="s">
        <v>1530</v>
      </c>
    </row>
    <row r="903" spans="1:27" x14ac:dyDescent="0.35">
      <c r="A903" t="str">
        <f t="shared" si="29"/>
        <v>2303D7</v>
      </c>
      <c r="B903" t="str">
        <f t="shared" si="28"/>
        <v>2303</v>
      </c>
      <c r="C903" t="s">
        <v>1534</v>
      </c>
      <c r="D903" t="s">
        <v>6</v>
      </c>
      <c r="E903" t="s">
        <v>94</v>
      </c>
      <c r="F903" t="s">
        <v>111</v>
      </c>
      <c r="G903" t="s">
        <v>757</v>
      </c>
      <c r="H903" t="s">
        <v>42</v>
      </c>
      <c r="I903" t="s">
        <v>43</v>
      </c>
      <c r="J903" t="s">
        <v>1527</v>
      </c>
      <c r="M903" t="s">
        <v>106</v>
      </c>
      <c r="P903" t="s">
        <v>46</v>
      </c>
      <c r="Q903" t="s">
        <v>47</v>
      </c>
      <c r="R903" t="s">
        <v>48</v>
      </c>
      <c r="V903" t="s">
        <v>49</v>
      </c>
      <c r="X903" t="s">
        <v>49</v>
      </c>
      <c r="Y903" t="s">
        <v>59</v>
      </c>
      <c r="Z903" t="s">
        <v>1535</v>
      </c>
      <c r="AA903" t="s">
        <v>1535</v>
      </c>
    </row>
    <row r="904" spans="1:27" x14ac:dyDescent="0.35">
      <c r="A904" t="str">
        <f t="shared" si="29"/>
        <v>2302F2</v>
      </c>
      <c r="B904" t="str">
        <f t="shared" si="28"/>
        <v>2302</v>
      </c>
      <c r="C904" t="s">
        <v>1536</v>
      </c>
      <c r="D904" t="s">
        <v>4</v>
      </c>
      <c r="E904" t="s">
        <v>77</v>
      </c>
      <c r="F904" t="s">
        <v>78</v>
      </c>
      <c r="G904" t="s">
        <v>757</v>
      </c>
      <c r="H904" t="s">
        <v>42</v>
      </c>
      <c r="I904" t="s">
        <v>67</v>
      </c>
      <c r="J904" t="s">
        <v>1537</v>
      </c>
      <c r="M904" t="s">
        <v>106</v>
      </c>
      <c r="P904" t="s">
        <v>91</v>
      </c>
      <c r="Q904" t="s">
        <v>47</v>
      </c>
      <c r="R904" t="s">
        <v>48</v>
      </c>
      <c r="V904" t="s">
        <v>49</v>
      </c>
      <c r="X904" t="s">
        <v>49</v>
      </c>
      <c r="Y904" t="s">
        <v>74</v>
      </c>
      <c r="Z904" t="s">
        <v>1528</v>
      </c>
      <c r="AA904" t="s">
        <v>1528</v>
      </c>
    </row>
    <row r="905" spans="1:27" x14ac:dyDescent="0.35">
      <c r="A905" t="str">
        <f t="shared" si="29"/>
        <v>2302D4</v>
      </c>
      <c r="B905" t="str">
        <f t="shared" si="28"/>
        <v>2302</v>
      </c>
      <c r="C905" t="s">
        <v>1538</v>
      </c>
      <c r="D905" t="s">
        <v>3</v>
      </c>
      <c r="E905" t="s">
        <v>52</v>
      </c>
      <c r="F905" t="s">
        <v>53</v>
      </c>
      <c r="G905" t="s">
        <v>757</v>
      </c>
      <c r="H905" t="s">
        <v>42</v>
      </c>
      <c r="I905" t="s">
        <v>43</v>
      </c>
      <c r="J905" t="s">
        <v>1537</v>
      </c>
      <c r="K905" t="s">
        <v>56</v>
      </c>
      <c r="M905" t="s">
        <v>106</v>
      </c>
      <c r="P905" t="s">
        <v>58</v>
      </c>
      <c r="Q905" t="s">
        <v>47</v>
      </c>
      <c r="R905" t="s">
        <v>48</v>
      </c>
      <c r="V905" t="s">
        <v>49</v>
      </c>
      <c r="X905" t="s">
        <v>49</v>
      </c>
      <c r="Y905" t="s">
        <v>59</v>
      </c>
      <c r="Z905" t="s">
        <v>1512</v>
      </c>
      <c r="AA905" t="s">
        <v>1512</v>
      </c>
    </row>
    <row r="906" spans="1:27" x14ac:dyDescent="0.35">
      <c r="A906" t="str">
        <f t="shared" si="29"/>
        <v>2302D2</v>
      </c>
      <c r="B906" t="str">
        <f t="shared" si="28"/>
        <v>2302</v>
      </c>
      <c r="C906" t="s">
        <v>1539</v>
      </c>
      <c r="D906" t="s">
        <v>2</v>
      </c>
      <c r="E906" t="s">
        <v>62</v>
      </c>
      <c r="F906" t="s">
        <v>63</v>
      </c>
      <c r="G906" t="s">
        <v>757</v>
      </c>
      <c r="H906" t="s">
        <v>42</v>
      </c>
      <c r="I906" t="s">
        <v>43</v>
      </c>
      <c r="J906" t="s">
        <v>1537</v>
      </c>
      <c r="K906" t="s">
        <v>56</v>
      </c>
      <c r="M906" t="s">
        <v>106</v>
      </c>
      <c r="P906" t="s">
        <v>58</v>
      </c>
      <c r="Q906" t="s">
        <v>47</v>
      </c>
      <c r="R906" t="s">
        <v>48</v>
      </c>
      <c r="V906" t="s">
        <v>49</v>
      </c>
      <c r="X906" t="s">
        <v>49</v>
      </c>
      <c r="Y906" t="s">
        <v>59</v>
      </c>
      <c r="Z906" t="s">
        <v>1540</v>
      </c>
      <c r="AA906" t="s">
        <v>1540</v>
      </c>
    </row>
    <row r="907" spans="1:27" x14ac:dyDescent="0.35">
      <c r="A907" t="str">
        <f t="shared" si="29"/>
        <v>2302F3</v>
      </c>
      <c r="B907" t="str">
        <f t="shared" si="28"/>
        <v>2302</v>
      </c>
      <c r="C907" t="s">
        <v>1541</v>
      </c>
      <c r="D907" t="s">
        <v>5</v>
      </c>
      <c r="E907" t="s">
        <v>40</v>
      </c>
      <c r="F907" t="s">
        <v>73</v>
      </c>
      <c r="G907" t="s">
        <v>757</v>
      </c>
      <c r="H907" t="s">
        <v>42</v>
      </c>
      <c r="I907" t="s">
        <v>67</v>
      </c>
      <c r="J907" t="s">
        <v>1537</v>
      </c>
      <c r="M907" t="s">
        <v>106</v>
      </c>
      <c r="P907" t="s">
        <v>46</v>
      </c>
      <c r="Q907" t="s">
        <v>47</v>
      </c>
      <c r="R907" t="s">
        <v>48</v>
      </c>
      <c r="V907" t="s">
        <v>49</v>
      </c>
      <c r="X907" t="s">
        <v>49</v>
      </c>
      <c r="Y907" t="s">
        <v>74</v>
      </c>
      <c r="Z907" t="s">
        <v>1542</v>
      </c>
      <c r="AA907" t="s">
        <v>1542</v>
      </c>
    </row>
    <row r="908" spans="1:27" x14ac:dyDescent="0.35">
      <c r="A908" t="str">
        <f t="shared" si="29"/>
        <v>2302C2</v>
      </c>
      <c r="B908" t="str">
        <f t="shared" si="28"/>
        <v>2302</v>
      </c>
      <c r="C908" t="s">
        <v>1543</v>
      </c>
      <c r="D908" t="s">
        <v>1</v>
      </c>
      <c r="E908" t="s">
        <v>65</v>
      </c>
      <c r="F908" t="s">
        <v>66</v>
      </c>
      <c r="G908" t="s">
        <v>757</v>
      </c>
      <c r="H908" t="s">
        <v>42</v>
      </c>
      <c r="I908" t="s">
        <v>67</v>
      </c>
      <c r="J908" t="s">
        <v>1537</v>
      </c>
      <c r="M908" t="s">
        <v>106</v>
      </c>
      <c r="P908" t="s">
        <v>69</v>
      </c>
      <c r="Q908" t="s">
        <v>47</v>
      </c>
      <c r="R908" t="s">
        <v>48</v>
      </c>
      <c r="V908" t="s">
        <v>49</v>
      </c>
      <c r="X908" t="s">
        <v>49</v>
      </c>
      <c r="Y908" t="s">
        <v>70</v>
      </c>
      <c r="Z908" t="s">
        <v>1544</v>
      </c>
      <c r="AA908" t="s">
        <v>1515</v>
      </c>
    </row>
    <row r="909" spans="1:27" x14ac:dyDescent="0.35">
      <c r="A909" t="str">
        <f t="shared" si="29"/>
        <v>2302D7</v>
      </c>
      <c r="B909" t="str">
        <f t="shared" si="28"/>
        <v>2302</v>
      </c>
      <c r="C909" t="s">
        <v>1545</v>
      </c>
      <c r="D909" t="s">
        <v>6</v>
      </c>
      <c r="E909" t="s">
        <v>94</v>
      </c>
      <c r="F909" t="s">
        <v>111</v>
      </c>
      <c r="G909" t="s">
        <v>757</v>
      </c>
      <c r="H909" t="s">
        <v>42</v>
      </c>
      <c r="I909" t="s">
        <v>43</v>
      </c>
      <c r="J909" t="s">
        <v>1537</v>
      </c>
      <c r="M909" t="s">
        <v>106</v>
      </c>
      <c r="P909" t="s">
        <v>46</v>
      </c>
      <c r="Q909" t="s">
        <v>47</v>
      </c>
      <c r="R909" t="s">
        <v>48</v>
      </c>
      <c r="V909" t="s">
        <v>49</v>
      </c>
      <c r="X909" t="s">
        <v>49</v>
      </c>
      <c r="Y909" t="s">
        <v>59</v>
      </c>
      <c r="Z909" t="s">
        <v>1535</v>
      </c>
      <c r="AA909" t="s">
        <v>1535</v>
      </c>
    </row>
    <row r="910" spans="1:27" x14ac:dyDescent="0.35">
      <c r="A910" t="str">
        <f t="shared" si="29"/>
        <v>2301F2</v>
      </c>
      <c r="B910" t="str">
        <f t="shared" si="28"/>
        <v>2301</v>
      </c>
      <c r="C910" t="s">
        <v>1546</v>
      </c>
      <c r="D910" t="s">
        <v>4</v>
      </c>
      <c r="E910" t="s">
        <v>77</v>
      </c>
      <c r="F910" t="s">
        <v>78</v>
      </c>
      <c r="G910" t="s">
        <v>757</v>
      </c>
      <c r="H910" t="s">
        <v>42</v>
      </c>
      <c r="I910" t="s">
        <v>67</v>
      </c>
      <c r="J910" t="s">
        <v>1547</v>
      </c>
      <c r="M910" t="s">
        <v>106</v>
      </c>
      <c r="P910" t="s">
        <v>138</v>
      </c>
      <c r="Q910" t="s">
        <v>47</v>
      </c>
      <c r="R910" t="s">
        <v>48</v>
      </c>
      <c r="V910" t="s">
        <v>49</v>
      </c>
      <c r="X910" t="s">
        <v>49</v>
      </c>
      <c r="Y910" t="s">
        <v>74</v>
      </c>
      <c r="Z910" t="s">
        <v>1548</v>
      </c>
      <c r="AA910" t="s">
        <v>1548</v>
      </c>
    </row>
    <row r="911" spans="1:27" x14ac:dyDescent="0.35">
      <c r="A911" t="str">
        <f t="shared" si="29"/>
        <v>2301D4</v>
      </c>
      <c r="B911" t="str">
        <f t="shared" si="28"/>
        <v>2301</v>
      </c>
      <c r="C911" t="s">
        <v>1549</v>
      </c>
      <c r="D911" t="s">
        <v>3</v>
      </c>
      <c r="E911" t="s">
        <v>52</v>
      </c>
      <c r="F911" t="s">
        <v>53</v>
      </c>
      <c r="G911" t="s">
        <v>757</v>
      </c>
      <c r="H911" t="s">
        <v>42</v>
      </c>
      <c r="I911" t="s">
        <v>43</v>
      </c>
      <c r="J911" t="s">
        <v>1547</v>
      </c>
      <c r="K911" t="s">
        <v>56</v>
      </c>
      <c r="M911" t="s">
        <v>106</v>
      </c>
      <c r="P911" t="s">
        <v>58</v>
      </c>
      <c r="Q911" t="s">
        <v>47</v>
      </c>
      <c r="R911" t="s">
        <v>48</v>
      </c>
      <c r="V911" t="s">
        <v>49</v>
      </c>
      <c r="X911" t="s">
        <v>49</v>
      </c>
      <c r="Y911" t="s">
        <v>59</v>
      </c>
      <c r="Z911" t="s">
        <v>1540</v>
      </c>
      <c r="AA911" t="s">
        <v>1540</v>
      </c>
    </row>
    <row r="912" spans="1:27" x14ac:dyDescent="0.35">
      <c r="A912" t="str">
        <f t="shared" si="29"/>
        <v>2301D2</v>
      </c>
      <c r="B912" t="str">
        <f t="shared" si="28"/>
        <v>2301</v>
      </c>
      <c r="C912" t="s">
        <v>1550</v>
      </c>
      <c r="D912" t="s">
        <v>2</v>
      </c>
      <c r="E912" t="s">
        <v>62</v>
      </c>
      <c r="F912" t="s">
        <v>63</v>
      </c>
      <c r="G912" t="s">
        <v>757</v>
      </c>
      <c r="H912" t="s">
        <v>42</v>
      </c>
      <c r="I912" t="s">
        <v>43</v>
      </c>
      <c r="J912" t="s">
        <v>1547</v>
      </c>
      <c r="K912" t="s">
        <v>56</v>
      </c>
      <c r="M912" t="s">
        <v>106</v>
      </c>
      <c r="P912" t="s">
        <v>58</v>
      </c>
      <c r="Q912" t="s">
        <v>47</v>
      </c>
      <c r="R912" t="s">
        <v>48</v>
      </c>
      <c r="V912" t="s">
        <v>49</v>
      </c>
      <c r="X912" t="s">
        <v>49</v>
      </c>
      <c r="Y912" t="s">
        <v>59</v>
      </c>
      <c r="Z912" t="s">
        <v>1540</v>
      </c>
      <c r="AA912" t="s">
        <v>1540</v>
      </c>
    </row>
    <row r="913" spans="1:27" x14ac:dyDescent="0.35">
      <c r="A913" t="str">
        <f t="shared" si="29"/>
        <v>2301F3</v>
      </c>
      <c r="B913" t="str">
        <f t="shared" si="28"/>
        <v>2301</v>
      </c>
      <c r="C913" t="s">
        <v>1551</v>
      </c>
      <c r="D913" t="s">
        <v>5</v>
      </c>
      <c r="E913" t="s">
        <v>40</v>
      </c>
      <c r="F913" t="s">
        <v>73</v>
      </c>
      <c r="G913" t="s">
        <v>757</v>
      </c>
      <c r="H913" t="s">
        <v>42</v>
      </c>
      <c r="I913" t="s">
        <v>67</v>
      </c>
      <c r="J913" t="s">
        <v>1547</v>
      </c>
      <c r="M913" t="s">
        <v>106</v>
      </c>
      <c r="P913" t="s">
        <v>46</v>
      </c>
      <c r="Q913" t="s">
        <v>47</v>
      </c>
      <c r="R913" t="s">
        <v>48</v>
      </c>
      <c r="V913" t="s">
        <v>49</v>
      </c>
      <c r="X913" t="s">
        <v>49</v>
      </c>
      <c r="Y913" t="s">
        <v>74</v>
      </c>
      <c r="Z913" t="s">
        <v>1552</v>
      </c>
      <c r="AA913" t="s">
        <v>1552</v>
      </c>
    </row>
    <row r="914" spans="1:27" x14ac:dyDescent="0.35">
      <c r="A914" t="str">
        <f t="shared" si="29"/>
        <v>2301C2</v>
      </c>
      <c r="B914" t="str">
        <f t="shared" si="28"/>
        <v>2301</v>
      </c>
      <c r="C914" t="s">
        <v>1553</v>
      </c>
      <c r="D914" t="s">
        <v>1</v>
      </c>
      <c r="E914" t="s">
        <v>65</v>
      </c>
      <c r="F914" t="s">
        <v>66</v>
      </c>
      <c r="G914" t="s">
        <v>757</v>
      </c>
      <c r="H914" t="s">
        <v>42</v>
      </c>
      <c r="I914" t="s">
        <v>67</v>
      </c>
      <c r="J914" t="s">
        <v>1547</v>
      </c>
      <c r="M914" t="s">
        <v>106</v>
      </c>
      <c r="P914" t="s">
        <v>58</v>
      </c>
      <c r="Q914" t="s">
        <v>47</v>
      </c>
      <c r="R914" t="s">
        <v>48</v>
      </c>
      <c r="V914" t="s">
        <v>49</v>
      </c>
      <c r="X914" t="s">
        <v>49</v>
      </c>
      <c r="Y914" t="s">
        <v>70</v>
      </c>
      <c r="Z914" t="s">
        <v>1554</v>
      </c>
      <c r="AA914" t="s">
        <v>1554</v>
      </c>
    </row>
    <row r="915" spans="1:27" x14ac:dyDescent="0.35">
      <c r="A915" t="str">
        <f t="shared" si="29"/>
        <v>2301D7</v>
      </c>
      <c r="B915" t="str">
        <f t="shared" si="28"/>
        <v>2301</v>
      </c>
      <c r="C915" t="s">
        <v>1555</v>
      </c>
      <c r="D915" t="s">
        <v>6</v>
      </c>
      <c r="E915" t="s">
        <v>94</v>
      </c>
      <c r="F915" t="s">
        <v>111</v>
      </c>
      <c r="G915" t="s">
        <v>757</v>
      </c>
      <c r="H915" t="s">
        <v>42</v>
      </c>
      <c r="I915" t="s">
        <v>43</v>
      </c>
      <c r="J915" t="s">
        <v>1547</v>
      </c>
      <c r="M915" t="s">
        <v>106</v>
      </c>
      <c r="P915" t="s">
        <v>46</v>
      </c>
      <c r="Q915" t="s">
        <v>47</v>
      </c>
      <c r="R915" t="s">
        <v>48</v>
      </c>
      <c r="V915" t="s">
        <v>49</v>
      </c>
      <c r="X915" t="s">
        <v>49</v>
      </c>
      <c r="Y915" t="s">
        <v>59</v>
      </c>
      <c r="Z915" t="s">
        <v>1556</v>
      </c>
      <c r="AA915" t="s">
        <v>1556</v>
      </c>
    </row>
    <row r="916" spans="1:27" x14ac:dyDescent="0.35">
      <c r="A916" t="str">
        <f t="shared" si="29"/>
        <v>2210F2</v>
      </c>
      <c r="B916" t="str">
        <f t="shared" si="28"/>
        <v>2210</v>
      </c>
      <c r="C916" t="s">
        <v>1557</v>
      </c>
      <c r="D916" t="s">
        <v>4</v>
      </c>
      <c r="E916" t="s">
        <v>77</v>
      </c>
      <c r="F916" t="s">
        <v>78</v>
      </c>
      <c r="G916" t="s">
        <v>757</v>
      </c>
      <c r="H916" t="s">
        <v>42</v>
      </c>
      <c r="I916" t="s">
        <v>67</v>
      </c>
      <c r="J916" t="s">
        <v>1558</v>
      </c>
      <c r="M916" t="s">
        <v>106</v>
      </c>
      <c r="P916" t="s">
        <v>79</v>
      </c>
      <c r="Q916" t="s">
        <v>47</v>
      </c>
      <c r="R916" t="s">
        <v>48</v>
      </c>
      <c r="V916" t="s">
        <v>49</v>
      </c>
      <c r="X916" t="s">
        <v>49</v>
      </c>
      <c r="Y916" t="s">
        <v>74</v>
      </c>
      <c r="Z916" t="s">
        <v>1559</v>
      </c>
      <c r="AA916" t="s">
        <v>1559</v>
      </c>
    </row>
    <row r="917" spans="1:27" x14ac:dyDescent="0.35">
      <c r="A917" t="str">
        <f t="shared" si="29"/>
        <v>2210D4</v>
      </c>
      <c r="B917" t="str">
        <f t="shared" si="28"/>
        <v>2210</v>
      </c>
      <c r="C917" t="s">
        <v>1560</v>
      </c>
      <c r="D917" t="s">
        <v>3</v>
      </c>
      <c r="E917" t="s">
        <v>52</v>
      </c>
      <c r="F917" t="s">
        <v>53</v>
      </c>
      <c r="G917" t="s">
        <v>757</v>
      </c>
      <c r="H917" t="s">
        <v>42</v>
      </c>
      <c r="I917" t="s">
        <v>43</v>
      </c>
      <c r="J917" t="s">
        <v>1558</v>
      </c>
      <c r="K917" t="s">
        <v>56</v>
      </c>
      <c r="M917" t="s">
        <v>106</v>
      </c>
      <c r="P917" t="s">
        <v>58</v>
      </c>
      <c r="Q917" t="s">
        <v>47</v>
      </c>
      <c r="R917" t="s">
        <v>48</v>
      </c>
      <c r="V917" t="s">
        <v>49</v>
      </c>
      <c r="X917" t="s">
        <v>49</v>
      </c>
      <c r="Y917" t="s">
        <v>59</v>
      </c>
      <c r="Z917" t="s">
        <v>995</v>
      </c>
      <c r="AA917" t="s">
        <v>995</v>
      </c>
    </row>
    <row r="918" spans="1:27" x14ac:dyDescent="0.35">
      <c r="A918" t="str">
        <f t="shared" si="29"/>
        <v>2210D2</v>
      </c>
      <c r="B918" t="str">
        <f t="shared" si="28"/>
        <v>2210</v>
      </c>
      <c r="C918" t="s">
        <v>1561</v>
      </c>
      <c r="D918" t="s">
        <v>2</v>
      </c>
      <c r="E918" t="s">
        <v>62</v>
      </c>
      <c r="F918" t="s">
        <v>63</v>
      </c>
      <c r="G918" t="s">
        <v>757</v>
      </c>
      <c r="H918" t="s">
        <v>42</v>
      </c>
      <c r="I918" t="s">
        <v>43</v>
      </c>
      <c r="J918" t="s">
        <v>1558</v>
      </c>
      <c r="K918" t="s">
        <v>56</v>
      </c>
      <c r="M918" t="s">
        <v>106</v>
      </c>
      <c r="P918" t="s">
        <v>58</v>
      </c>
      <c r="Q918" t="s">
        <v>47</v>
      </c>
      <c r="R918" t="s">
        <v>48</v>
      </c>
      <c r="V918" t="s">
        <v>49</v>
      </c>
      <c r="X918" t="s">
        <v>49</v>
      </c>
      <c r="Y918" t="s">
        <v>59</v>
      </c>
      <c r="Z918" t="s">
        <v>995</v>
      </c>
      <c r="AA918" t="s">
        <v>995</v>
      </c>
    </row>
    <row r="919" spans="1:27" x14ac:dyDescent="0.35">
      <c r="A919" t="str">
        <f t="shared" si="29"/>
        <v>2210F3</v>
      </c>
      <c r="B919" t="str">
        <f t="shared" si="28"/>
        <v>2210</v>
      </c>
      <c r="C919" t="s">
        <v>1562</v>
      </c>
      <c r="D919" t="s">
        <v>5</v>
      </c>
      <c r="E919" t="s">
        <v>40</v>
      </c>
      <c r="F919" t="s">
        <v>73</v>
      </c>
      <c r="G919" t="s">
        <v>757</v>
      </c>
      <c r="H919" t="s">
        <v>42</v>
      </c>
      <c r="I919" t="s">
        <v>67</v>
      </c>
      <c r="J919" t="s">
        <v>1558</v>
      </c>
      <c r="M919" t="s">
        <v>106</v>
      </c>
      <c r="P919" t="s">
        <v>46</v>
      </c>
      <c r="Q919" t="s">
        <v>47</v>
      </c>
      <c r="R919" t="s">
        <v>48</v>
      </c>
      <c r="V919" t="s">
        <v>49</v>
      </c>
      <c r="X919" t="s">
        <v>49</v>
      </c>
      <c r="Y919" t="s">
        <v>74</v>
      </c>
      <c r="Z919" t="s">
        <v>1563</v>
      </c>
      <c r="AA919" t="s">
        <v>1563</v>
      </c>
    </row>
    <row r="920" spans="1:27" x14ac:dyDescent="0.35">
      <c r="A920" t="str">
        <f t="shared" si="29"/>
        <v>2210C2</v>
      </c>
      <c r="B920" t="str">
        <f t="shared" si="28"/>
        <v>2210</v>
      </c>
      <c r="C920" t="s">
        <v>1564</v>
      </c>
      <c r="D920" t="s">
        <v>1</v>
      </c>
      <c r="E920" t="s">
        <v>65</v>
      </c>
      <c r="F920" t="s">
        <v>66</v>
      </c>
      <c r="G920" t="s">
        <v>757</v>
      </c>
      <c r="H920" t="s">
        <v>42</v>
      </c>
      <c r="I920" t="s">
        <v>67</v>
      </c>
      <c r="J920" t="s">
        <v>1558</v>
      </c>
      <c r="M920" t="s">
        <v>106</v>
      </c>
      <c r="P920" t="s">
        <v>58</v>
      </c>
      <c r="Q920" t="s">
        <v>47</v>
      </c>
      <c r="R920" t="s">
        <v>48</v>
      </c>
      <c r="V920" t="s">
        <v>49</v>
      </c>
      <c r="X920" t="s">
        <v>49</v>
      </c>
      <c r="Y920" t="s">
        <v>70</v>
      </c>
      <c r="Z920" t="s">
        <v>1565</v>
      </c>
      <c r="AA920" t="s">
        <v>1565</v>
      </c>
    </row>
    <row r="921" spans="1:27" x14ac:dyDescent="0.35">
      <c r="A921" t="str">
        <f t="shared" si="29"/>
        <v>2210D7</v>
      </c>
      <c r="B921" t="str">
        <f t="shared" si="28"/>
        <v>2210</v>
      </c>
      <c r="C921" t="s">
        <v>1566</v>
      </c>
      <c r="D921" t="s">
        <v>6</v>
      </c>
      <c r="E921" t="s">
        <v>94</v>
      </c>
      <c r="F921" t="s">
        <v>111</v>
      </c>
      <c r="G921" t="s">
        <v>757</v>
      </c>
      <c r="H921" t="s">
        <v>42</v>
      </c>
      <c r="I921" t="s">
        <v>43</v>
      </c>
      <c r="J921" t="s">
        <v>1558</v>
      </c>
      <c r="M921" t="s">
        <v>106</v>
      </c>
      <c r="P921" t="s">
        <v>46</v>
      </c>
      <c r="Q921" t="s">
        <v>47</v>
      </c>
      <c r="R921" t="s">
        <v>48</v>
      </c>
      <c r="V921" t="s">
        <v>49</v>
      </c>
      <c r="X921" t="s">
        <v>49</v>
      </c>
      <c r="Y921" t="s">
        <v>59</v>
      </c>
      <c r="Z921" t="s">
        <v>1556</v>
      </c>
      <c r="AA921" t="s">
        <v>1556</v>
      </c>
    </row>
    <row r="922" spans="1:27" x14ac:dyDescent="0.35">
      <c r="A922" t="str">
        <f t="shared" si="29"/>
        <v>2209F2</v>
      </c>
      <c r="B922" t="str">
        <f t="shared" si="28"/>
        <v>2209</v>
      </c>
      <c r="C922" t="s">
        <v>1567</v>
      </c>
      <c r="D922" t="s">
        <v>4</v>
      </c>
      <c r="E922" t="s">
        <v>77</v>
      </c>
      <c r="F922" t="s">
        <v>78</v>
      </c>
      <c r="G922" t="s">
        <v>757</v>
      </c>
      <c r="H922" t="s">
        <v>42</v>
      </c>
      <c r="I922" t="s">
        <v>67</v>
      </c>
      <c r="J922" t="s">
        <v>1568</v>
      </c>
      <c r="M922" t="s">
        <v>106</v>
      </c>
      <c r="P922" t="s">
        <v>304</v>
      </c>
      <c r="Q922" t="s">
        <v>47</v>
      </c>
      <c r="R922" t="s">
        <v>48</v>
      </c>
      <c r="V922" t="s">
        <v>49</v>
      </c>
      <c r="X922" t="s">
        <v>49</v>
      </c>
      <c r="Y922" t="s">
        <v>74</v>
      </c>
      <c r="Z922" t="s">
        <v>1569</v>
      </c>
      <c r="AA922" t="s">
        <v>1569</v>
      </c>
    </row>
    <row r="923" spans="1:27" x14ac:dyDescent="0.35">
      <c r="A923" t="str">
        <f t="shared" si="29"/>
        <v>2209D4</v>
      </c>
      <c r="B923" t="str">
        <f t="shared" si="28"/>
        <v>2209</v>
      </c>
      <c r="C923" t="s">
        <v>1570</v>
      </c>
      <c r="D923" t="s">
        <v>3</v>
      </c>
      <c r="E923" t="s">
        <v>52</v>
      </c>
      <c r="F923" t="s">
        <v>53</v>
      </c>
      <c r="G923" t="s">
        <v>757</v>
      </c>
      <c r="H923" t="s">
        <v>42</v>
      </c>
      <c r="I923" t="s">
        <v>43</v>
      </c>
      <c r="J923" t="s">
        <v>1568</v>
      </c>
      <c r="K923" t="s">
        <v>56</v>
      </c>
      <c r="M923" t="s">
        <v>106</v>
      </c>
      <c r="P923" t="s">
        <v>58</v>
      </c>
      <c r="Q923" t="s">
        <v>47</v>
      </c>
      <c r="R923" t="s">
        <v>48</v>
      </c>
      <c r="V923" t="s">
        <v>49</v>
      </c>
      <c r="X923" t="s">
        <v>49</v>
      </c>
      <c r="Y923" t="s">
        <v>59</v>
      </c>
      <c r="Z923" t="s">
        <v>1571</v>
      </c>
      <c r="AA923" t="s">
        <v>1571</v>
      </c>
    </row>
    <row r="924" spans="1:27" x14ac:dyDescent="0.35">
      <c r="A924" t="str">
        <f t="shared" si="29"/>
        <v>2209D2</v>
      </c>
      <c r="B924" t="str">
        <f t="shared" si="28"/>
        <v>2209</v>
      </c>
      <c r="C924" t="s">
        <v>1572</v>
      </c>
      <c r="D924" t="s">
        <v>2</v>
      </c>
      <c r="E924" t="s">
        <v>62</v>
      </c>
      <c r="F924" t="s">
        <v>63</v>
      </c>
      <c r="G924" t="s">
        <v>757</v>
      </c>
      <c r="H924" t="s">
        <v>42</v>
      </c>
      <c r="I924" t="s">
        <v>43</v>
      </c>
      <c r="J924" t="s">
        <v>1568</v>
      </c>
      <c r="K924" t="s">
        <v>56</v>
      </c>
      <c r="M924" t="s">
        <v>106</v>
      </c>
      <c r="P924" t="s">
        <v>58</v>
      </c>
      <c r="Q924" t="s">
        <v>47</v>
      </c>
      <c r="R924" t="s">
        <v>48</v>
      </c>
      <c r="V924" t="s">
        <v>49</v>
      </c>
      <c r="X924" t="s">
        <v>49</v>
      </c>
      <c r="Y924" t="s">
        <v>59</v>
      </c>
      <c r="Z924" t="s">
        <v>1571</v>
      </c>
      <c r="AA924" t="s">
        <v>1571</v>
      </c>
    </row>
    <row r="925" spans="1:27" x14ac:dyDescent="0.35">
      <c r="A925" t="str">
        <f t="shared" si="29"/>
        <v>2209F3</v>
      </c>
      <c r="B925" t="str">
        <f t="shared" si="28"/>
        <v>2209</v>
      </c>
      <c r="C925" t="s">
        <v>1573</v>
      </c>
      <c r="D925" t="s">
        <v>5</v>
      </c>
      <c r="E925" t="s">
        <v>40</v>
      </c>
      <c r="F925" t="s">
        <v>73</v>
      </c>
      <c r="G925" t="s">
        <v>757</v>
      </c>
      <c r="H925" t="s">
        <v>42</v>
      </c>
      <c r="I925" t="s">
        <v>67</v>
      </c>
      <c r="J925" t="s">
        <v>1568</v>
      </c>
      <c r="M925" t="s">
        <v>106</v>
      </c>
      <c r="P925" t="s">
        <v>46</v>
      </c>
      <c r="Q925" t="s">
        <v>47</v>
      </c>
      <c r="R925" t="s">
        <v>48</v>
      </c>
      <c r="V925" t="s">
        <v>49</v>
      </c>
      <c r="X925" t="s">
        <v>49</v>
      </c>
      <c r="Y925" t="s">
        <v>74</v>
      </c>
      <c r="Z925" t="s">
        <v>1569</v>
      </c>
      <c r="AA925" t="s">
        <v>1569</v>
      </c>
    </row>
    <row r="926" spans="1:27" x14ac:dyDescent="0.35">
      <c r="A926" t="str">
        <f t="shared" si="29"/>
        <v>2209C2</v>
      </c>
      <c r="B926" t="str">
        <f t="shared" si="28"/>
        <v>2209</v>
      </c>
      <c r="C926" t="s">
        <v>1574</v>
      </c>
      <c r="D926" t="s">
        <v>1</v>
      </c>
      <c r="E926" t="s">
        <v>65</v>
      </c>
      <c r="F926" t="s">
        <v>66</v>
      </c>
      <c r="G926" t="s">
        <v>757</v>
      </c>
      <c r="H926" t="s">
        <v>42</v>
      </c>
      <c r="I926" t="s">
        <v>67</v>
      </c>
      <c r="J926" t="s">
        <v>1568</v>
      </c>
      <c r="M926" t="s">
        <v>106</v>
      </c>
      <c r="P926" t="s">
        <v>58</v>
      </c>
      <c r="Q926" t="s">
        <v>47</v>
      </c>
      <c r="R926" t="s">
        <v>48</v>
      </c>
      <c r="V926" t="s">
        <v>49</v>
      </c>
      <c r="X926" t="s">
        <v>49</v>
      </c>
      <c r="Y926" t="s">
        <v>70</v>
      </c>
      <c r="Z926" t="s">
        <v>1565</v>
      </c>
      <c r="AA926" t="s">
        <v>1565</v>
      </c>
    </row>
    <row r="927" spans="1:27" x14ac:dyDescent="0.35">
      <c r="A927" t="str">
        <f t="shared" si="29"/>
        <v>2209D7</v>
      </c>
      <c r="B927" t="str">
        <f t="shared" si="28"/>
        <v>2209</v>
      </c>
      <c r="C927" t="s">
        <v>1575</v>
      </c>
      <c r="D927" t="s">
        <v>6</v>
      </c>
      <c r="E927" t="s">
        <v>94</v>
      </c>
      <c r="F927" t="s">
        <v>111</v>
      </c>
      <c r="G927" t="s">
        <v>757</v>
      </c>
      <c r="H927" t="s">
        <v>42</v>
      </c>
      <c r="I927" t="s">
        <v>43</v>
      </c>
      <c r="J927" t="s">
        <v>1568</v>
      </c>
      <c r="M927" t="s">
        <v>106</v>
      </c>
      <c r="P927" t="s">
        <v>46</v>
      </c>
      <c r="Q927" t="s">
        <v>47</v>
      </c>
      <c r="R927" t="s">
        <v>48</v>
      </c>
      <c r="V927" t="s">
        <v>49</v>
      </c>
      <c r="X927" t="s">
        <v>49</v>
      </c>
      <c r="Y927" t="s">
        <v>59</v>
      </c>
      <c r="Z927" t="s">
        <v>1576</v>
      </c>
      <c r="AA927" t="s">
        <v>1556</v>
      </c>
    </row>
    <row r="928" spans="1:27" x14ac:dyDescent="0.35">
      <c r="A928" t="str">
        <f t="shared" si="29"/>
        <v>2208F2</v>
      </c>
      <c r="B928" t="str">
        <f t="shared" si="28"/>
        <v>2208</v>
      </c>
      <c r="C928" t="s">
        <v>1577</v>
      </c>
      <c r="D928" t="s">
        <v>4</v>
      </c>
      <c r="E928" t="s">
        <v>77</v>
      </c>
      <c r="F928" t="s">
        <v>78</v>
      </c>
      <c r="G928" t="s">
        <v>757</v>
      </c>
      <c r="H928" t="s">
        <v>42</v>
      </c>
      <c r="I928" t="s">
        <v>67</v>
      </c>
      <c r="J928" t="s">
        <v>1578</v>
      </c>
      <c r="M928" t="s">
        <v>106</v>
      </c>
      <c r="P928" t="s">
        <v>189</v>
      </c>
      <c r="Q928" t="s">
        <v>47</v>
      </c>
      <c r="R928" t="s">
        <v>48</v>
      </c>
      <c r="V928" t="s">
        <v>49</v>
      </c>
      <c r="X928" t="s">
        <v>49</v>
      </c>
      <c r="Y928" t="s">
        <v>74</v>
      </c>
      <c r="Z928" t="s">
        <v>1563</v>
      </c>
      <c r="AA928" t="s">
        <v>1563</v>
      </c>
    </row>
    <row r="929" spans="1:27" x14ac:dyDescent="0.35">
      <c r="A929" t="str">
        <f t="shared" si="29"/>
        <v>2208D4</v>
      </c>
      <c r="B929" t="str">
        <f t="shared" si="28"/>
        <v>2208</v>
      </c>
      <c r="C929" t="s">
        <v>1579</v>
      </c>
      <c r="D929" t="s">
        <v>3</v>
      </c>
      <c r="E929" t="s">
        <v>52</v>
      </c>
      <c r="F929" t="s">
        <v>53</v>
      </c>
      <c r="G929" t="s">
        <v>757</v>
      </c>
      <c r="H929" t="s">
        <v>42</v>
      </c>
      <c r="I929" t="s">
        <v>43</v>
      </c>
      <c r="J929" t="s">
        <v>1578</v>
      </c>
      <c r="K929" t="s">
        <v>56</v>
      </c>
      <c r="M929" t="s">
        <v>106</v>
      </c>
      <c r="P929" t="s">
        <v>58</v>
      </c>
      <c r="Q929" t="s">
        <v>47</v>
      </c>
      <c r="R929" t="s">
        <v>48</v>
      </c>
      <c r="V929" t="s">
        <v>49</v>
      </c>
      <c r="X929" t="s">
        <v>49</v>
      </c>
      <c r="Y929" t="s">
        <v>59</v>
      </c>
      <c r="Z929" t="s">
        <v>1580</v>
      </c>
      <c r="AA929" t="s">
        <v>1580</v>
      </c>
    </row>
    <row r="930" spans="1:27" x14ac:dyDescent="0.35">
      <c r="A930" t="str">
        <f t="shared" si="29"/>
        <v>2208D2</v>
      </c>
      <c r="B930" t="str">
        <f t="shared" si="28"/>
        <v>2208</v>
      </c>
      <c r="C930" t="s">
        <v>1581</v>
      </c>
      <c r="D930" t="s">
        <v>2</v>
      </c>
      <c r="E930" t="s">
        <v>62</v>
      </c>
      <c r="F930" t="s">
        <v>63</v>
      </c>
      <c r="G930" t="s">
        <v>757</v>
      </c>
      <c r="H930" t="s">
        <v>42</v>
      </c>
      <c r="I930" t="s">
        <v>43</v>
      </c>
      <c r="J930" t="s">
        <v>1578</v>
      </c>
      <c r="K930" t="s">
        <v>56</v>
      </c>
      <c r="M930" t="s">
        <v>106</v>
      </c>
      <c r="P930" t="s">
        <v>58</v>
      </c>
      <c r="Q930" t="s">
        <v>47</v>
      </c>
      <c r="R930" t="s">
        <v>48</v>
      </c>
      <c r="V930" t="s">
        <v>49</v>
      </c>
      <c r="X930" t="s">
        <v>49</v>
      </c>
      <c r="Y930" t="s">
        <v>59</v>
      </c>
      <c r="Z930" t="s">
        <v>1582</v>
      </c>
      <c r="AA930" t="s">
        <v>1582</v>
      </c>
    </row>
    <row r="931" spans="1:27" x14ac:dyDescent="0.35">
      <c r="A931" t="str">
        <f t="shared" si="29"/>
        <v>2208F3</v>
      </c>
      <c r="B931" t="str">
        <f t="shared" si="28"/>
        <v>2208</v>
      </c>
      <c r="C931" t="s">
        <v>1583</v>
      </c>
      <c r="D931" t="s">
        <v>5</v>
      </c>
      <c r="E931" t="s">
        <v>40</v>
      </c>
      <c r="F931" t="s">
        <v>73</v>
      </c>
      <c r="G931" t="s">
        <v>757</v>
      </c>
      <c r="H931" t="s">
        <v>42</v>
      </c>
      <c r="I931" t="s">
        <v>67</v>
      </c>
      <c r="J931" t="s">
        <v>1578</v>
      </c>
      <c r="M931" t="s">
        <v>106</v>
      </c>
      <c r="P931" t="s">
        <v>46</v>
      </c>
      <c r="Q931" t="s">
        <v>47</v>
      </c>
      <c r="R931" t="s">
        <v>48</v>
      </c>
      <c r="V931" t="s">
        <v>49</v>
      </c>
      <c r="X931" t="s">
        <v>49</v>
      </c>
      <c r="Y931" t="s">
        <v>74</v>
      </c>
      <c r="Z931" t="s">
        <v>1548</v>
      </c>
      <c r="AA931" t="s">
        <v>1548</v>
      </c>
    </row>
    <row r="932" spans="1:27" x14ac:dyDescent="0.35">
      <c r="A932" t="str">
        <f t="shared" si="29"/>
        <v>2208C2</v>
      </c>
      <c r="B932" t="str">
        <f t="shared" si="28"/>
        <v>2208</v>
      </c>
      <c r="C932" t="s">
        <v>1584</v>
      </c>
      <c r="D932" t="s">
        <v>1</v>
      </c>
      <c r="E932" t="s">
        <v>65</v>
      </c>
      <c r="F932" t="s">
        <v>66</v>
      </c>
      <c r="G932" t="s">
        <v>757</v>
      </c>
      <c r="H932" t="s">
        <v>42</v>
      </c>
      <c r="I932" t="s">
        <v>67</v>
      </c>
      <c r="J932" t="s">
        <v>1578</v>
      </c>
      <c r="M932" t="s">
        <v>106</v>
      </c>
      <c r="P932" t="s">
        <v>58</v>
      </c>
      <c r="Q932" t="s">
        <v>47</v>
      </c>
      <c r="R932" t="s">
        <v>48</v>
      </c>
      <c r="V932" t="s">
        <v>49</v>
      </c>
      <c r="X932" t="s">
        <v>49</v>
      </c>
      <c r="Y932" t="s">
        <v>70</v>
      </c>
      <c r="Z932" t="s">
        <v>1565</v>
      </c>
      <c r="AA932" t="s">
        <v>1565</v>
      </c>
    </row>
    <row r="933" spans="1:27" x14ac:dyDescent="0.35">
      <c r="A933" t="str">
        <f t="shared" si="29"/>
        <v>2208D7</v>
      </c>
      <c r="B933" t="str">
        <f t="shared" si="28"/>
        <v>2208</v>
      </c>
      <c r="C933" t="s">
        <v>1585</v>
      </c>
      <c r="D933" t="s">
        <v>6</v>
      </c>
      <c r="E933" t="s">
        <v>94</v>
      </c>
      <c r="F933" t="s">
        <v>111</v>
      </c>
      <c r="G933" t="s">
        <v>757</v>
      </c>
      <c r="H933" t="s">
        <v>42</v>
      </c>
      <c r="I933" t="s">
        <v>43</v>
      </c>
      <c r="J933" t="s">
        <v>1578</v>
      </c>
      <c r="M933" t="s">
        <v>106</v>
      </c>
      <c r="P933" t="s">
        <v>46</v>
      </c>
      <c r="Q933" t="s">
        <v>47</v>
      </c>
      <c r="R933" t="s">
        <v>48</v>
      </c>
      <c r="V933" t="s">
        <v>49</v>
      </c>
      <c r="X933" t="s">
        <v>49</v>
      </c>
      <c r="Y933" t="s">
        <v>59</v>
      </c>
      <c r="Z933" t="s">
        <v>1586</v>
      </c>
      <c r="AA933" t="s">
        <v>1586</v>
      </c>
    </row>
    <row r="934" spans="1:27" x14ac:dyDescent="0.35">
      <c r="A934" t="str">
        <f t="shared" si="29"/>
        <v>2207F2</v>
      </c>
      <c r="B934" t="str">
        <f t="shared" si="28"/>
        <v>2207</v>
      </c>
      <c r="C934" t="s">
        <v>1587</v>
      </c>
      <c r="D934" t="s">
        <v>4</v>
      </c>
      <c r="E934" t="s">
        <v>77</v>
      </c>
      <c r="F934" t="s">
        <v>78</v>
      </c>
      <c r="G934" t="s">
        <v>757</v>
      </c>
      <c r="H934" t="s">
        <v>42</v>
      </c>
      <c r="I934" t="s">
        <v>67</v>
      </c>
      <c r="J934" t="s">
        <v>1588</v>
      </c>
      <c r="M934" t="s">
        <v>106</v>
      </c>
      <c r="P934" t="s">
        <v>189</v>
      </c>
      <c r="Q934" t="s">
        <v>47</v>
      </c>
      <c r="R934" t="s">
        <v>48</v>
      </c>
      <c r="V934" t="s">
        <v>49</v>
      </c>
      <c r="X934" t="s">
        <v>49</v>
      </c>
      <c r="Y934" t="s">
        <v>74</v>
      </c>
      <c r="Z934" t="s">
        <v>1589</v>
      </c>
      <c r="AA934" t="s">
        <v>1589</v>
      </c>
    </row>
    <row r="935" spans="1:27" x14ac:dyDescent="0.35">
      <c r="A935" t="str">
        <f t="shared" si="29"/>
        <v>2207D4</v>
      </c>
      <c r="B935" t="str">
        <f t="shared" si="28"/>
        <v>2207</v>
      </c>
      <c r="C935" t="s">
        <v>1590</v>
      </c>
      <c r="D935" t="s">
        <v>3</v>
      </c>
      <c r="E935" t="s">
        <v>52</v>
      </c>
      <c r="F935" t="s">
        <v>53</v>
      </c>
      <c r="G935" t="s">
        <v>757</v>
      </c>
      <c r="H935" t="s">
        <v>42</v>
      </c>
      <c r="I935" t="s">
        <v>43</v>
      </c>
      <c r="J935" t="s">
        <v>1588</v>
      </c>
      <c r="K935" t="s">
        <v>56</v>
      </c>
      <c r="M935" t="s">
        <v>106</v>
      </c>
      <c r="P935" t="s">
        <v>58</v>
      </c>
      <c r="Q935" t="s">
        <v>47</v>
      </c>
      <c r="R935" t="s">
        <v>48</v>
      </c>
      <c r="V935" t="s">
        <v>49</v>
      </c>
      <c r="X935" t="s">
        <v>49</v>
      </c>
      <c r="Y935" t="s">
        <v>59</v>
      </c>
      <c r="Z935" t="s">
        <v>1591</v>
      </c>
      <c r="AA935" t="s">
        <v>1591</v>
      </c>
    </row>
    <row r="936" spans="1:27" x14ac:dyDescent="0.35">
      <c r="A936" t="str">
        <f t="shared" si="29"/>
        <v>2207D2</v>
      </c>
      <c r="B936" t="str">
        <f t="shared" si="28"/>
        <v>2207</v>
      </c>
      <c r="C936" t="s">
        <v>1592</v>
      </c>
      <c r="D936" t="s">
        <v>2</v>
      </c>
      <c r="E936" t="s">
        <v>62</v>
      </c>
      <c r="F936" t="s">
        <v>63</v>
      </c>
      <c r="G936" t="s">
        <v>757</v>
      </c>
      <c r="H936" t="s">
        <v>42</v>
      </c>
      <c r="I936" t="s">
        <v>43</v>
      </c>
      <c r="J936" t="s">
        <v>1588</v>
      </c>
      <c r="K936" t="s">
        <v>56</v>
      </c>
      <c r="M936" t="s">
        <v>106</v>
      </c>
      <c r="P936" t="s">
        <v>58</v>
      </c>
      <c r="Q936" t="s">
        <v>47</v>
      </c>
      <c r="R936" t="s">
        <v>48</v>
      </c>
      <c r="V936" t="s">
        <v>49</v>
      </c>
      <c r="X936" t="s">
        <v>49</v>
      </c>
      <c r="Y936" t="s">
        <v>59</v>
      </c>
      <c r="Z936" t="s">
        <v>1593</v>
      </c>
      <c r="AA936" t="s">
        <v>1593</v>
      </c>
    </row>
    <row r="937" spans="1:27" x14ac:dyDescent="0.35">
      <c r="A937" t="str">
        <f t="shared" si="29"/>
        <v>2207F3</v>
      </c>
      <c r="B937" t="str">
        <f t="shared" si="28"/>
        <v>2207</v>
      </c>
      <c r="C937" t="s">
        <v>1594</v>
      </c>
      <c r="D937" t="s">
        <v>5</v>
      </c>
      <c r="E937" t="s">
        <v>40</v>
      </c>
      <c r="F937" t="s">
        <v>73</v>
      </c>
      <c r="G937" t="s">
        <v>757</v>
      </c>
      <c r="H937" t="s">
        <v>42</v>
      </c>
      <c r="I937" t="s">
        <v>67</v>
      </c>
      <c r="J937" t="s">
        <v>1588</v>
      </c>
      <c r="M937" t="s">
        <v>106</v>
      </c>
      <c r="P937" t="s">
        <v>46</v>
      </c>
      <c r="Q937" t="s">
        <v>47</v>
      </c>
      <c r="R937" t="s">
        <v>48</v>
      </c>
      <c r="V937" t="s">
        <v>49</v>
      </c>
      <c r="X937" t="s">
        <v>49</v>
      </c>
      <c r="Y937" t="s">
        <v>74</v>
      </c>
      <c r="Z937" t="s">
        <v>1595</v>
      </c>
      <c r="AA937" t="s">
        <v>1595</v>
      </c>
    </row>
    <row r="938" spans="1:27" x14ac:dyDescent="0.35">
      <c r="A938" t="str">
        <f t="shared" si="29"/>
        <v>2207C2</v>
      </c>
      <c r="B938" t="str">
        <f t="shared" si="28"/>
        <v>2207</v>
      </c>
      <c r="C938" t="s">
        <v>1596</v>
      </c>
      <c r="D938" t="s">
        <v>1</v>
      </c>
      <c r="E938" t="s">
        <v>65</v>
      </c>
      <c r="F938" t="s">
        <v>66</v>
      </c>
      <c r="G938" t="s">
        <v>757</v>
      </c>
      <c r="H938" t="s">
        <v>42</v>
      </c>
      <c r="I938" t="s">
        <v>67</v>
      </c>
      <c r="J938" t="s">
        <v>1588</v>
      </c>
      <c r="M938" t="s">
        <v>106</v>
      </c>
      <c r="P938" t="s">
        <v>58</v>
      </c>
      <c r="Q938" t="s">
        <v>47</v>
      </c>
      <c r="R938" t="s">
        <v>48</v>
      </c>
      <c r="V938" t="s">
        <v>49</v>
      </c>
      <c r="X938" t="s">
        <v>49</v>
      </c>
      <c r="Y938" t="s">
        <v>70</v>
      </c>
      <c r="Z938" t="s">
        <v>1565</v>
      </c>
      <c r="AA938" t="s">
        <v>1565</v>
      </c>
    </row>
    <row r="939" spans="1:27" x14ac:dyDescent="0.35">
      <c r="A939" t="str">
        <f t="shared" si="29"/>
        <v>2207D7</v>
      </c>
      <c r="B939" t="str">
        <f t="shared" si="28"/>
        <v>2207</v>
      </c>
      <c r="C939" t="s">
        <v>1597</v>
      </c>
      <c r="D939" t="s">
        <v>6</v>
      </c>
      <c r="E939" t="s">
        <v>94</v>
      </c>
      <c r="F939" t="s">
        <v>111</v>
      </c>
      <c r="G939" t="s">
        <v>757</v>
      </c>
      <c r="H939" t="s">
        <v>42</v>
      </c>
      <c r="I939" t="s">
        <v>43</v>
      </c>
      <c r="J939" t="s">
        <v>1588</v>
      </c>
      <c r="M939" t="s">
        <v>106</v>
      </c>
      <c r="P939" t="s">
        <v>46</v>
      </c>
      <c r="Q939" t="s">
        <v>47</v>
      </c>
      <c r="R939" t="s">
        <v>48</v>
      </c>
      <c r="V939" t="s">
        <v>49</v>
      </c>
      <c r="X939" t="s">
        <v>49</v>
      </c>
      <c r="Y939" t="s">
        <v>59</v>
      </c>
      <c r="Z939" t="s">
        <v>1586</v>
      </c>
      <c r="AA939" t="s">
        <v>1586</v>
      </c>
    </row>
    <row r="940" spans="1:27" x14ac:dyDescent="0.35">
      <c r="A940" t="str">
        <f t="shared" si="29"/>
        <v>2206F2</v>
      </c>
      <c r="B940" t="str">
        <f t="shared" si="28"/>
        <v>2206</v>
      </c>
      <c r="C940" t="s">
        <v>1598</v>
      </c>
      <c r="D940" t="s">
        <v>4</v>
      </c>
      <c r="E940" t="s">
        <v>77</v>
      </c>
      <c r="F940" t="s">
        <v>78</v>
      </c>
      <c r="G940" t="s">
        <v>757</v>
      </c>
      <c r="H940" t="s">
        <v>42</v>
      </c>
      <c r="I940" t="s">
        <v>67</v>
      </c>
      <c r="J940" t="s">
        <v>1599</v>
      </c>
      <c r="M940" t="s">
        <v>106</v>
      </c>
      <c r="P940" t="s">
        <v>189</v>
      </c>
      <c r="Q940" t="s">
        <v>47</v>
      </c>
      <c r="R940" t="s">
        <v>48</v>
      </c>
      <c r="V940" t="s">
        <v>49</v>
      </c>
      <c r="X940" t="s">
        <v>49</v>
      </c>
      <c r="Y940" t="s">
        <v>74</v>
      </c>
      <c r="Z940" t="s">
        <v>1600</v>
      </c>
      <c r="AA940" t="s">
        <v>1600</v>
      </c>
    </row>
    <row r="941" spans="1:27" x14ac:dyDescent="0.35">
      <c r="A941" t="str">
        <f t="shared" si="29"/>
        <v>2206D4</v>
      </c>
      <c r="B941" t="str">
        <f t="shared" si="28"/>
        <v>2206</v>
      </c>
      <c r="C941" t="s">
        <v>1601</v>
      </c>
      <c r="D941" t="s">
        <v>3</v>
      </c>
      <c r="E941" t="s">
        <v>52</v>
      </c>
      <c r="F941" t="s">
        <v>53</v>
      </c>
      <c r="G941" t="s">
        <v>757</v>
      </c>
      <c r="H941" t="s">
        <v>42</v>
      </c>
      <c r="I941" t="s">
        <v>43</v>
      </c>
      <c r="J941" t="s">
        <v>1599</v>
      </c>
      <c r="K941" t="s">
        <v>56</v>
      </c>
      <c r="M941" t="s">
        <v>106</v>
      </c>
      <c r="P941" t="s">
        <v>58</v>
      </c>
      <c r="Q941" t="s">
        <v>47</v>
      </c>
      <c r="R941" t="s">
        <v>48</v>
      </c>
      <c r="V941" t="s">
        <v>49</v>
      </c>
      <c r="X941" t="s">
        <v>49</v>
      </c>
      <c r="Y941" t="s">
        <v>59</v>
      </c>
      <c r="Z941" t="s">
        <v>1602</v>
      </c>
      <c r="AA941" t="s">
        <v>1602</v>
      </c>
    </row>
    <row r="942" spans="1:27" x14ac:dyDescent="0.35">
      <c r="A942" t="str">
        <f t="shared" si="29"/>
        <v>2206D2</v>
      </c>
      <c r="B942" t="str">
        <f t="shared" si="28"/>
        <v>2206</v>
      </c>
      <c r="C942" t="s">
        <v>1603</v>
      </c>
      <c r="D942" t="s">
        <v>2</v>
      </c>
      <c r="E942" t="s">
        <v>62</v>
      </c>
      <c r="F942" t="s">
        <v>63</v>
      </c>
      <c r="G942" t="s">
        <v>757</v>
      </c>
      <c r="H942" t="s">
        <v>42</v>
      </c>
      <c r="I942" t="s">
        <v>43</v>
      </c>
      <c r="J942" t="s">
        <v>1599</v>
      </c>
      <c r="K942" t="s">
        <v>56</v>
      </c>
      <c r="M942" t="s">
        <v>106</v>
      </c>
      <c r="P942" t="s">
        <v>58</v>
      </c>
      <c r="Q942" t="s">
        <v>47</v>
      </c>
      <c r="R942" t="s">
        <v>48</v>
      </c>
      <c r="V942" t="s">
        <v>49</v>
      </c>
      <c r="X942" t="s">
        <v>49</v>
      </c>
      <c r="Y942" t="s">
        <v>59</v>
      </c>
      <c r="Z942" t="s">
        <v>1604</v>
      </c>
      <c r="AA942" t="s">
        <v>1604</v>
      </c>
    </row>
    <row r="943" spans="1:27" x14ac:dyDescent="0.35">
      <c r="A943" t="str">
        <f t="shared" si="29"/>
        <v>2206F3</v>
      </c>
      <c r="B943" t="str">
        <f t="shared" si="28"/>
        <v>2206</v>
      </c>
      <c r="C943" t="s">
        <v>1605</v>
      </c>
      <c r="D943" t="s">
        <v>5</v>
      </c>
      <c r="E943" t="s">
        <v>40</v>
      </c>
      <c r="F943" t="s">
        <v>73</v>
      </c>
      <c r="G943" t="s">
        <v>757</v>
      </c>
      <c r="H943" t="s">
        <v>42</v>
      </c>
      <c r="I943" t="s">
        <v>67</v>
      </c>
      <c r="J943" t="s">
        <v>1599</v>
      </c>
      <c r="M943" t="s">
        <v>106</v>
      </c>
      <c r="P943" t="s">
        <v>46</v>
      </c>
      <c r="Q943" t="s">
        <v>47</v>
      </c>
      <c r="R943" t="s">
        <v>48</v>
      </c>
      <c r="V943" t="s">
        <v>49</v>
      </c>
      <c r="X943" t="s">
        <v>49</v>
      </c>
      <c r="Y943" t="s">
        <v>74</v>
      </c>
      <c r="Z943" t="s">
        <v>1606</v>
      </c>
      <c r="AA943" t="s">
        <v>1606</v>
      </c>
    </row>
    <row r="944" spans="1:27" x14ac:dyDescent="0.35">
      <c r="A944" t="str">
        <f t="shared" si="29"/>
        <v>2206C2</v>
      </c>
      <c r="B944" t="str">
        <f t="shared" si="28"/>
        <v>2206</v>
      </c>
      <c r="C944" t="s">
        <v>1607</v>
      </c>
      <c r="D944" t="s">
        <v>1</v>
      </c>
      <c r="E944" t="s">
        <v>65</v>
      </c>
      <c r="F944" t="s">
        <v>66</v>
      </c>
      <c r="G944" t="s">
        <v>757</v>
      </c>
      <c r="H944" t="s">
        <v>42</v>
      </c>
      <c r="I944" t="s">
        <v>67</v>
      </c>
      <c r="J944" t="s">
        <v>1599</v>
      </c>
      <c r="M944" t="s">
        <v>106</v>
      </c>
      <c r="P944" t="s">
        <v>58</v>
      </c>
      <c r="Q944" t="s">
        <v>47</v>
      </c>
      <c r="R944" t="s">
        <v>48</v>
      </c>
      <c r="V944" t="s">
        <v>49</v>
      </c>
      <c r="X944" t="s">
        <v>49</v>
      </c>
      <c r="Y944" t="s">
        <v>70</v>
      </c>
      <c r="Z944" t="s">
        <v>1565</v>
      </c>
      <c r="AA944" t="s">
        <v>1565</v>
      </c>
    </row>
    <row r="945" spans="1:27" x14ac:dyDescent="0.35">
      <c r="A945" t="str">
        <f t="shared" si="29"/>
        <v>2206D7</v>
      </c>
      <c r="B945" t="str">
        <f t="shared" si="28"/>
        <v>2206</v>
      </c>
      <c r="C945" t="s">
        <v>1608</v>
      </c>
      <c r="D945" t="s">
        <v>6</v>
      </c>
      <c r="E945" t="s">
        <v>94</v>
      </c>
      <c r="F945" t="s">
        <v>111</v>
      </c>
      <c r="G945" t="s">
        <v>757</v>
      </c>
      <c r="H945" t="s">
        <v>42</v>
      </c>
      <c r="I945" t="s">
        <v>43</v>
      </c>
      <c r="J945" t="s">
        <v>1599</v>
      </c>
      <c r="M945" t="s">
        <v>106</v>
      </c>
      <c r="P945" t="s">
        <v>46</v>
      </c>
      <c r="Q945" t="s">
        <v>47</v>
      </c>
      <c r="R945" t="s">
        <v>48</v>
      </c>
      <c r="V945" t="s">
        <v>49</v>
      </c>
      <c r="X945" t="s">
        <v>49</v>
      </c>
      <c r="Y945" t="s">
        <v>59</v>
      </c>
      <c r="Z945" t="s">
        <v>1609</v>
      </c>
      <c r="AA945" t="s">
        <v>1609</v>
      </c>
    </row>
    <row r="946" spans="1:27" x14ac:dyDescent="0.35">
      <c r="A946" t="str">
        <f t="shared" si="29"/>
        <v>2205F2</v>
      </c>
      <c r="B946" t="str">
        <f t="shared" si="28"/>
        <v>2205</v>
      </c>
      <c r="C946" t="s">
        <v>1610</v>
      </c>
      <c r="D946" t="s">
        <v>4</v>
      </c>
      <c r="E946" t="s">
        <v>77</v>
      </c>
      <c r="F946" t="s">
        <v>78</v>
      </c>
      <c r="G946" t="s">
        <v>757</v>
      </c>
      <c r="H946" t="s">
        <v>42</v>
      </c>
      <c r="I946" t="s">
        <v>67</v>
      </c>
      <c r="J946" t="s">
        <v>1611</v>
      </c>
      <c r="M946" t="s">
        <v>106</v>
      </c>
      <c r="P946" t="s">
        <v>178</v>
      </c>
      <c r="Q946" t="s">
        <v>47</v>
      </c>
      <c r="R946" t="s">
        <v>48</v>
      </c>
      <c r="V946" t="s">
        <v>49</v>
      </c>
      <c r="X946" t="s">
        <v>49</v>
      </c>
      <c r="Y946" t="s">
        <v>74</v>
      </c>
      <c r="Z946" t="s">
        <v>1606</v>
      </c>
      <c r="AA946" t="s">
        <v>1606</v>
      </c>
    </row>
    <row r="947" spans="1:27" x14ac:dyDescent="0.35">
      <c r="A947" t="str">
        <f t="shared" si="29"/>
        <v>2205D4</v>
      </c>
      <c r="B947" t="str">
        <f t="shared" si="28"/>
        <v>2205</v>
      </c>
      <c r="C947" t="s">
        <v>1612</v>
      </c>
      <c r="D947" t="s">
        <v>3</v>
      </c>
      <c r="E947" t="s">
        <v>52</v>
      </c>
      <c r="F947" t="s">
        <v>53</v>
      </c>
      <c r="G947" t="s">
        <v>757</v>
      </c>
      <c r="H947" t="s">
        <v>42</v>
      </c>
      <c r="I947" t="s">
        <v>43</v>
      </c>
      <c r="J947" t="s">
        <v>1611</v>
      </c>
      <c r="K947" t="s">
        <v>56</v>
      </c>
      <c r="M947" t="s">
        <v>106</v>
      </c>
      <c r="P947" t="s">
        <v>58</v>
      </c>
      <c r="Q947" t="s">
        <v>47</v>
      </c>
      <c r="R947" t="s">
        <v>48</v>
      </c>
      <c r="V947" t="s">
        <v>49</v>
      </c>
      <c r="X947" t="s">
        <v>49</v>
      </c>
      <c r="Y947" t="s">
        <v>59</v>
      </c>
      <c r="Z947" t="s">
        <v>1571</v>
      </c>
      <c r="AA947" t="s">
        <v>1571</v>
      </c>
    </row>
    <row r="948" spans="1:27" x14ac:dyDescent="0.35">
      <c r="A948" t="str">
        <f t="shared" si="29"/>
        <v>2205D2</v>
      </c>
      <c r="B948" t="str">
        <f t="shared" si="28"/>
        <v>2205</v>
      </c>
      <c r="C948" t="s">
        <v>1613</v>
      </c>
      <c r="D948" t="s">
        <v>2</v>
      </c>
      <c r="E948" t="s">
        <v>62</v>
      </c>
      <c r="F948" t="s">
        <v>63</v>
      </c>
      <c r="G948" t="s">
        <v>757</v>
      </c>
      <c r="H948" t="s">
        <v>42</v>
      </c>
      <c r="I948" t="s">
        <v>43</v>
      </c>
      <c r="J948" t="s">
        <v>1611</v>
      </c>
      <c r="K948" t="s">
        <v>56</v>
      </c>
      <c r="M948" t="s">
        <v>106</v>
      </c>
      <c r="P948" t="s">
        <v>58</v>
      </c>
      <c r="Q948" t="s">
        <v>47</v>
      </c>
      <c r="R948" t="s">
        <v>48</v>
      </c>
      <c r="V948" t="s">
        <v>49</v>
      </c>
      <c r="X948" t="s">
        <v>49</v>
      </c>
      <c r="Y948" t="s">
        <v>59</v>
      </c>
      <c r="Z948" t="s">
        <v>1571</v>
      </c>
      <c r="AA948" t="s">
        <v>1571</v>
      </c>
    </row>
    <row r="949" spans="1:27" x14ac:dyDescent="0.35">
      <c r="A949" t="str">
        <f t="shared" si="29"/>
        <v>2205F3</v>
      </c>
      <c r="B949" t="str">
        <f t="shared" si="28"/>
        <v>2205</v>
      </c>
      <c r="C949" t="s">
        <v>1614</v>
      </c>
      <c r="D949" t="s">
        <v>5</v>
      </c>
      <c r="E949" t="s">
        <v>40</v>
      </c>
      <c r="F949" t="s">
        <v>73</v>
      </c>
      <c r="G949" t="s">
        <v>757</v>
      </c>
      <c r="H949" t="s">
        <v>42</v>
      </c>
      <c r="I949" t="s">
        <v>67</v>
      </c>
      <c r="J949" t="s">
        <v>1611</v>
      </c>
      <c r="M949" t="s">
        <v>106</v>
      </c>
      <c r="P949" t="s">
        <v>46</v>
      </c>
      <c r="Q949" t="s">
        <v>47</v>
      </c>
      <c r="R949" t="s">
        <v>48</v>
      </c>
      <c r="V949" t="s">
        <v>49</v>
      </c>
      <c r="X949" t="s">
        <v>49</v>
      </c>
      <c r="Y949" t="s">
        <v>74</v>
      </c>
      <c r="Z949" t="s">
        <v>1615</v>
      </c>
      <c r="AA949" t="s">
        <v>1615</v>
      </c>
    </row>
    <row r="950" spans="1:27" x14ac:dyDescent="0.35">
      <c r="A950" t="str">
        <f t="shared" si="29"/>
        <v>2205C2</v>
      </c>
      <c r="B950" t="str">
        <f t="shared" si="28"/>
        <v>2205</v>
      </c>
      <c r="C950" t="s">
        <v>1616</v>
      </c>
      <c r="D950" t="s">
        <v>1</v>
      </c>
      <c r="E950" t="s">
        <v>65</v>
      </c>
      <c r="F950" t="s">
        <v>66</v>
      </c>
      <c r="G950" t="s">
        <v>757</v>
      </c>
      <c r="H950" t="s">
        <v>42</v>
      </c>
      <c r="I950" t="s">
        <v>67</v>
      </c>
      <c r="J950" t="s">
        <v>1611</v>
      </c>
      <c r="M950" t="s">
        <v>106</v>
      </c>
      <c r="P950" t="s">
        <v>58</v>
      </c>
      <c r="Q950" t="s">
        <v>47</v>
      </c>
      <c r="R950" t="s">
        <v>48</v>
      </c>
      <c r="V950" t="s">
        <v>49</v>
      </c>
      <c r="X950" t="s">
        <v>49</v>
      </c>
      <c r="Y950" t="s">
        <v>70</v>
      </c>
      <c r="Z950" t="s">
        <v>1565</v>
      </c>
      <c r="AA950" t="s">
        <v>1565</v>
      </c>
    </row>
    <row r="951" spans="1:27" x14ac:dyDescent="0.35">
      <c r="A951" t="str">
        <f t="shared" si="29"/>
        <v>2205D7</v>
      </c>
      <c r="B951" t="str">
        <f t="shared" si="28"/>
        <v>2205</v>
      </c>
      <c r="C951" t="s">
        <v>1617</v>
      </c>
      <c r="D951" t="s">
        <v>6</v>
      </c>
      <c r="E951" t="s">
        <v>94</v>
      </c>
      <c r="F951" t="s">
        <v>111</v>
      </c>
      <c r="G951" t="s">
        <v>757</v>
      </c>
      <c r="H951" t="s">
        <v>42</v>
      </c>
      <c r="I951" t="s">
        <v>43</v>
      </c>
      <c r="J951" t="s">
        <v>1611</v>
      </c>
      <c r="M951" t="s">
        <v>106</v>
      </c>
      <c r="P951" t="s">
        <v>46</v>
      </c>
      <c r="Q951" t="s">
        <v>47</v>
      </c>
      <c r="R951" t="s">
        <v>48</v>
      </c>
      <c r="V951" t="s">
        <v>49</v>
      </c>
      <c r="X951" t="s">
        <v>49</v>
      </c>
      <c r="Y951" t="s">
        <v>59</v>
      </c>
      <c r="Z951" t="s">
        <v>1609</v>
      </c>
      <c r="AA951" t="s">
        <v>1609</v>
      </c>
    </row>
    <row r="952" spans="1:27" x14ac:dyDescent="0.35">
      <c r="A952" t="str">
        <f t="shared" si="29"/>
        <v>2204F2</v>
      </c>
      <c r="B952" t="str">
        <f t="shared" si="28"/>
        <v>2204</v>
      </c>
      <c r="C952" t="s">
        <v>1618</v>
      </c>
      <c r="D952" t="s">
        <v>4</v>
      </c>
      <c r="E952" t="s">
        <v>77</v>
      </c>
      <c r="F952" t="s">
        <v>78</v>
      </c>
      <c r="G952" t="s">
        <v>757</v>
      </c>
      <c r="H952" t="s">
        <v>42</v>
      </c>
      <c r="I952" t="s">
        <v>67</v>
      </c>
      <c r="J952" t="s">
        <v>1619</v>
      </c>
      <c r="M952" t="s">
        <v>106</v>
      </c>
      <c r="P952" t="s">
        <v>138</v>
      </c>
      <c r="Q952" t="s">
        <v>47</v>
      </c>
      <c r="R952" t="s">
        <v>48</v>
      </c>
      <c r="V952" t="s">
        <v>49</v>
      </c>
      <c r="X952" t="s">
        <v>49</v>
      </c>
      <c r="Y952" t="s">
        <v>74</v>
      </c>
      <c r="Z952" t="s">
        <v>1615</v>
      </c>
      <c r="AA952" t="s">
        <v>1615</v>
      </c>
    </row>
    <row r="953" spans="1:27" x14ac:dyDescent="0.35">
      <c r="A953" t="str">
        <f t="shared" si="29"/>
        <v>2204D4</v>
      </c>
      <c r="B953" t="str">
        <f t="shared" si="28"/>
        <v>2204</v>
      </c>
      <c r="C953" t="s">
        <v>1620</v>
      </c>
      <c r="D953" t="s">
        <v>3</v>
      </c>
      <c r="E953" t="s">
        <v>52</v>
      </c>
      <c r="F953" t="s">
        <v>53</v>
      </c>
      <c r="G953" t="s">
        <v>757</v>
      </c>
      <c r="H953" t="s">
        <v>42</v>
      </c>
      <c r="I953" t="s">
        <v>43</v>
      </c>
      <c r="J953" t="s">
        <v>1619</v>
      </c>
      <c r="K953" t="s">
        <v>56</v>
      </c>
      <c r="M953" t="s">
        <v>106</v>
      </c>
      <c r="P953" t="s">
        <v>58</v>
      </c>
      <c r="Q953" t="s">
        <v>47</v>
      </c>
      <c r="R953" t="s">
        <v>48</v>
      </c>
      <c r="V953" t="s">
        <v>49</v>
      </c>
      <c r="X953" t="s">
        <v>49</v>
      </c>
      <c r="Y953" t="s">
        <v>59</v>
      </c>
      <c r="Z953" t="s">
        <v>1621</v>
      </c>
      <c r="AA953" t="s">
        <v>1621</v>
      </c>
    </row>
    <row r="954" spans="1:27" x14ac:dyDescent="0.35">
      <c r="A954" t="str">
        <f t="shared" si="29"/>
        <v>2204D2</v>
      </c>
      <c r="B954" t="str">
        <f t="shared" si="28"/>
        <v>2204</v>
      </c>
      <c r="C954" t="s">
        <v>1622</v>
      </c>
      <c r="D954" t="s">
        <v>2</v>
      </c>
      <c r="E954" t="s">
        <v>62</v>
      </c>
      <c r="F954" t="s">
        <v>63</v>
      </c>
      <c r="G954" t="s">
        <v>757</v>
      </c>
      <c r="H954" t="s">
        <v>42</v>
      </c>
      <c r="I954" t="s">
        <v>43</v>
      </c>
      <c r="J954" t="s">
        <v>1619</v>
      </c>
      <c r="K954" t="s">
        <v>56</v>
      </c>
      <c r="M954" t="s">
        <v>106</v>
      </c>
      <c r="P954" t="s">
        <v>58</v>
      </c>
      <c r="Q954" t="s">
        <v>47</v>
      </c>
      <c r="R954" t="s">
        <v>48</v>
      </c>
      <c r="V954" t="s">
        <v>49</v>
      </c>
      <c r="X954" t="s">
        <v>49</v>
      </c>
      <c r="Y954" t="s">
        <v>59</v>
      </c>
      <c r="Z954" t="s">
        <v>1621</v>
      </c>
      <c r="AA954" t="s">
        <v>1621</v>
      </c>
    </row>
    <row r="955" spans="1:27" x14ac:dyDescent="0.35">
      <c r="A955" t="str">
        <f t="shared" si="29"/>
        <v>2204F3</v>
      </c>
      <c r="B955" t="str">
        <f t="shared" si="28"/>
        <v>2204</v>
      </c>
      <c r="C955" t="s">
        <v>1623</v>
      </c>
      <c r="D955" t="s">
        <v>5</v>
      </c>
      <c r="E955" t="s">
        <v>40</v>
      </c>
      <c r="F955" t="s">
        <v>73</v>
      </c>
      <c r="G955" t="s">
        <v>757</v>
      </c>
      <c r="H955" t="s">
        <v>42</v>
      </c>
      <c r="I955" t="s">
        <v>67</v>
      </c>
      <c r="J955" t="s">
        <v>1619</v>
      </c>
      <c r="M955" t="s">
        <v>106</v>
      </c>
      <c r="P955" t="s">
        <v>46</v>
      </c>
      <c r="Q955" t="s">
        <v>47</v>
      </c>
      <c r="R955" t="s">
        <v>48</v>
      </c>
      <c r="V955" t="s">
        <v>49</v>
      </c>
      <c r="X955" t="s">
        <v>49</v>
      </c>
      <c r="Y955" t="s">
        <v>74</v>
      </c>
      <c r="Z955" t="s">
        <v>1615</v>
      </c>
      <c r="AA955" t="s">
        <v>1615</v>
      </c>
    </row>
    <row r="956" spans="1:27" x14ac:dyDescent="0.35">
      <c r="A956" t="str">
        <f t="shared" si="29"/>
        <v>2204C2</v>
      </c>
      <c r="B956" t="str">
        <f t="shared" si="28"/>
        <v>2204</v>
      </c>
      <c r="C956" t="s">
        <v>1624</v>
      </c>
      <c r="D956" t="s">
        <v>1</v>
      </c>
      <c r="E956" t="s">
        <v>65</v>
      </c>
      <c r="F956" t="s">
        <v>66</v>
      </c>
      <c r="G956" t="s">
        <v>757</v>
      </c>
      <c r="H956" t="s">
        <v>42</v>
      </c>
      <c r="I956" t="s">
        <v>67</v>
      </c>
      <c r="J956" t="s">
        <v>1619</v>
      </c>
      <c r="M956" t="s">
        <v>106</v>
      </c>
      <c r="P956" t="s">
        <v>58</v>
      </c>
      <c r="Q956" t="s">
        <v>47</v>
      </c>
      <c r="R956" t="s">
        <v>48</v>
      </c>
      <c r="V956" t="s">
        <v>49</v>
      </c>
      <c r="X956" t="s">
        <v>49</v>
      </c>
      <c r="Y956" t="s">
        <v>70</v>
      </c>
      <c r="Z956" t="s">
        <v>1565</v>
      </c>
      <c r="AA956" t="s">
        <v>1565</v>
      </c>
    </row>
    <row r="957" spans="1:27" x14ac:dyDescent="0.35">
      <c r="A957" t="str">
        <f t="shared" si="29"/>
        <v>2204D7</v>
      </c>
      <c r="B957" t="str">
        <f t="shared" si="28"/>
        <v>2204</v>
      </c>
      <c r="C957" t="s">
        <v>1625</v>
      </c>
      <c r="D957" t="s">
        <v>6</v>
      </c>
      <c r="E957" t="s">
        <v>94</v>
      </c>
      <c r="F957" t="s">
        <v>111</v>
      </c>
      <c r="G957" t="s">
        <v>757</v>
      </c>
      <c r="H957" t="s">
        <v>42</v>
      </c>
      <c r="I957" t="s">
        <v>43</v>
      </c>
      <c r="J957" t="s">
        <v>1619</v>
      </c>
      <c r="M957" t="s">
        <v>106</v>
      </c>
      <c r="P957" t="s">
        <v>46</v>
      </c>
      <c r="Q957" t="s">
        <v>47</v>
      </c>
      <c r="R957" t="s">
        <v>48</v>
      </c>
      <c r="V957" t="s">
        <v>49</v>
      </c>
      <c r="X957" t="s">
        <v>49</v>
      </c>
      <c r="Y957" t="s">
        <v>59</v>
      </c>
      <c r="Z957" t="s">
        <v>1626</v>
      </c>
      <c r="AA957" t="s">
        <v>1626</v>
      </c>
    </row>
    <row r="958" spans="1:27" x14ac:dyDescent="0.35">
      <c r="A958" t="str">
        <f t="shared" si="29"/>
        <v>2203F2</v>
      </c>
      <c r="B958" t="str">
        <f t="shared" si="28"/>
        <v>2203</v>
      </c>
      <c r="C958" t="s">
        <v>1627</v>
      </c>
      <c r="D958" t="s">
        <v>4</v>
      </c>
      <c r="E958" t="s">
        <v>77</v>
      </c>
      <c r="F958" t="s">
        <v>78</v>
      </c>
      <c r="G958" t="s">
        <v>757</v>
      </c>
      <c r="H958" t="s">
        <v>42</v>
      </c>
      <c r="I958" t="s">
        <v>67</v>
      </c>
      <c r="J958" t="s">
        <v>1628</v>
      </c>
      <c r="M958" t="s">
        <v>106</v>
      </c>
      <c r="P958" t="s">
        <v>138</v>
      </c>
      <c r="Q958" t="s">
        <v>47</v>
      </c>
      <c r="R958" t="s">
        <v>48</v>
      </c>
      <c r="V958" t="s">
        <v>49</v>
      </c>
      <c r="X958" t="s">
        <v>49</v>
      </c>
      <c r="Y958" t="s">
        <v>74</v>
      </c>
      <c r="Z958" t="s">
        <v>1629</v>
      </c>
      <c r="AA958" t="s">
        <v>1629</v>
      </c>
    </row>
    <row r="959" spans="1:27" x14ac:dyDescent="0.35">
      <c r="A959" t="str">
        <f t="shared" si="29"/>
        <v>2203D4</v>
      </c>
      <c r="B959" t="str">
        <f t="shared" si="28"/>
        <v>2203</v>
      </c>
      <c r="C959" t="s">
        <v>1630</v>
      </c>
      <c r="D959" t="s">
        <v>3</v>
      </c>
      <c r="E959" t="s">
        <v>52</v>
      </c>
      <c r="F959" t="s">
        <v>53</v>
      </c>
      <c r="G959" t="s">
        <v>757</v>
      </c>
      <c r="H959" t="s">
        <v>42</v>
      </c>
      <c r="I959" t="s">
        <v>43</v>
      </c>
      <c r="J959" t="s">
        <v>1628</v>
      </c>
      <c r="K959" t="s">
        <v>56</v>
      </c>
      <c r="M959" t="s">
        <v>106</v>
      </c>
      <c r="P959" t="s">
        <v>69</v>
      </c>
      <c r="Q959" t="s">
        <v>47</v>
      </c>
      <c r="R959" t="s">
        <v>48</v>
      </c>
      <c r="V959" t="s">
        <v>49</v>
      </c>
      <c r="X959" t="s">
        <v>49</v>
      </c>
      <c r="Y959" t="s">
        <v>59</v>
      </c>
      <c r="Z959" t="s">
        <v>1631</v>
      </c>
      <c r="AA959" t="s">
        <v>1632</v>
      </c>
    </row>
    <row r="960" spans="1:27" x14ac:dyDescent="0.35">
      <c r="A960" t="str">
        <f t="shared" si="29"/>
        <v>2203D2</v>
      </c>
      <c r="B960" t="str">
        <f t="shared" si="28"/>
        <v>2203</v>
      </c>
      <c r="C960" t="s">
        <v>1633</v>
      </c>
      <c r="D960" t="s">
        <v>2</v>
      </c>
      <c r="E960" t="s">
        <v>62</v>
      </c>
      <c r="F960" t="s">
        <v>63</v>
      </c>
      <c r="G960" t="s">
        <v>757</v>
      </c>
      <c r="H960" t="s">
        <v>42</v>
      </c>
      <c r="I960" t="s">
        <v>43</v>
      </c>
      <c r="J960" t="s">
        <v>1628</v>
      </c>
      <c r="K960" t="s">
        <v>56</v>
      </c>
      <c r="M960" t="s">
        <v>106</v>
      </c>
      <c r="P960" t="s">
        <v>69</v>
      </c>
      <c r="Q960" t="s">
        <v>47</v>
      </c>
      <c r="R960" t="s">
        <v>48</v>
      </c>
      <c r="V960" t="s">
        <v>49</v>
      </c>
      <c r="X960" t="s">
        <v>49</v>
      </c>
      <c r="Y960" t="s">
        <v>59</v>
      </c>
      <c r="Z960" t="s">
        <v>1631</v>
      </c>
      <c r="AA960" t="s">
        <v>1632</v>
      </c>
    </row>
    <row r="961" spans="1:27" x14ac:dyDescent="0.35">
      <c r="A961" t="str">
        <f t="shared" si="29"/>
        <v>2203F3</v>
      </c>
      <c r="B961" t="str">
        <f t="shared" si="28"/>
        <v>2203</v>
      </c>
      <c r="C961" t="s">
        <v>1634</v>
      </c>
      <c r="D961" t="s">
        <v>5</v>
      </c>
      <c r="E961" t="s">
        <v>40</v>
      </c>
      <c r="F961" t="s">
        <v>73</v>
      </c>
      <c r="G961" t="s">
        <v>757</v>
      </c>
      <c r="H961" t="s">
        <v>42</v>
      </c>
      <c r="I961" t="s">
        <v>67</v>
      </c>
      <c r="J961" t="s">
        <v>1628</v>
      </c>
      <c r="M961" t="s">
        <v>106</v>
      </c>
      <c r="P961" t="s">
        <v>46</v>
      </c>
      <c r="Q961" t="s">
        <v>47</v>
      </c>
      <c r="R961" t="s">
        <v>48</v>
      </c>
      <c r="V961" t="s">
        <v>49</v>
      </c>
      <c r="X961" t="s">
        <v>49</v>
      </c>
      <c r="Y961" t="s">
        <v>74</v>
      </c>
      <c r="Z961" t="s">
        <v>1629</v>
      </c>
      <c r="AA961" t="s">
        <v>1629</v>
      </c>
    </row>
    <row r="962" spans="1:27" x14ac:dyDescent="0.35">
      <c r="A962" t="str">
        <f t="shared" si="29"/>
        <v>2203C2</v>
      </c>
      <c r="B962" t="str">
        <f t="shared" ref="B962:B1025" si="30">LEFT($J:$J,4)</f>
        <v>2203</v>
      </c>
      <c r="C962" t="s">
        <v>1635</v>
      </c>
      <c r="D962" t="s">
        <v>1</v>
      </c>
      <c r="E962" t="s">
        <v>65</v>
      </c>
      <c r="F962" t="s">
        <v>66</v>
      </c>
      <c r="G962" t="s">
        <v>757</v>
      </c>
      <c r="H962" t="s">
        <v>42</v>
      </c>
      <c r="I962" t="s">
        <v>67</v>
      </c>
      <c r="J962" t="s">
        <v>1628</v>
      </c>
      <c r="M962" t="s">
        <v>106</v>
      </c>
      <c r="P962" t="s">
        <v>58</v>
      </c>
      <c r="Q962" t="s">
        <v>47</v>
      </c>
      <c r="R962" t="s">
        <v>48</v>
      </c>
      <c r="V962" t="s">
        <v>49</v>
      </c>
      <c r="X962" t="s">
        <v>49</v>
      </c>
      <c r="Y962" t="s">
        <v>70</v>
      </c>
      <c r="Z962" t="s">
        <v>1565</v>
      </c>
      <c r="AA962" t="s">
        <v>1565</v>
      </c>
    </row>
    <row r="963" spans="1:27" x14ac:dyDescent="0.35">
      <c r="A963" t="str">
        <f t="shared" ref="A963:A1026" si="31">B963&amp;D963</f>
        <v>2203D7</v>
      </c>
      <c r="B963" t="str">
        <f t="shared" si="30"/>
        <v>2203</v>
      </c>
      <c r="C963" t="s">
        <v>1636</v>
      </c>
      <c r="D963" t="s">
        <v>6</v>
      </c>
      <c r="E963" t="s">
        <v>94</v>
      </c>
      <c r="F963" t="s">
        <v>111</v>
      </c>
      <c r="G963" t="s">
        <v>757</v>
      </c>
      <c r="H963" t="s">
        <v>42</v>
      </c>
      <c r="I963" t="s">
        <v>43</v>
      </c>
      <c r="J963" t="s">
        <v>1628</v>
      </c>
      <c r="M963" t="s">
        <v>106</v>
      </c>
      <c r="P963" t="s">
        <v>46</v>
      </c>
      <c r="Q963" t="s">
        <v>47</v>
      </c>
      <c r="R963" t="s">
        <v>48</v>
      </c>
      <c r="V963" t="s">
        <v>49</v>
      </c>
      <c r="X963" t="s">
        <v>49</v>
      </c>
      <c r="Y963" t="s">
        <v>59</v>
      </c>
      <c r="Z963" t="s">
        <v>1626</v>
      </c>
      <c r="AA963" t="s">
        <v>1626</v>
      </c>
    </row>
    <row r="964" spans="1:27" x14ac:dyDescent="0.35">
      <c r="A964" t="str">
        <f t="shared" si="31"/>
        <v>2202F2</v>
      </c>
      <c r="B964" t="str">
        <f t="shared" si="30"/>
        <v>2202</v>
      </c>
      <c r="C964" t="s">
        <v>1637</v>
      </c>
      <c r="D964" t="s">
        <v>4</v>
      </c>
      <c r="E964" t="s">
        <v>77</v>
      </c>
      <c r="F964" t="s">
        <v>78</v>
      </c>
      <c r="G964" t="s">
        <v>757</v>
      </c>
      <c r="H964" t="s">
        <v>42</v>
      </c>
      <c r="I964" t="s">
        <v>67</v>
      </c>
      <c r="J964" t="s">
        <v>1638</v>
      </c>
      <c r="M964" t="s">
        <v>106</v>
      </c>
      <c r="P964" t="s">
        <v>138</v>
      </c>
      <c r="Q964" t="s">
        <v>47</v>
      </c>
      <c r="R964" t="s">
        <v>48</v>
      </c>
      <c r="V964" t="s">
        <v>49</v>
      </c>
      <c r="X964" t="s">
        <v>49</v>
      </c>
      <c r="Y964" t="s">
        <v>74</v>
      </c>
      <c r="Z964" t="s">
        <v>1629</v>
      </c>
      <c r="AA964" t="s">
        <v>1629</v>
      </c>
    </row>
    <row r="965" spans="1:27" x14ac:dyDescent="0.35">
      <c r="A965" t="str">
        <f t="shared" si="31"/>
        <v>2202D4</v>
      </c>
      <c r="B965" t="str">
        <f t="shared" si="30"/>
        <v>2202</v>
      </c>
      <c r="C965" t="s">
        <v>1639</v>
      </c>
      <c r="D965" t="s">
        <v>3</v>
      </c>
      <c r="E965" t="s">
        <v>52</v>
      </c>
      <c r="F965" t="s">
        <v>53</v>
      </c>
      <c r="G965" t="s">
        <v>757</v>
      </c>
      <c r="H965" t="s">
        <v>42</v>
      </c>
      <c r="I965" t="s">
        <v>43</v>
      </c>
      <c r="J965" t="s">
        <v>1638</v>
      </c>
      <c r="K965" t="s">
        <v>56</v>
      </c>
      <c r="M965" t="s">
        <v>106</v>
      </c>
      <c r="P965" t="s">
        <v>69</v>
      </c>
      <c r="Q965" t="s">
        <v>47</v>
      </c>
      <c r="R965" t="s">
        <v>48</v>
      </c>
      <c r="V965" t="s">
        <v>49</v>
      </c>
      <c r="X965" t="s">
        <v>49</v>
      </c>
      <c r="Y965" t="s">
        <v>59</v>
      </c>
      <c r="Z965" t="s">
        <v>1631</v>
      </c>
      <c r="AA965" t="s">
        <v>1632</v>
      </c>
    </row>
    <row r="966" spans="1:27" x14ac:dyDescent="0.35">
      <c r="A966" t="str">
        <f t="shared" si="31"/>
        <v>2202D2</v>
      </c>
      <c r="B966" t="str">
        <f t="shared" si="30"/>
        <v>2202</v>
      </c>
      <c r="C966" t="s">
        <v>1640</v>
      </c>
      <c r="D966" t="s">
        <v>2</v>
      </c>
      <c r="E966" t="s">
        <v>62</v>
      </c>
      <c r="F966" t="s">
        <v>63</v>
      </c>
      <c r="G966" t="s">
        <v>757</v>
      </c>
      <c r="H966" t="s">
        <v>42</v>
      </c>
      <c r="I966" t="s">
        <v>43</v>
      </c>
      <c r="J966" t="s">
        <v>1638</v>
      </c>
      <c r="K966" t="s">
        <v>56</v>
      </c>
      <c r="M966" t="s">
        <v>106</v>
      </c>
      <c r="P966" t="s">
        <v>69</v>
      </c>
      <c r="Q966" t="s">
        <v>47</v>
      </c>
      <c r="R966" t="s">
        <v>48</v>
      </c>
      <c r="V966" t="s">
        <v>49</v>
      </c>
      <c r="X966" t="s">
        <v>49</v>
      </c>
      <c r="Y966" t="s">
        <v>59</v>
      </c>
      <c r="Z966" t="s">
        <v>1631</v>
      </c>
      <c r="AA966" t="s">
        <v>1641</v>
      </c>
    </row>
    <row r="967" spans="1:27" x14ac:dyDescent="0.35">
      <c r="A967" t="str">
        <f t="shared" si="31"/>
        <v>2202F3</v>
      </c>
      <c r="B967" t="str">
        <f t="shared" si="30"/>
        <v>2202</v>
      </c>
      <c r="C967" t="s">
        <v>1642</v>
      </c>
      <c r="D967" t="s">
        <v>5</v>
      </c>
      <c r="E967" t="s">
        <v>40</v>
      </c>
      <c r="F967" t="s">
        <v>73</v>
      </c>
      <c r="G967" t="s">
        <v>757</v>
      </c>
      <c r="H967" t="s">
        <v>42</v>
      </c>
      <c r="I967" t="s">
        <v>67</v>
      </c>
      <c r="J967" t="s">
        <v>1638</v>
      </c>
      <c r="M967" t="s">
        <v>106</v>
      </c>
      <c r="P967" t="s">
        <v>46</v>
      </c>
      <c r="Q967" t="s">
        <v>47</v>
      </c>
      <c r="R967" t="s">
        <v>48</v>
      </c>
      <c r="V967" t="s">
        <v>49</v>
      </c>
      <c r="X967" t="s">
        <v>49</v>
      </c>
      <c r="Y967" t="s">
        <v>74</v>
      </c>
      <c r="Z967" t="s">
        <v>1643</v>
      </c>
      <c r="AA967" t="s">
        <v>1643</v>
      </c>
    </row>
    <row r="968" spans="1:27" x14ac:dyDescent="0.35">
      <c r="A968" t="str">
        <f t="shared" si="31"/>
        <v>2202C2</v>
      </c>
      <c r="B968" t="str">
        <f t="shared" si="30"/>
        <v>2202</v>
      </c>
      <c r="C968" t="s">
        <v>1644</v>
      </c>
      <c r="D968" t="s">
        <v>1</v>
      </c>
      <c r="E968" t="s">
        <v>65</v>
      </c>
      <c r="F968" t="s">
        <v>66</v>
      </c>
      <c r="G968" t="s">
        <v>757</v>
      </c>
      <c r="H968" t="s">
        <v>42</v>
      </c>
      <c r="I968" t="s">
        <v>67</v>
      </c>
      <c r="J968" t="s">
        <v>1638</v>
      </c>
      <c r="M968" t="s">
        <v>106</v>
      </c>
      <c r="P968" t="s">
        <v>58</v>
      </c>
      <c r="Q968" t="s">
        <v>47</v>
      </c>
      <c r="R968" t="s">
        <v>48</v>
      </c>
      <c r="V968" t="s">
        <v>49</v>
      </c>
      <c r="X968" t="s">
        <v>49</v>
      </c>
      <c r="Y968" t="s">
        <v>70</v>
      </c>
      <c r="Z968" t="s">
        <v>1645</v>
      </c>
      <c r="AA968" t="s">
        <v>1645</v>
      </c>
    </row>
    <row r="969" spans="1:27" x14ac:dyDescent="0.35">
      <c r="A969" t="str">
        <f t="shared" si="31"/>
        <v>2202D7</v>
      </c>
      <c r="B969" t="str">
        <f t="shared" si="30"/>
        <v>2202</v>
      </c>
      <c r="C969" t="s">
        <v>1646</v>
      </c>
      <c r="D969" t="s">
        <v>6</v>
      </c>
      <c r="E969" t="s">
        <v>94</v>
      </c>
      <c r="F969" t="s">
        <v>111</v>
      </c>
      <c r="G969" t="s">
        <v>757</v>
      </c>
      <c r="H969" t="s">
        <v>42</v>
      </c>
      <c r="I969" t="s">
        <v>43</v>
      </c>
      <c r="J969" t="s">
        <v>1638</v>
      </c>
      <c r="M969" t="s">
        <v>106</v>
      </c>
      <c r="P969" t="s">
        <v>46</v>
      </c>
      <c r="Q969" t="s">
        <v>47</v>
      </c>
      <c r="R969" t="s">
        <v>48</v>
      </c>
      <c r="V969" t="s">
        <v>49</v>
      </c>
      <c r="X969" t="s">
        <v>49</v>
      </c>
      <c r="Y969" t="s">
        <v>59</v>
      </c>
      <c r="Z969" t="s">
        <v>1647</v>
      </c>
      <c r="AA969" t="s">
        <v>1647</v>
      </c>
    </row>
    <row r="970" spans="1:27" x14ac:dyDescent="0.35">
      <c r="A970" t="str">
        <f t="shared" si="31"/>
        <v>2201F2</v>
      </c>
      <c r="B970" t="str">
        <f t="shared" si="30"/>
        <v>2201</v>
      </c>
      <c r="C970" t="s">
        <v>1648</v>
      </c>
      <c r="D970" t="s">
        <v>4</v>
      </c>
      <c r="E970" t="s">
        <v>77</v>
      </c>
      <c r="F970" t="s">
        <v>78</v>
      </c>
      <c r="G970" t="s">
        <v>757</v>
      </c>
      <c r="H970" t="s">
        <v>42</v>
      </c>
      <c r="I970" t="s">
        <v>67</v>
      </c>
      <c r="J970" t="s">
        <v>1649</v>
      </c>
      <c r="M970" t="s">
        <v>106</v>
      </c>
      <c r="P970" t="s">
        <v>138</v>
      </c>
      <c r="Q970" t="s">
        <v>47</v>
      </c>
      <c r="R970" t="s">
        <v>48</v>
      </c>
      <c r="V970" t="s">
        <v>49</v>
      </c>
      <c r="X970" t="s">
        <v>49</v>
      </c>
      <c r="Y970" t="s">
        <v>74</v>
      </c>
      <c r="Z970" t="s">
        <v>1643</v>
      </c>
      <c r="AA970" t="s">
        <v>1643</v>
      </c>
    </row>
    <row r="971" spans="1:27" x14ac:dyDescent="0.35">
      <c r="A971" t="str">
        <f t="shared" si="31"/>
        <v>2201D4</v>
      </c>
      <c r="B971" t="str">
        <f t="shared" si="30"/>
        <v>2201</v>
      </c>
      <c r="C971" t="s">
        <v>1650</v>
      </c>
      <c r="D971" t="s">
        <v>3</v>
      </c>
      <c r="E971" t="s">
        <v>52</v>
      </c>
      <c r="F971" t="s">
        <v>53</v>
      </c>
      <c r="G971" t="s">
        <v>757</v>
      </c>
      <c r="H971" t="s">
        <v>42</v>
      </c>
      <c r="I971" t="s">
        <v>43</v>
      </c>
      <c r="J971" t="s">
        <v>1649</v>
      </c>
      <c r="K971" t="s">
        <v>56</v>
      </c>
      <c r="M971" t="s">
        <v>106</v>
      </c>
      <c r="P971" t="s">
        <v>58</v>
      </c>
      <c r="Q971" t="s">
        <v>47</v>
      </c>
      <c r="R971" t="s">
        <v>48</v>
      </c>
      <c r="V971" t="s">
        <v>49</v>
      </c>
      <c r="X971" t="s">
        <v>49</v>
      </c>
      <c r="Y971" t="s">
        <v>59</v>
      </c>
      <c r="Z971" t="s">
        <v>1651</v>
      </c>
      <c r="AA971" t="s">
        <v>1651</v>
      </c>
    </row>
    <row r="972" spans="1:27" x14ac:dyDescent="0.35">
      <c r="A972" t="str">
        <f t="shared" si="31"/>
        <v>2201D2</v>
      </c>
      <c r="B972" t="str">
        <f t="shared" si="30"/>
        <v>2201</v>
      </c>
      <c r="C972" t="s">
        <v>1652</v>
      </c>
      <c r="D972" t="s">
        <v>2</v>
      </c>
      <c r="E972" t="s">
        <v>62</v>
      </c>
      <c r="F972" t="s">
        <v>63</v>
      </c>
      <c r="G972" t="s">
        <v>757</v>
      </c>
      <c r="H972" t="s">
        <v>42</v>
      </c>
      <c r="I972" t="s">
        <v>43</v>
      </c>
      <c r="J972" t="s">
        <v>1649</v>
      </c>
      <c r="K972" t="s">
        <v>56</v>
      </c>
      <c r="M972" t="s">
        <v>106</v>
      </c>
      <c r="P972" t="s">
        <v>58</v>
      </c>
      <c r="Q972" t="s">
        <v>47</v>
      </c>
      <c r="R972" t="s">
        <v>48</v>
      </c>
      <c r="V972" t="s">
        <v>49</v>
      </c>
      <c r="X972" t="s">
        <v>49</v>
      </c>
      <c r="Y972" t="s">
        <v>59</v>
      </c>
      <c r="Z972" t="s">
        <v>1651</v>
      </c>
      <c r="AA972" t="s">
        <v>1651</v>
      </c>
    </row>
    <row r="973" spans="1:27" x14ac:dyDescent="0.35">
      <c r="A973" t="str">
        <f t="shared" si="31"/>
        <v>2201F3</v>
      </c>
      <c r="B973" t="str">
        <f t="shared" si="30"/>
        <v>2201</v>
      </c>
      <c r="C973" t="s">
        <v>1653</v>
      </c>
      <c r="D973" t="s">
        <v>5</v>
      </c>
      <c r="E973" t="s">
        <v>40</v>
      </c>
      <c r="F973" t="s">
        <v>73</v>
      </c>
      <c r="G973" t="s">
        <v>757</v>
      </c>
      <c r="H973" t="s">
        <v>42</v>
      </c>
      <c r="I973" t="s">
        <v>67</v>
      </c>
      <c r="J973" t="s">
        <v>1649</v>
      </c>
      <c r="M973" t="s">
        <v>106</v>
      </c>
      <c r="P973" t="s">
        <v>46</v>
      </c>
      <c r="Q973" t="s">
        <v>47</v>
      </c>
      <c r="R973" t="s">
        <v>48</v>
      </c>
      <c r="V973" t="s">
        <v>49</v>
      </c>
      <c r="X973" t="s">
        <v>49</v>
      </c>
      <c r="Y973" t="s">
        <v>74</v>
      </c>
      <c r="Z973" t="s">
        <v>1643</v>
      </c>
      <c r="AA973" t="s">
        <v>1643</v>
      </c>
    </row>
    <row r="974" spans="1:27" x14ac:dyDescent="0.35">
      <c r="A974" t="str">
        <f t="shared" si="31"/>
        <v>2201C2</v>
      </c>
      <c r="B974" t="str">
        <f t="shared" si="30"/>
        <v>2201</v>
      </c>
      <c r="C974" t="s">
        <v>1654</v>
      </c>
      <c r="D974" t="s">
        <v>1</v>
      </c>
      <c r="E974" t="s">
        <v>65</v>
      </c>
      <c r="F974" t="s">
        <v>66</v>
      </c>
      <c r="G974" t="s">
        <v>757</v>
      </c>
      <c r="H974" t="s">
        <v>42</v>
      </c>
      <c r="I974" t="s">
        <v>67</v>
      </c>
      <c r="J974" t="s">
        <v>1649</v>
      </c>
      <c r="M974" t="s">
        <v>106</v>
      </c>
      <c r="P974" t="s">
        <v>58</v>
      </c>
      <c r="Q974" t="s">
        <v>47</v>
      </c>
      <c r="R974" t="s">
        <v>48</v>
      </c>
      <c r="V974" t="s">
        <v>49</v>
      </c>
      <c r="X974" t="s">
        <v>49</v>
      </c>
      <c r="Y974" t="s">
        <v>70</v>
      </c>
      <c r="Z974" t="s">
        <v>1565</v>
      </c>
      <c r="AA974" t="s">
        <v>1565</v>
      </c>
    </row>
    <row r="975" spans="1:27" x14ac:dyDescent="0.35">
      <c r="A975" t="str">
        <f t="shared" si="31"/>
        <v>2201D7</v>
      </c>
      <c r="B975" t="str">
        <f t="shared" si="30"/>
        <v>2201</v>
      </c>
      <c r="C975" t="s">
        <v>1655</v>
      </c>
      <c r="D975" t="s">
        <v>6</v>
      </c>
      <c r="E975" t="s">
        <v>94</v>
      </c>
      <c r="F975" t="s">
        <v>111</v>
      </c>
      <c r="G975" t="s">
        <v>757</v>
      </c>
      <c r="H975" t="s">
        <v>42</v>
      </c>
      <c r="I975" t="s">
        <v>43</v>
      </c>
      <c r="J975" t="s">
        <v>1649</v>
      </c>
      <c r="M975" t="s">
        <v>106</v>
      </c>
      <c r="P975" t="s">
        <v>46</v>
      </c>
      <c r="Q975" t="s">
        <v>47</v>
      </c>
      <c r="R975" t="s">
        <v>48</v>
      </c>
      <c r="V975" t="s">
        <v>49</v>
      </c>
      <c r="X975" t="s">
        <v>49</v>
      </c>
      <c r="Y975" t="s">
        <v>59</v>
      </c>
      <c r="Z975" t="s">
        <v>1656</v>
      </c>
      <c r="AA975" t="s">
        <v>1656</v>
      </c>
    </row>
    <row r="976" spans="1:27" x14ac:dyDescent="0.35">
      <c r="A976" t="str">
        <f t="shared" si="31"/>
        <v>2109F2</v>
      </c>
      <c r="B976" t="str">
        <f t="shared" si="30"/>
        <v>2109</v>
      </c>
      <c r="C976" t="s">
        <v>1657</v>
      </c>
      <c r="D976" t="s">
        <v>4</v>
      </c>
      <c r="E976" t="s">
        <v>77</v>
      </c>
      <c r="F976" t="s">
        <v>78</v>
      </c>
      <c r="G976" t="s">
        <v>757</v>
      </c>
      <c r="H976" t="s">
        <v>42</v>
      </c>
      <c r="I976" t="s">
        <v>67</v>
      </c>
      <c r="J976" t="s">
        <v>1658</v>
      </c>
      <c r="M976" t="s">
        <v>106</v>
      </c>
      <c r="P976" t="s">
        <v>79</v>
      </c>
      <c r="Q976" t="s">
        <v>47</v>
      </c>
      <c r="R976" t="s">
        <v>48</v>
      </c>
      <c r="V976" t="s">
        <v>49</v>
      </c>
      <c r="X976" t="s">
        <v>49</v>
      </c>
      <c r="Y976" t="s">
        <v>74</v>
      </c>
      <c r="Z976" t="s">
        <v>1659</v>
      </c>
      <c r="AA976" t="s">
        <v>1660</v>
      </c>
    </row>
    <row r="977" spans="1:27" x14ac:dyDescent="0.35">
      <c r="A977" t="str">
        <f t="shared" si="31"/>
        <v>2109D4</v>
      </c>
      <c r="B977" t="str">
        <f t="shared" si="30"/>
        <v>2109</v>
      </c>
      <c r="C977" t="s">
        <v>1661</v>
      </c>
      <c r="D977" t="s">
        <v>3</v>
      </c>
      <c r="E977" t="s">
        <v>52</v>
      </c>
      <c r="F977" t="s">
        <v>53</v>
      </c>
      <c r="G977" t="s">
        <v>757</v>
      </c>
      <c r="H977" t="s">
        <v>42</v>
      </c>
      <c r="I977" t="s">
        <v>43</v>
      </c>
      <c r="J977" t="s">
        <v>1658</v>
      </c>
      <c r="K977" t="s">
        <v>56</v>
      </c>
      <c r="M977" t="s">
        <v>106</v>
      </c>
      <c r="P977" t="s">
        <v>58</v>
      </c>
      <c r="Q977" t="s">
        <v>47</v>
      </c>
      <c r="R977" t="s">
        <v>48</v>
      </c>
      <c r="V977" t="s">
        <v>49</v>
      </c>
      <c r="X977" t="s">
        <v>49</v>
      </c>
      <c r="Y977" t="s">
        <v>59</v>
      </c>
      <c r="Z977" t="s">
        <v>1662</v>
      </c>
      <c r="AA977" t="s">
        <v>1662</v>
      </c>
    </row>
    <row r="978" spans="1:27" x14ac:dyDescent="0.35">
      <c r="A978" t="str">
        <f t="shared" si="31"/>
        <v>2109D2</v>
      </c>
      <c r="B978" t="str">
        <f t="shared" si="30"/>
        <v>2109</v>
      </c>
      <c r="C978" t="s">
        <v>1663</v>
      </c>
      <c r="D978" t="s">
        <v>2</v>
      </c>
      <c r="E978" t="s">
        <v>62</v>
      </c>
      <c r="F978" t="s">
        <v>63</v>
      </c>
      <c r="G978" t="s">
        <v>757</v>
      </c>
      <c r="H978" t="s">
        <v>42</v>
      </c>
      <c r="I978" t="s">
        <v>43</v>
      </c>
      <c r="J978" t="s">
        <v>1658</v>
      </c>
      <c r="K978" t="s">
        <v>56</v>
      </c>
      <c r="M978" t="s">
        <v>106</v>
      </c>
      <c r="P978" t="s">
        <v>58</v>
      </c>
      <c r="Q978" t="s">
        <v>47</v>
      </c>
      <c r="R978" t="s">
        <v>48</v>
      </c>
      <c r="V978" t="s">
        <v>49</v>
      </c>
      <c r="X978" t="s">
        <v>49</v>
      </c>
      <c r="Y978" t="s">
        <v>59</v>
      </c>
      <c r="Z978" t="s">
        <v>1662</v>
      </c>
      <c r="AA978" t="s">
        <v>1662</v>
      </c>
    </row>
    <row r="979" spans="1:27" x14ac:dyDescent="0.35">
      <c r="A979" t="str">
        <f t="shared" si="31"/>
        <v>2109F3</v>
      </c>
      <c r="B979" t="str">
        <f t="shared" si="30"/>
        <v>2109</v>
      </c>
      <c r="C979" t="s">
        <v>1664</v>
      </c>
      <c r="D979" t="s">
        <v>5</v>
      </c>
      <c r="E979" t="s">
        <v>40</v>
      </c>
      <c r="F979" t="s">
        <v>73</v>
      </c>
      <c r="G979" t="s">
        <v>757</v>
      </c>
      <c r="H979" t="s">
        <v>42</v>
      </c>
      <c r="I979" t="s">
        <v>67</v>
      </c>
      <c r="J979" t="s">
        <v>1658</v>
      </c>
      <c r="M979" t="s">
        <v>106</v>
      </c>
      <c r="P979" t="s">
        <v>69</v>
      </c>
      <c r="Q979" t="s">
        <v>47</v>
      </c>
      <c r="R979" t="s">
        <v>48</v>
      </c>
      <c r="V979" t="s">
        <v>49</v>
      </c>
      <c r="X979" t="s">
        <v>49</v>
      </c>
      <c r="Y979" t="s">
        <v>74</v>
      </c>
      <c r="Z979" t="s">
        <v>1659</v>
      </c>
      <c r="AA979" t="s">
        <v>1659</v>
      </c>
    </row>
    <row r="980" spans="1:27" x14ac:dyDescent="0.35">
      <c r="A980" t="str">
        <f t="shared" si="31"/>
        <v>2109C2</v>
      </c>
      <c r="B980" t="str">
        <f t="shared" si="30"/>
        <v>2109</v>
      </c>
      <c r="C980" t="s">
        <v>1665</v>
      </c>
      <c r="D980" t="s">
        <v>1</v>
      </c>
      <c r="E980" t="s">
        <v>65</v>
      </c>
      <c r="F980" t="s">
        <v>66</v>
      </c>
      <c r="G980" t="s">
        <v>757</v>
      </c>
      <c r="H980" t="s">
        <v>42</v>
      </c>
      <c r="I980" t="s">
        <v>67</v>
      </c>
      <c r="J980" t="s">
        <v>1658</v>
      </c>
      <c r="M980" t="s">
        <v>106</v>
      </c>
      <c r="P980" t="s">
        <v>58</v>
      </c>
      <c r="Q980" t="s">
        <v>47</v>
      </c>
      <c r="R980" t="s">
        <v>48</v>
      </c>
      <c r="V980" t="s">
        <v>49</v>
      </c>
      <c r="X980" t="s">
        <v>49</v>
      </c>
      <c r="Y980" t="s">
        <v>70</v>
      </c>
      <c r="Z980" t="s">
        <v>1565</v>
      </c>
      <c r="AA980" t="s">
        <v>1565</v>
      </c>
    </row>
    <row r="981" spans="1:27" x14ac:dyDescent="0.35">
      <c r="A981" t="str">
        <f t="shared" si="31"/>
        <v>2109D7</v>
      </c>
      <c r="B981" t="str">
        <f t="shared" si="30"/>
        <v>2109</v>
      </c>
      <c r="C981" t="s">
        <v>1666</v>
      </c>
      <c r="D981" t="s">
        <v>6</v>
      </c>
      <c r="E981" t="s">
        <v>94</v>
      </c>
      <c r="F981" t="s">
        <v>111</v>
      </c>
      <c r="G981" t="s">
        <v>757</v>
      </c>
      <c r="H981" t="s">
        <v>42</v>
      </c>
      <c r="I981" t="s">
        <v>43</v>
      </c>
      <c r="J981" t="s">
        <v>1658</v>
      </c>
      <c r="M981" t="s">
        <v>106</v>
      </c>
      <c r="P981" t="s">
        <v>46</v>
      </c>
      <c r="Q981" t="s">
        <v>47</v>
      </c>
      <c r="R981" t="s">
        <v>48</v>
      </c>
      <c r="V981" t="s">
        <v>49</v>
      </c>
      <c r="X981" t="s">
        <v>49</v>
      </c>
      <c r="Y981" t="s">
        <v>59</v>
      </c>
      <c r="Z981" t="s">
        <v>1667</v>
      </c>
      <c r="AA981" t="s">
        <v>1667</v>
      </c>
    </row>
    <row r="982" spans="1:27" x14ac:dyDescent="0.35">
      <c r="A982" t="str">
        <f t="shared" si="31"/>
        <v>2108F2</v>
      </c>
      <c r="B982" t="str">
        <f t="shared" si="30"/>
        <v>2108</v>
      </c>
      <c r="C982" t="s">
        <v>1668</v>
      </c>
      <c r="D982" t="s">
        <v>4</v>
      </c>
      <c r="E982" t="s">
        <v>77</v>
      </c>
      <c r="F982" t="s">
        <v>78</v>
      </c>
      <c r="G982" t="s">
        <v>757</v>
      </c>
      <c r="H982" t="s">
        <v>42</v>
      </c>
      <c r="I982" t="s">
        <v>67</v>
      </c>
      <c r="J982" t="s">
        <v>1669</v>
      </c>
      <c r="M982" t="s">
        <v>106</v>
      </c>
      <c r="P982" t="s">
        <v>189</v>
      </c>
      <c r="Q982" t="s">
        <v>47</v>
      </c>
      <c r="R982" t="s">
        <v>48</v>
      </c>
      <c r="V982" t="s">
        <v>49</v>
      </c>
      <c r="X982" t="s">
        <v>49</v>
      </c>
      <c r="Y982" t="s">
        <v>74</v>
      </c>
      <c r="Z982" t="s">
        <v>1670</v>
      </c>
      <c r="AA982" t="s">
        <v>1670</v>
      </c>
    </row>
    <row r="983" spans="1:27" x14ac:dyDescent="0.35">
      <c r="A983" t="str">
        <f t="shared" si="31"/>
        <v>2108D4</v>
      </c>
      <c r="B983" t="str">
        <f t="shared" si="30"/>
        <v>2108</v>
      </c>
      <c r="C983" t="s">
        <v>1671</v>
      </c>
      <c r="D983" t="s">
        <v>3</v>
      </c>
      <c r="E983" t="s">
        <v>52</v>
      </c>
      <c r="F983" t="s">
        <v>53</v>
      </c>
      <c r="G983" t="s">
        <v>757</v>
      </c>
      <c r="H983" t="s">
        <v>42</v>
      </c>
      <c r="I983" t="s">
        <v>43</v>
      </c>
      <c r="J983" t="s">
        <v>1669</v>
      </c>
      <c r="K983" t="s">
        <v>56</v>
      </c>
      <c r="M983" t="s">
        <v>106</v>
      </c>
      <c r="P983" t="s">
        <v>69</v>
      </c>
      <c r="Q983" t="s">
        <v>47</v>
      </c>
      <c r="R983" t="s">
        <v>48</v>
      </c>
      <c r="V983" t="s">
        <v>49</v>
      </c>
      <c r="X983" t="s">
        <v>49</v>
      </c>
      <c r="Y983" t="s">
        <v>59</v>
      </c>
      <c r="Z983" t="s">
        <v>1672</v>
      </c>
      <c r="AA983" t="s">
        <v>1520</v>
      </c>
    </row>
    <row r="984" spans="1:27" x14ac:dyDescent="0.35">
      <c r="A984" t="str">
        <f t="shared" si="31"/>
        <v>2108D2</v>
      </c>
      <c r="B984" t="str">
        <f t="shared" si="30"/>
        <v>2108</v>
      </c>
      <c r="C984" t="s">
        <v>1673</v>
      </c>
      <c r="D984" t="s">
        <v>2</v>
      </c>
      <c r="E984" t="s">
        <v>62</v>
      </c>
      <c r="F984" t="s">
        <v>63</v>
      </c>
      <c r="G984" t="s">
        <v>757</v>
      </c>
      <c r="H984" t="s">
        <v>42</v>
      </c>
      <c r="I984" t="s">
        <v>43</v>
      </c>
      <c r="J984" t="s">
        <v>1669</v>
      </c>
      <c r="K984" t="s">
        <v>56</v>
      </c>
      <c r="M984" t="s">
        <v>106</v>
      </c>
      <c r="P984" t="s">
        <v>273</v>
      </c>
      <c r="Q984" t="s">
        <v>47</v>
      </c>
      <c r="R984" t="s">
        <v>48</v>
      </c>
      <c r="V984" t="s">
        <v>49</v>
      </c>
      <c r="X984" t="s">
        <v>49</v>
      </c>
      <c r="Y984" t="s">
        <v>59</v>
      </c>
      <c r="Z984" t="s">
        <v>1672</v>
      </c>
      <c r="AA984" t="s">
        <v>1520</v>
      </c>
    </row>
    <row r="985" spans="1:27" x14ac:dyDescent="0.35">
      <c r="A985" t="str">
        <f t="shared" si="31"/>
        <v>2108F3</v>
      </c>
      <c r="B985" t="str">
        <f t="shared" si="30"/>
        <v>2108</v>
      </c>
      <c r="C985" t="s">
        <v>1674</v>
      </c>
      <c r="D985" t="s">
        <v>5</v>
      </c>
      <c r="E985" t="s">
        <v>40</v>
      </c>
      <c r="F985" t="s">
        <v>73</v>
      </c>
      <c r="G985" t="s">
        <v>757</v>
      </c>
      <c r="H985" t="s">
        <v>42</v>
      </c>
      <c r="I985" t="s">
        <v>67</v>
      </c>
      <c r="J985" t="s">
        <v>1669</v>
      </c>
      <c r="M985" t="s">
        <v>106</v>
      </c>
      <c r="P985" t="s">
        <v>58</v>
      </c>
      <c r="Q985" t="s">
        <v>47</v>
      </c>
      <c r="R985" t="s">
        <v>48</v>
      </c>
      <c r="V985" t="s">
        <v>49</v>
      </c>
      <c r="X985" t="s">
        <v>49</v>
      </c>
      <c r="Y985" t="s">
        <v>74</v>
      </c>
      <c r="Z985" t="s">
        <v>1675</v>
      </c>
      <c r="AA985" t="s">
        <v>1675</v>
      </c>
    </row>
    <row r="986" spans="1:27" x14ac:dyDescent="0.35">
      <c r="A986" t="str">
        <f t="shared" si="31"/>
        <v>2108C2</v>
      </c>
      <c r="B986" t="str">
        <f t="shared" si="30"/>
        <v>2108</v>
      </c>
      <c r="C986" t="s">
        <v>1676</v>
      </c>
      <c r="D986" t="s">
        <v>1</v>
      </c>
      <c r="E986" t="s">
        <v>65</v>
      </c>
      <c r="F986" t="s">
        <v>66</v>
      </c>
      <c r="G986" t="s">
        <v>757</v>
      </c>
      <c r="H986" t="s">
        <v>42</v>
      </c>
      <c r="I986" t="s">
        <v>67</v>
      </c>
      <c r="J986" t="s">
        <v>1669</v>
      </c>
      <c r="M986" t="s">
        <v>106</v>
      </c>
      <c r="P986" t="s">
        <v>58</v>
      </c>
      <c r="Q986" t="s">
        <v>47</v>
      </c>
      <c r="R986" t="s">
        <v>48</v>
      </c>
      <c r="V986" t="s">
        <v>49</v>
      </c>
      <c r="X986" t="s">
        <v>49</v>
      </c>
      <c r="Y986" t="s">
        <v>70</v>
      </c>
      <c r="Z986" t="s">
        <v>1565</v>
      </c>
      <c r="AA986" t="s">
        <v>1565</v>
      </c>
    </row>
    <row r="987" spans="1:27" x14ac:dyDescent="0.35">
      <c r="A987" t="str">
        <f t="shared" si="31"/>
        <v>2108D7</v>
      </c>
      <c r="B987" t="str">
        <f t="shared" si="30"/>
        <v>2108</v>
      </c>
      <c r="C987" t="s">
        <v>1677</v>
      </c>
      <c r="D987" t="s">
        <v>6</v>
      </c>
      <c r="E987" t="s">
        <v>94</v>
      </c>
      <c r="F987" t="s">
        <v>111</v>
      </c>
      <c r="G987" t="s">
        <v>757</v>
      </c>
      <c r="H987" t="s">
        <v>42</v>
      </c>
      <c r="I987" t="s">
        <v>43</v>
      </c>
      <c r="J987" t="s">
        <v>1669</v>
      </c>
      <c r="M987" t="s">
        <v>106</v>
      </c>
      <c r="P987" t="s">
        <v>46</v>
      </c>
      <c r="Q987" t="s">
        <v>47</v>
      </c>
      <c r="R987" t="s">
        <v>48</v>
      </c>
      <c r="V987" t="s">
        <v>49</v>
      </c>
      <c r="X987" t="s">
        <v>49</v>
      </c>
      <c r="Y987" t="s">
        <v>59</v>
      </c>
      <c r="Z987" t="s">
        <v>1678</v>
      </c>
      <c r="AA987" t="s">
        <v>1678</v>
      </c>
    </row>
    <row r="988" spans="1:27" x14ac:dyDescent="0.35">
      <c r="A988" t="str">
        <f t="shared" si="31"/>
        <v>2107F2</v>
      </c>
      <c r="B988" t="str">
        <f t="shared" si="30"/>
        <v>2107</v>
      </c>
      <c r="C988" t="s">
        <v>1679</v>
      </c>
      <c r="D988" t="s">
        <v>4</v>
      </c>
      <c r="E988" t="s">
        <v>77</v>
      </c>
      <c r="F988" t="s">
        <v>78</v>
      </c>
      <c r="G988" t="s">
        <v>757</v>
      </c>
      <c r="H988" t="s">
        <v>42</v>
      </c>
      <c r="I988" t="s">
        <v>67</v>
      </c>
      <c r="J988" t="s">
        <v>1680</v>
      </c>
      <c r="M988" t="s">
        <v>106</v>
      </c>
      <c r="P988" t="s">
        <v>79</v>
      </c>
      <c r="Q988" t="s">
        <v>47</v>
      </c>
      <c r="R988" t="s">
        <v>48</v>
      </c>
      <c r="V988" t="s">
        <v>49</v>
      </c>
      <c r="X988" t="s">
        <v>49</v>
      </c>
      <c r="Y988" t="s">
        <v>74</v>
      </c>
      <c r="Z988" t="s">
        <v>1670</v>
      </c>
      <c r="AA988" t="s">
        <v>1670</v>
      </c>
    </row>
    <row r="989" spans="1:27" x14ac:dyDescent="0.35">
      <c r="A989" t="str">
        <f t="shared" si="31"/>
        <v>2107D4</v>
      </c>
      <c r="B989" t="str">
        <f t="shared" si="30"/>
        <v>2107</v>
      </c>
      <c r="C989" t="s">
        <v>1681</v>
      </c>
      <c r="D989" t="s">
        <v>3</v>
      </c>
      <c r="E989" t="s">
        <v>52</v>
      </c>
      <c r="F989" t="s">
        <v>53</v>
      </c>
      <c r="G989" t="s">
        <v>757</v>
      </c>
      <c r="H989" t="s">
        <v>42</v>
      </c>
      <c r="I989" t="s">
        <v>43</v>
      </c>
      <c r="J989" t="s">
        <v>1680</v>
      </c>
      <c r="K989" t="s">
        <v>56</v>
      </c>
      <c r="M989" t="s">
        <v>106</v>
      </c>
      <c r="P989" t="s">
        <v>58</v>
      </c>
      <c r="Q989" t="s">
        <v>47</v>
      </c>
      <c r="R989" t="s">
        <v>48</v>
      </c>
      <c r="V989" t="s">
        <v>49</v>
      </c>
      <c r="X989" t="s">
        <v>49</v>
      </c>
      <c r="Y989" t="s">
        <v>59</v>
      </c>
      <c r="Z989" t="s">
        <v>1651</v>
      </c>
      <c r="AA989" t="s">
        <v>1651</v>
      </c>
    </row>
    <row r="990" spans="1:27" x14ac:dyDescent="0.35">
      <c r="A990" t="str">
        <f t="shared" si="31"/>
        <v>2107D2</v>
      </c>
      <c r="B990" t="str">
        <f t="shared" si="30"/>
        <v>2107</v>
      </c>
      <c r="C990" t="s">
        <v>1682</v>
      </c>
      <c r="D990" t="s">
        <v>2</v>
      </c>
      <c r="E990" t="s">
        <v>62</v>
      </c>
      <c r="F990" t="s">
        <v>63</v>
      </c>
      <c r="G990" t="s">
        <v>757</v>
      </c>
      <c r="H990" t="s">
        <v>42</v>
      </c>
      <c r="I990" t="s">
        <v>43</v>
      </c>
      <c r="J990" t="s">
        <v>1680</v>
      </c>
      <c r="K990" t="s">
        <v>56</v>
      </c>
      <c r="M990" t="s">
        <v>106</v>
      </c>
      <c r="P990" t="s">
        <v>58</v>
      </c>
      <c r="Q990" t="s">
        <v>47</v>
      </c>
      <c r="R990" t="s">
        <v>48</v>
      </c>
      <c r="V990" t="s">
        <v>49</v>
      </c>
      <c r="X990" t="s">
        <v>49</v>
      </c>
      <c r="Y990" t="s">
        <v>59</v>
      </c>
      <c r="Z990" t="s">
        <v>1651</v>
      </c>
      <c r="AA990" t="s">
        <v>1651</v>
      </c>
    </row>
    <row r="991" spans="1:27" x14ac:dyDescent="0.35">
      <c r="A991" t="str">
        <f t="shared" si="31"/>
        <v>2107F3</v>
      </c>
      <c r="B991" t="str">
        <f t="shared" si="30"/>
        <v>2107</v>
      </c>
      <c r="C991" t="s">
        <v>1683</v>
      </c>
      <c r="D991" t="s">
        <v>5</v>
      </c>
      <c r="E991" t="s">
        <v>40</v>
      </c>
      <c r="F991" t="s">
        <v>73</v>
      </c>
      <c r="G991" t="s">
        <v>757</v>
      </c>
      <c r="H991" t="s">
        <v>42</v>
      </c>
      <c r="I991" t="s">
        <v>67</v>
      </c>
      <c r="J991" t="s">
        <v>1680</v>
      </c>
      <c r="M991" t="s">
        <v>106</v>
      </c>
      <c r="P991" t="s">
        <v>58</v>
      </c>
      <c r="Q991" t="s">
        <v>47</v>
      </c>
      <c r="R991" t="s">
        <v>48</v>
      </c>
      <c r="V991" t="s">
        <v>49</v>
      </c>
      <c r="X991" t="s">
        <v>49</v>
      </c>
      <c r="Y991" t="s">
        <v>74</v>
      </c>
      <c r="Z991" t="s">
        <v>1684</v>
      </c>
      <c r="AA991" t="s">
        <v>1684</v>
      </c>
    </row>
    <row r="992" spans="1:27" x14ac:dyDescent="0.35">
      <c r="A992" t="str">
        <f t="shared" si="31"/>
        <v>2107C2</v>
      </c>
      <c r="B992" t="str">
        <f t="shared" si="30"/>
        <v>2107</v>
      </c>
      <c r="C992" t="s">
        <v>1685</v>
      </c>
      <c r="D992" t="s">
        <v>1</v>
      </c>
      <c r="E992" t="s">
        <v>65</v>
      </c>
      <c r="F992" t="s">
        <v>66</v>
      </c>
      <c r="G992" t="s">
        <v>757</v>
      </c>
      <c r="H992" t="s">
        <v>42</v>
      </c>
      <c r="I992" t="s">
        <v>67</v>
      </c>
      <c r="J992" t="s">
        <v>1680</v>
      </c>
      <c r="M992" t="s">
        <v>106</v>
      </c>
      <c r="P992" t="s">
        <v>58</v>
      </c>
      <c r="Q992" t="s">
        <v>47</v>
      </c>
      <c r="R992" t="s">
        <v>48</v>
      </c>
      <c r="V992" t="s">
        <v>49</v>
      </c>
      <c r="X992" t="s">
        <v>49</v>
      </c>
      <c r="Y992" t="s">
        <v>70</v>
      </c>
      <c r="Z992" t="s">
        <v>1565</v>
      </c>
      <c r="AA992" t="s">
        <v>1565</v>
      </c>
    </row>
    <row r="993" spans="1:27" x14ac:dyDescent="0.35">
      <c r="A993" t="str">
        <f t="shared" si="31"/>
        <v>2107D7</v>
      </c>
      <c r="B993" t="str">
        <f t="shared" si="30"/>
        <v>2107</v>
      </c>
      <c r="C993" t="s">
        <v>1686</v>
      </c>
      <c r="D993" t="s">
        <v>6</v>
      </c>
      <c r="E993" t="s">
        <v>94</v>
      </c>
      <c r="F993" t="s">
        <v>111</v>
      </c>
      <c r="G993" t="s">
        <v>757</v>
      </c>
      <c r="H993" t="s">
        <v>42</v>
      </c>
      <c r="I993" t="s">
        <v>43</v>
      </c>
      <c r="J993" t="s">
        <v>1680</v>
      </c>
      <c r="M993" t="s">
        <v>106</v>
      </c>
      <c r="P993" t="s">
        <v>46</v>
      </c>
      <c r="Q993" t="s">
        <v>47</v>
      </c>
      <c r="R993" t="s">
        <v>48</v>
      </c>
      <c r="V993" t="s">
        <v>49</v>
      </c>
      <c r="X993" t="s">
        <v>49</v>
      </c>
      <c r="Y993" t="s">
        <v>59</v>
      </c>
      <c r="Z993" t="s">
        <v>1678</v>
      </c>
      <c r="AA993" t="s">
        <v>1678</v>
      </c>
    </row>
    <row r="994" spans="1:27" x14ac:dyDescent="0.35">
      <c r="A994" t="str">
        <f t="shared" si="31"/>
        <v>2106F2</v>
      </c>
      <c r="B994" t="str">
        <f t="shared" si="30"/>
        <v>2106</v>
      </c>
      <c r="C994" t="s">
        <v>1687</v>
      </c>
      <c r="D994" t="s">
        <v>4</v>
      </c>
      <c r="E994" t="s">
        <v>77</v>
      </c>
      <c r="F994" t="s">
        <v>78</v>
      </c>
      <c r="G994" t="s">
        <v>757</v>
      </c>
      <c r="H994" t="s">
        <v>42</v>
      </c>
      <c r="I994" t="s">
        <v>67</v>
      </c>
      <c r="J994" t="s">
        <v>1688</v>
      </c>
      <c r="M994" t="s">
        <v>106</v>
      </c>
      <c r="P994" t="s">
        <v>189</v>
      </c>
      <c r="Q994" t="s">
        <v>47</v>
      </c>
      <c r="R994" t="s">
        <v>48</v>
      </c>
      <c r="V994" t="s">
        <v>49</v>
      </c>
      <c r="X994" t="s">
        <v>49</v>
      </c>
      <c r="Y994" t="s">
        <v>74</v>
      </c>
      <c r="Z994" t="s">
        <v>1689</v>
      </c>
      <c r="AA994" t="s">
        <v>1689</v>
      </c>
    </row>
    <row r="995" spans="1:27" x14ac:dyDescent="0.35">
      <c r="A995" t="str">
        <f t="shared" si="31"/>
        <v>2106D4</v>
      </c>
      <c r="B995" t="str">
        <f t="shared" si="30"/>
        <v>2106</v>
      </c>
      <c r="C995" t="s">
        <v>1690</v>
      </c>
      <c r="D995" t="s">
        <v>3</v>
      </c>
      <c r="E995" t="s">
        <v>52</v>
      </c>
      <c r="F995" t="s">
        <v>53</v>
      </c>
      <c r="G995" t="s">
        <v>757</v>
      </c>
      <c r="H995" t="s">
        <v>42</v>
      </c>
      <c r="I995" t="s">
        <v>43</v>
      </c>
      <c r="J995" t="s">
        <v>1688</v>
      </c>
      <c r="K995" t="s">
        <v>56</v>
      </c>
      <c r="M995" t="s">
        <v>106</v>
      </c>
      <c r="P995" t="s">
        <v>69</v>
      </c>
      <c r="Q995" t="s">
        <v>47</v>
      </c>
      <c r="R995" t="s">
        <v>48</v>
      </c>
      <c r="V995" t="s">
        <v>49</v>
      </c>
      <c r="X995" t="s">
        <v>49</v>
      </c>
      <c r="Y995" t="s">
        <v>59</v>
      </c>
      <c r="Z995" t="s">
        <v>1672</v>
      </c>
      <c r="AA995" t="s">
        <v>1691</v>
      </c>
    </row>
    <row r="996" spans="1:27" x14ac:dyDescent="0.35">
      <c r="A996" t="str">
        <f t="shared" si="31"/>
        <v>2106D2</v>
      </c>
      <c r="B996" t="str">
        <f t="shared" si="30"/>
        <v>2106</v>
      </c>
      <c r="C996" t="s">
        <v>1692</v>
      </c>
      <c r="D996" t="s">
        <v>2</v>
      </c>
      <c r="E996" t="s">
        <v>62</v>
      </c>
      <c r="F996" t="s">
        <v>63</v>
      </c>
      <c r="G996" t="s">
        <v>757</v>
      </c>
      <c r="H996" t="s">
        <v>42</v>
      </c>
      <c r="I996" t="s">
        <v>43</v>
      </c>
      <c r="J996" t="s">
        <v>1688</v>
      </c>
      <c r="K996" t="s">
        <v>56</v>
      </c>
      <c r="M996" t="s">
        <v>106</v>
      </c>
      <c r="P996" t="s">
        <v>69</v>
      </c>
      <c r="Q996" t="s">
        <v>47</v>
      </c>
      <c r="R996" t="s">
        <v>48</v>
      </c>
      <c r="V996" t="s">
        <v>49</v>
      </c>
      <c r="X996" t="s">
        <v>49</v>
      </c>
      <c r="Y996" t="s">
        <v>59</v>
      </c>
      <c r="Z996" t="s">
        <v>1672</v>
      </c>
      <c r="AA996" t="s">
        <v>1693</v>
      </c>
    </row>
    <row r="997" spans="1:27" x14ac:dyDescent="0.35">
      <c r="A997" t="str">
        <f t="shared" si="31"/>
        <v>2106F3</v>
      </c>
      <c r="B997" t="str">
        <f t="shared" si="30"/>
        <v>2106</v>
      </c>
      <c r="C997" t="s">
        <v>1694</v>
      </c>
      <c r="D997" t="s">
        <v>5</v>
      </c>
      <c r="E997" t="s">
        <v>40</v>
      </c>
      <c r="F997" t="s">
        <v>73</v>
      </c>
      <c r="G997" t="s">
        <v>757</v>
      </c>
      <c r="H997" t="s">
        <v>42</v>
      </c>
      <c r="I997" t="s">
        <v>67</v>
      </c>
      <c r="J997" t="s">
        <v>1688</v>
      </c>
      <c r="M997" t="s">
        <v>106</v>
      </c>
      <c r="P997" t="s">
        <v>58</v>
      </c>
      <c r="Q997" t="s">
        <v>47</v>
      </c>
      <c r="R997" t="s">
        <v>48</v>
      </c>
      <c r="V997" t="s">
        <v>49</v>
      </c>
      <c r="X997" t="s">
        <v>49</v>
      </c>
      <c r="Y997" t="s">
        <v>74</v>
      </c>
      <c r="Z997" t="s">
        <v>1684</v>
      </c>
      <c r="AA997" t="s">
        <v>1684</v>
      </c>
    </row>
    <row r="998" spans="1:27" x14ac:dyDescent="0.35">
      <c r="A998" t="str">
        <f t="shared" si="31"/>
        <v>2106C2</v>
      </c>
      <c r="B998" t="str">
        <f t="shared" si="30"/>
        <v>2106</v>
      </c>
      <c r="C998" t="s">
        <v>1695</v>
      </c>
      <c r="D998" t="s">
        <v>1</v>
      </c>
      <c r="E998" t="s">
        <v>65</v>
      </c>
      <c r="F998" t="s">
        <v>66</v>
      </c>
      <c r="G998" t="s">
        <v>757</v>
      </c>
      <c r="H998" t="s">
        <v>42</v>
      </c>
      <c r="I998" t="s">
        <v>67</v>
      </c>
      <c r="J998" t="s">
        <v>1688</v>
      </c>
      <c r="M998" t="s">
        <v>106</v>
      </c>
      <c r="P998" t="s">
        <v>58</v>
      </c>
      <c r="Q998" t="s">
        <v>47</v>
      </c>
      <c r="R998" t="s">
        <v>48</v>
      </c>
      <c r="V998" t="s">
        <v>49</v>
      </c>
      <c r="X998" t="s">
        <v>49</v>
      </c>
      <c r="Y998" t="s">
        <v>70</v>
      </c>
      <c r="Z998" t="s">
        <v>1565</v>
      </c>
      <c r="AA998" t="s">
        <v>1565</v>
      </c>
    </row>
    <row r="999" spans="1:27" x14ac:dyDescent="0.35">
      <c r="A999" t="str">
        <f t="shared" si="31"/>
        <v>2106D7</v>
      </c>
      <c r="B999" t="str">
        <f t="shared" si="30"/>
        <v>2106</v>
      </c>
      <c r="C999" t="s">
        <v>1696</v>
      </c>
      <c r="D999" t="s">
        <v>6</v>
      </c>
      <c r="E999" t="s">
        <v>94</v>
      </c>
      <c r="F999" t="s">
        <v>111</v>
      </c>
      <c r="G999" t="s">
        <v>757</v>
      </c>
      <c r="H999" t="s">
        <v>42</v>
      </c>
      <c r="I999" t="s">
        <v>43</v>
      </c>
      <c r="J999" t="s">
        <v>1688</v>
      </c>
      <c r="M999" t="s">
        <v>106</v>
      </c>
      <c r="P999" t="s">
        <v>46</v>
      </c>
      <c r="Q999" t="s">
        <v>47</v>
      </c>
      <c r="R999" t="s">
        <v>48</v>
      </c>
      <c r="V999" t="s">
        <v>49</v>
      </c>
      <c r="X999" t="s">
        <v>49</v>
      </c>
      <c r="Y999" t="s">
        <v>59</v>
      </c>
      <c r="Z999" t="s">
        <v>1678</v>
      </c>
      <c r="AA999" t="s">
        <v>1678</v>
      </c>
    </row>
    <row r="1000" spans="1:27" x14ac:dyDescent="0.35">
      <c r="A1000" t="str">
        <f t="shared" si="31"/>
        <v>2105F2</v>
      </c>
      <c r="B1000" t="str">
        <f t="shared" si="30"/>
        <v>2105</v>
      </c>
      <c r="C1000" t="s">
        <v>1697</v>
      </c>
      <c r="D1000" t="s">
        <v>4</v>
      </c>
      <c r="E1000" t="s">
        <v>77</v>
      </c>
      <c r="F1000" t="s">
        <v>78</v>
      </c>
      <c r="G1000" t="s">
        <v>757</v>
      </c>
      <c r="H1000" t="s">
        <v>42</v>
      </c>
      <c r="I1000" t="s">
        <v>67</v>
      </c>
      <c r="J1000" t="s">
        <v>1698</v>
      </c>
      <c r="M1000" t="s">
        <v>106</v>
      </c>
      <c r="P1000" t="s">
        <v>178</v>
      </c>
      <c r="Q1000" t="s">
        <v>47</v>
      </c>
      <c r="R1000" t="s">
        <v>48</v>
      </c>
      <c r="V1000" t="s">
        <v>49</v>
      </c>
      <c r="X1000" t="s">
        <v>49</v>
      </c>
      <c r="Y1000" t="s">
        <v>74</v>
      </c>
      <c r="Z1000" t="s">
        <v>1689</v>
      </c>
      <c r="AA1000" t="s">
        <v>1689</v>
      </c>
    </row>
    <row r="1001" spans="1:27" x14ac:dyDescent="0.35">
      <c r="A1001" t="str">
        <f t="shared" si="31"/>
        <v>2105D4</v>
      </c>
      <c r="B1001" t="str">
        <f t="shared" si="30"/>
        <v>2105</v>
      </c>
      <c r="C1001" t="s">
        <v>1699</v>
      </c>
      <c r="D1001" t="s">
        <v>3</v>
      </c>
      <c r="E1001" t="s">
        <v>52</v>
      </c>
      <c r="F1001" t="s">
        <v>53</v>
      </c>
      <c r="G1001" t="s">
        <v>757</v>
      </c>
      <c r="H1001" t="s">
        <v>42</v>
      </c>
      <c r="I1001" t="s">
        <v>43</v>
      </c>
      <c r="J1001" t="s">
        <v>1698</v>
      </c>
      <c r="K1001" t="s">
        <v>56</v>
      </c>
      <c r="M1001" t="s">
        <v>106</v>
      </c>
      <c r="P1001" t="s">
        <v>58</v>
      </c>
      <c r="Q1001" t="s">
        <v>47</v>
      </c>
      <c r="R1001" t="s">
        <v>48</v>
      </c>
      <c r="V1001" t="s">
        <v>49</v>
      </c>
      <c r="X1001" t="s">
        <v>49</v>
      </c>
      <c r="Y1001" t="s">
        <v>59</v>
      </c>
      <c r="Z1001" t="s">
        <v>995</v>
      </c>
      <c r="AA1001" t="s">
        <v>995</v>
      </c>
    </row>
    <row r="1002" spans="1:27" x14ac:dyDescent="0.35">
      <c r="A1002" t="str">
        <f t="shared" si="31"/>
        <v>2105D2</v>
      </c>
      <c r="B1002" t="str">
        <f t="shared" si="30"/>
        <v>2105</v>
      </c>
      <c r="C1002" t="s">
        <v>1700</v>
      </c>
      <c r="D1002" t="s">
        <v>2</v>
      </c>
      <c r="E1002" t="s">
        <v>62</v>
      </c>
      <c r="F1002" t="s">
        <v>63</v>
      </c>
      <c r="G1002" t="s">
        <v>757</v>
      </c>
      <c r="H1002" t="s">
        <v>42</v>
      </c>
      <c r="I1002" t="s">
        <v>43</v>
      </c>
      <c r="J1002" t="s">
        <v>1698</v>
      </c>
      <c r="K1002" t="s">
        <v>56</v>
      </c>
      <c r="M1002" t="s">
        <v>106</v>
      </c>
      <c r="P1002" t="s">
        <v>58</v>
      </c>
      <c r="Q1002" t="s">
        <v>47</v>
      </c>
      <c r="R1002" t="s">
        <v>48</v>
      </c>
      <c r="V1002" t="s">
        <v>49</v>
      </c>
      <c r="X1002" t="s">
        <v>49</v>
      </c>
      <c r="Y1002" t="s">
        <v>59</v>
      </c>
      <c r="Z1002" t="s">
        <v>995</v>
      </c>
      <c r="AA1002" t="s">
        <v>995</v>
      </c>
    </row>
    <row r="1003" spans="1:27" x14ac:dyDescent="0.35">
      <c r="A1003" t="str">
        <f t="shared" si="31"/>
        <v>2105F3</v>
      </c>
      <c r="B1003" t="str">
        <f t="shared" si="30"/>
        <v>2105</v>
      </c>
      <c r="C1003" t="s">
        <v>1701</v>
      </c>
      <c r="D1003" t="s">
        <v>5</v>
      </c>
      <c r="E1003" t="s">
        <v>40</v>
      </c>
      <c r="F1003" t="s">
        <v>73</v>
      </c>
      <c r="G1003" t="s">
        <v>757</v>
      </c>
      <c r="H1003" t="s">
        <v>42</v>
      </c>
      <c r="I1003" t="s">
        <v>67</v>
      </c>
      <c r="J1003" t="s">
        <v>1698</v>
      </c>
      <c r="M1003" t="s">
        <v>106</v>
      </c>
      <c r="P1003" t="s">
        <v>69</v>
      </c>
      <c r="Q1003" t="s">
        <v>47</v>
      </c>
      <c r="R1003" t="s">
        <v>48</v>
      </c>
      <c r="V1003" t="s">
        <v>49</v>
      </c>
      <c r="X1003" t="s">
        <v>49</v>
      </c>
      <c r="Y1003" t="s">
        <v>74</v>
      </c>
      <c r="Z1003" t="s">
        <v>1702</v>
      </c>
      <c r="AA1003" t="s">
        <v>1702</v>
      </c>
    </row>
    <row r="1004" spans="1:27" x14ac:dyDescent="0.35">
      <c r="A1004" t="str">
        <f t="shared" si="31"/>
        <v>2105C2</v>
      </c>
      <c r="B1004" t="str">
        <f t="shared" si="30"/>
        <v>2105</v>
      </c>
      <c r="C1004" t="s">
        <v>1703</v>
      </c>
      <c r="D1004" t="s">
        <v>1</v>
      </c>
      <c r="E1004" t="s">
        <v>65</v>
      </c>
      <c r="F1004" t="s">
        <v>66</v>
      </c>
      <c r="G1004" t="s">
        <v>757</v>
      </c>
      <c r="H1004" t="s">
        <v>42</v>
      </c>
      <c r="I1004" t="s">
        <v>67</v>
      </c>
      <c r="J1004" t="s">
        <v>1698</v>
      </c>
      <c r="M1004" t="s">
        <v>106</v>
      </c>
      <c r="P1004" t="s">
        <v>58</v>
      </c>
      <c r="Q1004" t="s">
        <v>47</v>
      </c>
      <c r="R1004" t="s">
        <v>48</v>
      </c>
      <c r="V1004" t="s">
        <v>49</v>
      </c>
      <c r="X1004" t="s">
        <v>49</v>
      </c>
      <c r="Y1004" t="s">
        <v>70</v>
      </c>
      <c r="Z1004" t="s">
        <v>1565</v>
      </c>
      <c r="AA1004" t="s">
        <v>1565</v>
      </c>
    </row>
    <row r="1005" spans="1:27" x14ac:dyDescent="0.35">
      <c r="A1005" t="str">
        <f t="shared" si="31"/>
        <v>2105D7</v>
      </c>
      <c r="B1005" t="str">
        <f t="shared" si="30"/>
        <v>2105</v>
      </c>
      <c r="C1005" t="s">
        <v>1704</v>
      </c>
      <c r="D1005" t="s">
        <v>6</v>
      </c>
      <c r="E1005" t="s">
        <v>94</v>
      </c>
      <c r="F1005" t="s">
        <v>111</v>
      </c>
      <c r="G1005" t="s">
        <v>757</v>
      </c>
      <c r="H1005" t="s">
        <v>42</v>
      </c>
      <c r="I1005" t="s">
        <v>43</v>
      </c>
      <c r="J1005" t="s">
        <v>1698</v>
      </c>
      <c r="M1005" t="s">
        <v>106</v>
      </c>
      <c r="P1005" t="s">
        <v>46</v>
      </c>
      <c r="Q1005" t="s">
        <v>47</v>
      </c>
      <c r="R1005" t="s">
        <v>48</v>
      </c>
      <c r="V1005" t="s">
        <v>49</v>
      </c>
      <c r="X1005" t="s">
        <v>49</v>
      </c>
      <c r="Y1005" t="s">
        <v>59</v>
      </c>
      <c r="Z1005" t="s">
        <v>1705</v>
      </c>
      <c r="AA1005" t="s">
        <v>1705</v>
      </c>
    </row>
    <row r="1006" spans="1:27" x14ac:dyDescent="0.35">
      <c r="A1006" t="str">
        <f t="shared" si="31"/>
        <v>2104F2</v>
      </c>
      <c r="B1006" t="str">
        <f t="shared" si="30"/>
        <v>2104</v>
      </c>
      <c r="C1006" t="s">
        <v>1706</v>
      </c>
      <c r="D1006" t="s">
        <v>4</v>
      </c>
      <c r="E1006" t="s">
        <v>77</v>
      </c>
      <c r="F1006" t="s">
        <v>78</v>
      </c>
      <c r="G1006" t="s">
        <v>757</v>
      </c>
      <c r="H1006" t="s">
        <v>42</v>
      </c>
      <c r="I1006" t="s">
        <v>67</v>
      </c>
      <c r="J1006" t="s">
        <v>1707</v>
      </c>
      <c r="M1006" t="s">
        <v>106</v>
      </c>
      <c r="P1006" t="s">
        <v>138</v>
      </c>
      <c r="Q1006" t="s">
        <v>47</v>
      </c>
      <c r="R1006" t="s">
        <v>48</v>
      </c>
      <c r="V1006" t="s">
        <v>49</v>
      </c>
      <c r="X1006" t="s">
        <v>49</v>
      </c>
      <c r="Y1006" t="s">
        <v>74</v>
      </c>
      <c r="Z1006" t="s">
        <v>1689</v>
      </c>
      <c r="AA1006" t="s">
        <v>1689</v>
      </c>
    </row>
    <row r="1007" spans="1:27" x14ac:dyDescent="0.35">
      <c r="A1007" t="str">
        <f t="shared" si="31"/>
        <v>2104D4</v>
      </c>
      <c r="B1007" t="str">
        <f t="shared" si="30"/>
        <v>2104</v>
      </c>
      <c r="C1007" t="s">
        <v>1708</v>
      </c>
      <c r="D1007" t="s">
        <v>3</v>
      </c>
      <c r="E1007" t="s">
        <v>52</v>
      </c>
      <c r="F1007" t="s">
        <v>53</v>
      </c>
      <c r="G1007" t="s">
        <v>757</v>
      </c>
      <c r="H1007" t="s">
        <v>42</v>
      </c>
      <c r="I1007" t="s">
        <v>43</v>
      </c>
      <c r="J1007" t="s">
        <v>1707</v>
      </c>
      <c r="K1007" t="s">
        <v>56</v>
      </c>
      <c r="M1007" t="s">
        <v>106</v>
      </c>
      <c r="P1007" t="s">
        <v>58</v>
      </c>
      <c r="Q1007" t="s">
        <v>47</v>
      </c>
      <c r="R1007" t="s">
        <v>48</v>
      </c>
      <c r="V1007" t="s">
        <v>49</v>
      </c>
      <c r="X1007" t="s">
        <v>49</v>
      </c>
      <c r="Y1007" t="s">
        <v>59</v>
      </c>
      <c r="Z1007" t="s">
        <v>1709</v>
      </c>
      <c r="AA1007" t="s">
        <v>1709</v>
      </c>
    </row>
    <row r="1008" spans="1:27" x14ac:dyDescent="0.35">
      <c r="A1008" t="str">
        <f t="shared" si="31"/>
        <v>2104D2</v>
      </c>
      <c r="B1008" t="str">
        <f t="shared" si="30"/>
        <v>2104</v>
      </c>
      <c r="C1008" t="s">
        <v>1710</v>
      </c>
      <c r="D1008" t="s">
        <v>2</v>
      </c>
      <c r="E1008" t="s">
        <v>62</v>
      </c>
      <c r="F1008" t="s">
        <v>63</v>
      </c>
      <c r="G1008" t="s">
        <v>757</v>
      </c>
      <c r="H1008" t="s">
        <v>42</v>
      </c>
      <c r="I1008" t="s">
        <v>43</v>
      </c>
      <c r="J1008" t="s">
        <v>1707</v>
      </c>
      <c r="K1008" t="s">
        <v>56</v>
      </c>
      <c r="M1008" t="s">
        <v>106</v>
      </c>
      <c r="P1008" t="s">
        <v>58</v>
      </c>
      <c r="Q1008" t="s">
        <v>47</v>
      </c>
      <c r="R1008" t="s">
        <v>48</v>
      </c>
      <c r="V1008" t="s">
        <v>49</v>
      </c>
      <c r="X1008" t="s">
        <v>49</v>
      </c>
      <c r="Y1008" t="s">
        <v>59</v>
      </c>
      <c r="Z1008" t="s">
        <v>1709</v>
      </c>
      <c r="AA1008" t="s">
        <v>1709</v>
      </c>
    </row>
    <row r="1009" spans="1:27" x14ac:dyDescent="0.35">
      <c r="A1009" t="str">
        <f t="shared" si="31"/>
        <v>2104F3</v>
      </c>
      <c r="B1009" t="str">
        <f t="shared" si="30"/>
        <v>2104</v>
      </c>
      <c r="C1009" t="s">
        <v>1711</v>
      </c>
      <c r="D1009" t="s">
        <v>5</v>
      </c>
      <c r="E1009" t="s">
        <v>40</v>
      </c>
      <c r="F1009" t="s">
        <v>73</v>
      </c>
      <c r="G1009" t="s">
        <v>757</v>
      </c>
      <c r="H1009" t="s">
        <v>42</v>
      </c>
      <c r="I1009" t="s">
        <v>67</v>
      </c>
      <c r="J1009" t="s">
        <v>1707</v>
      </c>
      <c r="M1009" t="s">
        <v>106</v>
      </c>
      <c r="P1009" t="s">
        <v>58</v>
      </c>
      <c r="Q1009" t="s">
        <v>47</v>
      </c>
      <c r="R1009" t="s">
        <v>48</v>
      </c>
      <c r="V1009" t="s">
        <v>49</v>
      </c>
      <c r="X1009" t="s">
        <v>49</v>
      </c>
      <c r="Y1009" t="s">
        <v>74</v>
      </c>
      <c r="Z1009" t="s">
        <v>1712</v>
      </c>
      <c r="AA1009" t="s">
        <v>1712</v>
      </c>
    </row>
    <row r="1010" spans="1:27" x14ac:dyDescent="0.35">
      <c r="A1010" t="str">
        <f t="shared" si="31"/>
        <v>2104C2</v>
      </c>
      <c r="B1010" t="str">
        <f t="shared" si="30"/>
        <v>2104</v>
      </c>
      <c r="C1010" t="s">
        <v>1713</v>
      </c>
      <c r="D1010" t="s">
        <v>1</v>
      </c>
      <c r="E1010" t="s">
        <v>65</v>
      </c>
      <c r="F1010" t="s">
        <v>66</v>
      </c>
      <c r="G1010" t="s">
        <v>757</v>
      </c>
      <c r="H1010" t="s">
        <v>42</v>
      </c>
      <c r="I1010" t="s">
        <v>67</v>
      </c>
      <c r="J1010" t="s">
        <v>1707</v>
      </c>
      <c r="M1010" t="s">
        <v>106</v>
      </c>
      <c r="P1010" t="s">
        <v>58</v>
      </c>
      <c r="Q1010" t="s">
        <v>47</v>
      </c>
      <c r="R1010" t="s">
        <v>48</v>
      </c>
      <c r="V1010" t="s">
        <v>49</v>
      </c>
      <c r="X1010" t="s">
        <v>49</v>
      </c>
      <c r="Y1010" t="s">
        <v>70</v>
      </c>
      <c r="Z1010" t="s">
        <v>1565</v>
      </c>
      <c r="AA1010" t="s">
        <v>1565</v>
      </c>
    </row>
    <row r="1011" spans="1:27" x14ac:dyDescent="0.35">
      <c r="A1011" t="str">
        <f t="shared" si="31"/>
        <v>2104D7</v>
      </c>
      <c r="B1011" t="str">
        <f t="shared" si="30"/>
        <v>2104</v>
      </c>
      <c r="C1011" t="s">
        <v>1714</v>
      </c>
      <c r="D1011" t="s">
        <v>6</v>
      </c>
      <c r="E1011" t="s">
        <v>94</v>
      </c>
      <c r="F1011" t="s">
        <v>111</v>
      </c>
      <c r="G1011" t="s">
        <v>757</v>
      </c>
      <c r="H1011" t="s">
        <v>42</v>
      </c>
      <c r="I1011" t="s">
        <v>43</v>
      </c>
      <c r="J1011" t="s">
        <v>1707</v>
      </c>
      <c r="M1011" t="s">
        <v>106</v>
      </c>
      <c r="P1011" t="s">
        <v>46</v>
      </c>
      <c r="Q1011" t="s">
        <v>47</v>
      </c>
      <c r="R1011" t="s">
        <v>48</v>
      </c>
      <c r="V1011" t="s">
        <v>49</v>
      </c>
      <c r="X1011" t="s">
        <v>49</v>
      </c>
      <c r="Y1011" t="s">
        <v>59</v>
      </c>
      <c r="Z1011" t="s">
        <v>1705</v>
      </c>
      <c r="AA1011" t="s">
        <v>1705</v>
      </c>
    </row>
    <row r="1012" spans="1:27" x14ac:dyDescent="0.35">
      <c r="A1012" t="str">
        <f t="shared" si="31"/>
        <v>2103F2</v>
      </c>
      <c r="B1012" t="str">
        <f t="shared" si="30"/>
        <v>2103</v>
      </c>
      <c r="C1012" t="s">
        <v>1715</v>
      </c>
      <c r="D1012" t="s">
        <v>4</v>
      </c>
      <c r="E1012" t="s">
        <v>77</v>
      </c>
      <c r="F1012" t="s">
        <v>78</v>
      </c>
      <c r="G1012" t="s">
        <v>757</v>
      </c>
      <c r="H1012" t="s">
        <v>42</v>
      </c>
      <c r="I1012" t="s">
        <v>67</v>
      </c>
      <c r="J1012" t="s">
        <v>1716</v>
      </c>
      <c r="M1012" t="s">
        <v>106</v>
      </c>
      <c r="P1012" t="s">
        <v>91</v>
      </c>
      <c r="Q1012" t="s">
        <v>47</v>
      </c>
      <c r="R1012" t="s">
        <v>48</v>
      </c>
      <c r="V1012" t="s">
        <v>49</v>
      </c>
      <c r="X1012" t="s">
        <v>49</v>
      </c>
      <c r="Y1012" t="s">
        <v>74</v>
      </c>
      <c r="Z1012" t="s">
        <v>1717</v>
      </c>
      <c r="AA1012" t="s">
        <v>1717</v>
      </c>
    </row>
    <row r="1013" spans="1:27" x14ac:dyDescent="0.35">
      <c r="A1013" t="str">
        <f t="shared" si="31"/>
        <v>2103D4</v>
      </c>
      <c r="B1013" t="str">
        <f t="shared" si="30"/>
        <v>2103</v>
      </c>
      <c r="C1013" t="s">
        <v>1718</v>
      </c>
      <c r="D1013" t="s">
        <v>3</v>
      </c>
      <c r="E1013" t="s">
        <v>52</v>
      </c>
      <c r="F1013" t="s">
        <v>53</v>
      </c>
      <c r="G1013" t="s">
        <v>757</v>
      </c>
      <c r="H1013" t="s">
        <v>42</v>
      </c>
      <c r="I1013" t="s">
        <v>43</v>
      </c>
      <c r="J1013" t="s">
        <v>1716</v>
      </c>
      <c r="K1013" t="s">
        <v>56</v>
      </c>
      <c r="M1013" t="s">
        <v>106</v>
      </c>
      <c r="P1013" t="s">
        <v>69</v>
      </c>
      <c r="Q1013" t="s">
        <v>47</v>
      </c>
      <c r="R1013" t="s">
        <v>48</v>
      </c>
      <c r="V1013" t="s">
        <v>49</v>
      </c>
      <c r="X1013" t="s">
        <v>49</v>
      </c>
      <c r="Y1013" t="s">
        <v>59</v>
      </c>
      <c r="Z1013" t="s">
        <v>1719</v>
      </c>
      <c r="AA1013" t="s">
        <v>1719</v>
      </c>
    </row>
    <row r="1014" spans="1:27" x14ac:dyDescent="0.35">
      <c r="A1014" t="str">
        <f t="shared" si="31"/>
        <v>2103D2</v>
      </c>
      <c r="B1014" t="str">
        <f t="shared" si="30"/>
        <v>2103</v>
      </c>
      <c r="C1014" t="s">
        <v>1720</v>
      </c>
      <c r="D1014" t="s">
        <v>2</v>
      </c>
      <c r="E1014" t="s">
        <v>62</v>
      </c>
      <c r="F1014" t="s">
        <v>63</v>
      </c>
      <c r="G1014" t="s">
        <v>757</v>
      </c>
      <c r="H1014" t="s">
        <v>42</v>
      </c>
      <c r="I1014" t="s">
        <v>43</v>
      </c>
      <c r="J1014" t="s">
        <v>1716</v>
      </c>
      <c r="K1014" t="s">
        <v>56</v>
      </c>
      <c r="M1014" t="s">
        <v>106</v>
      </c>
      <c r="P1014" t="s">
        <v>69</v>
      </c>
      <c r="Q1014" t="s">
        <v>47</v>
      </c>
      <c r="R1014" t="s">
        <v>48</v>
      </c>
      <c r="V1014" t="s">
        <v>49</v>
      </c>
      <c r="X1014" t="s">
        <v>49</v>
      </c>
      <c r="Y1014" t="s">
        <v>59</v>
      </c>
      <c r="Z1014" t="s">
        <v>1721</v>
      </c>
      <c r="AA1014" t="s">
        <v>1721</v>
      </c>
    </row>
    <row r="1015" spans="1:27" x14ac:dyDescent="0.35">
      <c r="A1015" t="str">
        <f t="shared" si="31"/>
        <v>2103F3</v>
      </c>
      <c r="B1015" t="str">
        <f t="shared" si="30"/>
        <v>2103</v>
      </c>
      <c r="C1015" t="s">
        <v>1722</v>
      </c>
      <c r="D1015" t="s">
        <v>5</v>
      </c>
      <c r="E1015" t="s">
        <v>40</v>
      </c>
      <c r="F1015" t="s">
        <v>73</v>
      </c>
      <c r="G1015" t="s">
        <v>757</v>
      </c>
      <c r="H1015" t="s">
        <v>42</v>
      </c>
      <c r="I1015" t="s">
        <v>67</v>
      </c>
      <c r="J1015" t="s">
        <v>1716</v>
      </c>
      <c r="M1015" t="s">
        <v>106</v>
      </c>
      <c r="P1015" t="s">
        <v>58</v>
      </c>
      <c r="Q1015" t="s">
        <v>47</v>
      </c>
      <c r="R1015" t="s">
        <v>48</v>
      </c>
      <c r="V1015" t="s">
        <v>49</v>
      </c>
      <c r="X1015" t="s">
        <v>49</v>
      </c>
      <c r="Y1015" t="s">
        <v>74</v>
      </c>
      <c r="Z1015" t="s">
        <v>1712</v>
      </c>
      <c r="AA1015" t="s">
        <v>1712</v>
      </c>
    </row>
    <row r="1016" spans="1:27" x14ac:dyDescent="0.35">
      <c r="A1016" t="str">
        <f t="shared" si="31"/>
        <v>2103C2</v>
      </c>
      <c r="B1016" t="str">
        <f t="shared" si="30"/>
        <v>2103</v>
      </c>
      <c r="C1016" t="s">
        <v>1723</v>
      </c>
      <c r="D1016" t="s">
        <v>1</v>
      </c>
      <c r="E1016" t="s">
        <v>65</v>
      </c>
      <c r="F1016" t="s">
        <v>66</v>
      </c>
      <c r="G1016" t="s">
        <v>757</v>
      </c>
      <c r="H1016" t="s">
        <v>42</v>
      </c>
      <c r="I1016" t="s">
        <v>67</v>
      </c>
      <c r="J1016" t="s">
        <v>1716</v>
      </c>
      <c r="M1016" t="s">
        <v>106</v>
      </c>
      <c r="P1016" t="s">
        <v>58</v>
      </c>
      <c r="Q1016" t="s">
        <v>47</v>
      </c>
      <c r="R1016" t="s">
        <v>48</v>
      </c>
      <c r="V1016" t="s">
        <v>49</v>
      </c>
      <c r="X1016" t="s">
        <v>49</v>
      </c>
      <c r="Y1016" t="s">
        <v>70</v>
      </c>
      <c r="Z1016" t="s">
        <v>1724</v>
      </c>
      <c r="AA1016" t="s">
        <v>1724</v>
      </c>
    </row>
    <row r="1017" spans="1:27" x14ac:dyDescent="0.35">
      <c r="A1017" t="str">
        <f t="shared" si="31"/>
        <v>2103D7</v>
      </c>
      <c r="B1017" t="str">
        <f t="shared" si="30"/>
        <v>2103</v>
      </c>
      <c r="C1017" t="s">
        <v>1725</v>
      </c>
      <c r="D1017" t="s">
        <v>6</v>
      </c>
      <c r="E1017" t="s">
        <v>94</v>
      </c>
      <c r="F1017" t="s">
        <v>111</v>
      </c>
      <c r="G1017" t="s">
        <v>757</v>
      </c>
      <c r="H1017" t="s">
        <v>42</v>
      </c>
      <c r="I1017" t="s">
        <v>43</v>
      </c>
      <c r="J1017" t="s">
        <v>1716</v>
      </c>
      <c r="M1017" t="s">
        <v>106</v>
      </c>
      <c r="P1017" t="s">
        <v>46</v>
      </c>
      <c r="Q1017" t="s">
        <v>47</v>
      </c>
      <c r="R1017" t="s">
        <v>48</v>
      </c>
      <c r="V1017" t="s">
        <v>49</v>
      </c>
      <c r="X1017" t="s">
        <v>49</v>
      </c>
      <c r="Y1017" t="s">
        <v>59</v>
      </c>
      <c r="Z1017" t="s">
        <v>1705</v>
      </c>
      <c r="AA1017" t="s">
        <v>1705</v>
      </c>
    </row>
    <row r="1018" spans="1:27" x14ac:dyDescent="0.35">
      <c r="A1018" t="str">
        <f t="shared" si="31"/>
        <v>2102F2</v>
      </c>
      <c r="B1018" t="str">
        <f t="shared" si="30"/>
        <v>2102</v>
      </c>
      <c r="C1018" t="s">
        <v>1726</v>
      </c>
      <c r="D1018" t="s">
        <v>4</v>
      </c>
      <c r="E1018" t="s">
        <v>77</v>
      </c>
      <c r="F1018" t="s">
        <v>78</v>
      </c>
      <c r="G1018" t="s">
        <v>757</v>
      </c>
      <c r="H1018" t="s">
        <v>42</v>
      </c>
      <c r="I1018" t="s">
        <v>67</v>
      </c>
      <c r="J1018" t="s">
        <v>1727</v>
      </c>
      <c r="M1018" t="s">
        <v>106</v>
      </c>
      <c r="P1018" t="s">
        <v>91</v>
      </c>
      <c r="Q1018" t="s">
        <v>47</v>
      </c>
      <c r="R1018" t="s">
        <v>48</v>
      </c>
      <c r="V1018" t="s">
        <v>49</v>
      </c>
      <c r="X1018" t="s">
        <v>49</v>
      </c>
      <c r="Y1018" t="s">
        <v>74</v>
      </c>
      <c r="Z1018" t="s">
        <v>1717</v>
      </c>
      <c r="AA1018" t="s">
        <v>1717</v>
      </c>
    </row>
    <row r="1019" spans="1:27" x14ac:dyDescent="0.35">
      <c r="A1019" t="str">
        <f t="shared" si="31"/>
        <v>2102D4</v>
      </c>
      <c r="B1019" t="str">
        <f t="shared" si="30"/>
        <v>2102</v>
      </c>
      <c r="C1019" t="s">
        <v>1728</v>
      </c>
      <c r="D1019" t="s">
        <v>3</v>
      </c>
      <c r="E1019" t="s">
        <v>52</v>
      </c>
      <c r="F1019" t="s">
        <v>53</v>
      </c>
      <c r="G1019" t="s">
        <v>757</v>
      </c>
      <c r="H1019" t="s">
        <v>42</v>
      </c>
      <c r="I1019" t="s">
        <v>67</v>
      </c>
      <c r="J1019" t="s">
        <v>1727</v>
      </c>
      <c r="K1019" t="s">
        <v>56</v>
      </c>
      <c r="M1019" t="s">
        <v>106</v>
      </c>
      <c r="P1019" t="s">
        <v>69</v>
      </c>
      <c r="Q1019" t="s">
        <v>47</v>
      </c>
      <c r="R1019" t="s">
        <v>48</v>
      </c>
      <c r="V1019" t="s">
        <v>49</v>
      </c>
      <c r="X1019" t="s">
        <v>49</v>
      </c>
      <c r="Y1019" t="s">
        <v>59</v>
      </c>
      <c r="Z1019" t="s">
        <v>1729</v>
      </c>
      <c r="AA1019" t="s">
        <v>1729</v>
      </c>
    </row>
    <row r="1020" spans="1:27" x14ac:dyDescent="0.35">
      <c r="A1020" t="str">
        <f t="shared" si="31"/>
        <v>2102D2</v>
      </c>
      <c r="B1020" t="str">
        <f t="shared" si="30"/>
        <v>2102</v>
      </c>
      <c r="C1020" t="s">
        <v>1730</v>
      </c>
      <c r="D1020" t="s">
        <v>2</v>
      </c>
      <c r="E1020" t="s">
        <v>62</v>
      </c>
      <c r="F1020" t="s">
        <v>63</v>
      </c>
      <c r="G1020" t="s">
        <v>757</v>
      </c>
      <c r="H1020" t="s">
        <v>42</v>
      </c>
      <c r="I1020" t="s">
        <v>67</v>
      </c>
      <c r="J1020" t="s">
        <v>1727</v>
      </c>
      <c r="K1020" t="s">
        <v>56</v>
      </c>
      <c r="M1020" t="s">
        <v>106</v>
      </c>
      <c r="P1020" t="s">
        <v>69</v>
      </c>
      <c r="Q1020" t="s">
        <v>47</v>
      </c>
      <c r="R1020" t="s">
        <v>48</v>
      </c>
      <c r="V1020" t="s">
        <v>49</v>
      </c>
      <c r="X1020" t="s">
        <v>49</v>
      </c>
      <c r="Y1020" t="s">
        <v>59</v>
      </c>
      <c r="Z1020" t="s">
        <v>1729</v>
      </c>
      <c r="AA1020" t="s">
        <v>1729</v>
      </c>
    </row>
    <row r="1021" spans="1:27" x14ac:dyDescent="0.35">
      <c r="A1021" t="str">
        <f t="shared" si="31"/>
        <v>2102F3</v>
      </c>
      <c r="B1021" t="str">
        <f t="shared" si="30"/>
        <v>2102</v>
      </c>
      <c r="C1021" t="s">
        <v>1731</v>
      </c>
      <c r="D1021" t="s">
        <v>5</v>
      </c>
      <c r="E1021" t="s">
        <v>40</v>
      </c>
      <c r="F1021" t="s">
        <v>73</v>
      </c>
      <c r="G1021" t="s">
        <v>757</v>
      </c>
      <c r="H1021" t="s">
        <v>42</v>
      </c>
      <c r="I1021" t="s">
        <v>67</v>
      </c>
      <c r="J1021" t="s">
        <v>1727</v>
      </c>
      <c r="M1021" t="s">
        <v>106</v>
      </c>
      <c r="P1021" t="s">
        <v>69</v>
      </c>
      <c r="Q1021" t="s">
        <v>47</v>
      </c>
      <c r="R1021" t="s">
        <v>48</v>
      </c>
      <c r="V1021" t="s">
        <v>49</v>
      </c>
      <c r="X1021" t="s">
        <v>49</v>
      </c>
      <c r="Y1021" t="s">
        <v>74</v>
      </c>
      <c r="Z1021" t="s">
        <v>1732</v>
      </c>
      <c r="AA1021" t="s">
        <v>1732</v>
      </c>
    </row>
    <row r="1022" spans="1:27" x14ac:dyDescent="0.35">
      <c r="A1022" t="str">
        <f t="shared" si="31"/>
        <v>2102C2</v>
      </c>
      <c r="B1022" t="str">
        <f t="shared" si="30"/>
        <v>2102</v>
      </c>
      <c r="C1022" t="s">
        <v>1733</v>
      </c>
      <c r="D1022" t="s">
        <v>1</v>
      </c>
      <c r="E1022" t="s">
        <v>65</v>
      </c>
      <c r="F1022" t="s">
        <v>66</v>
      </c>
      <c r="G1022" t="s">
        <v>757</v>
      </c>
      <c r="H1022" t="s">
        <v>42</v>
      </c>
      <c r="I1022" t="s">
        <v>67</v>
      </c>
      <c r="J1022" t="s">
        <v>1727</v>
      </c>
      <c r="M1022" t="s">
        <v>106</v>
      </c>
      <c r="P1022" t="s">
        <v>58</v>
      </c>
      <c r="Q1022" t="s">
        <v>47</v>
      </c>
      <c r="R1022" t="s">
        <v>48</v>
      </c>
      <c r="V1022" t="s">
        <v>49</v>
      </c>
      <c r="X1022" t="s">
        <v>49</v>
      </c>
      <c r="Y1022" t="s">
        <v>70</v>
      </c>
      <c r="Z1022" t="s">
        <v>1734</v>
      </c>
      <c r="AA1022" t="s">
        <v>1734</v>
      </c>
    </row>
    <row r="1023" spans="1:27" x14ac:dyDescent="0.35">
      <c r="A1023" t="str">
        <f t="shared" si="31"/>
        <v>2102D7</v>
      </c>
      <c r="B1023" t="str">
        <f t="shared" si="30"/>
        <v>2102</v>
      </c>
      <c r="C1023" t="s">
        <v>1735</v>
      </c>
      <c r="D1023" t="s">
        <v>6</v>
      </c>
      <c r="E1023" t="s">
        <v>94</v>
      </c>
      <c r="F1023" t="s">
        <v>111</v>
      </c>
      <c r="G1023" t="s">
        <v>757</v>
      </c>
      <c r="H1023" t="s">
        <v>42</v>
      </c>
      <c r="I1023" t="s">
        <v>43</v>
      </c>
      <c r="J1023" t="s">
        <v>1727</v>
      </c>
      <c r="M1023" t="s">
        <v>106</v>
      </c>
      <c r="P1023" t="s">
        <v>46</v>
      </c>
      <c r="Q1023" t="s">
        <v>47</v>
      </c>
      <c r="R1023" t="s">
        <v>48</v>
      </c>
      <c r="V1023" t="s">
        <v>49</v>
      </c>
      <c r="X1023" t="s">
        <v>49</v>
      </c>
      <c r="Y1023" t="s">
        <v>59</v>
      </c>
      <c r="Z1023" t="s">
        <v>1736</v>
      </c>
      <c r="AA1023" t="s">
        <v>1736</v>
      </c>
    </row>
    <row r="1024" spans="1:27" x14ac:dyDescent="0.35">
      <c r="A1024" t="str">
        <f t="shared" si="31"/>
        <v>2101F2</v>
      </c>
      <c r="B1024" t="str">
        <f t="shared" si="30"/>
        <v>2101</v>
      </c>
      <c r="C1024" t="s">
        <v>1737</v>
      </c>
      <c r="D1024" t="s">
        <v>4</v>
      </c>
      <c r="E1024" t="s">
        <v>77</v>
      </c>
      <c r="F1024" t="s">
        <v>78</v>
      </c>
      <c r="G1024" t="s">
        <v>757</v>
      </c>
      <c r="H1024" t="s">
        <v>42</v>
      </c>
      <c r="I1024" t="s">
        <v>67</v>
      </c>
      <c r="J1024" t="s">
        <v>1738</v>
      </c>
      <c r="M1024" t="s">
        <v>106</v>
      </c>
      <c r="P1024" t="s">
        <v>138</v>
      </c>
      <c r="Q1024" t="s">
        <v>47</v>
      </c>
      <c r="R1024" t="s">
        <v>48</v>
      </c>
      <c r="V1024" t="s">
        <v>49</v>
      </c>
      <c r="X1024" t="s">
        <v>49</v>
      </c>
      <c r="Y1024" t="s">
        <v>74</v>
      </c>
      <c r="Z1024" t="s">
        <v>1717</v>
      </c>
      <c r="AA1024" t="s">
        <v>1717</v>
      </c>
    </row>
    <row r="1025" spans="1:27" x14ac:dyDescent="0.35">
      <c r="A1025" t="str">
        <f t="shared" si="31"/>
        <v>2101D4</v>
      </c>
      <c r="B1025" t="str">
        <f t="shared" si="30"/>
        <v>2101</v>
      </c>
      <c r="C1025" t="s">
        <v>1739</v>
      </c>
      <c r="D1025" t="s">
        <v>3</v>
      </c>
      <c r="E1025" t="s">
        <v>52</v>
      </c>
      <c r="F1025" t="s">
        <v>53</v>
      </c>
      <c r="G1025" t="s">
        <v>757</v>
      </c>
      <c r="H1025" t="s">
        <v>42</v>
      </c>
      <c r="I1025" t="s">
        <v>43</v>
      </c>
      <c r="J1025" t="s">
        <v>1738</v>
      </c>
      <c r="K1025" t="s">
        <v>56</v>
      </c>
      <c r="M1025" t="s">
        <v>106</v>
      </c>
      <c r="P1025" t="s">
        <v>58</v>
      </c>
      <c r="Q1025" t="s">
        <v>47</v>
      </c>
      <c r="R1025" t="s">
        <v>48</v>
      </c>
      <c r="V1025" t="s">
        <v>49</v>
      </c>
      <c r="X1025" t="s">
        <v>49</v>
      </c>
      <c r="Y1025" t="s">
        <v>59</v>
      </c>
      <c r="Z1025" t="s">
        <v>1740</v>
      </c>
      <c r="AA1025" t="s">
        <v>1740</v>
      </c>
    </row>
    <row r="1026" spans="1:27" x14ac:dyDescent="0.35">
      <c r="A1026" t="str">
        <f t="shared" si="31"/>
        <v>2101D2</v>
      </c>
      <c r="B1026" t="str">
        <f t="shared" ref="B1026:B1089" si="32">LEFT($J:$J,4)</f>
        <v>2101</v>
      </c>
      <c r="C1026" t="s">
        <v>1741</v>
      </c>
      <c r="D1026" t="s">
        <v>2</v>
      </c>
      <c r="E1026" t="s">
        <v>62</v>
      </c>
      <c r="F1026" t="s">
        <v>63</v>
      </c>
      <c r="G1026" t="s">
        <v>757</v>
      </c>
      <c r="H1026" t="s">
        <v>42</v>
      </c>
      <c r="I1026" t="s">
        <v>43</v>
      </c>
      <c r="J1026" t="s">
        <v>1738</v>
      </c>
      <c r="M1026" t="s">
        <v>106</v>
      </c>
      <c r="P1026" t="s">
        <v>58</v>
      </c>
      <c r="Q1026" t="s">
        <v>47</v>
      </c>
      <c r="R1026" t="s">
        <v>48</v>
      </c>
      <c r="V1026" t="s">
        <v>49</v>
      </c>
      <c r="X1026" t="s">
        <v>49</v>
      </c>
      <c r="Y1026" t="s">
        <v>59</v>
      </c>
      <c r="Z1026" t="s">
        <v>1709</v>
      </c>
      <c r="AA1026" t="s">
        <v>1709</v>
      </c>
    </row>
    <row r="1027" spans="1:27" x14ac:dyDescent="0.35">
      <c r="A1027" t="str">
        <f t="shared" ref="A1027:A1090" si="33">B1027&amp;D1027</f>
        <v>2101F3</v>
      </c>
      <c r="B1027" t="str">
        <f t="shared" si="32"/>
        <v>2101</v>
      </c>
      <c r="C1027" t="s">
        <v>1742</v>
      </c>
      <c r="D1027" t="s">
        <v>5</v>
      </c>
      <c r="E1027" t="s">
        <v>40</v>
      </c>
      <c r="F1027" t="s">
        <v>73</v>
      </c>
      <c r="G1027" t="s">
        <v>757</v>
      </c>
      <c r="H1027" t="s">
        <v>42</v>
      </c>
      <c r="I1027" t="s">
        <v>67</v>
      </c>
      <c r="J1027" t="s">
        <v>1738</v>
      </c>
      <c r="M1027" t="s">
        <v>106</v>
      </c>
      <c r="P1027" t="s">
        <v>58</v>
      </c>
      <c r="Q1027" t="s">
        <v>47</v>
      </c>
      <c r="R1027" t="s">
        <v>48</v>
      </c>
      <c r="V1027" t="s">
        <v>49</v>
      </c>
      <c r="X1027" t="s">
        <v>49</v>
      </c>
      <c r="Y1027" t="s">
        <v>74</v>
      </c>
      <c r="Z1027" t="s">
        <v>1732</v>
      </c>
      <c r="AA1027" t="s">
        <v>1732</v>
      </c>
    </row>
    <row r="1028" spans="1:27" x14ac:dyDescent="0.35">
      <c r="A1028" t="str">
        <f t="shared" si="33"/>
        <v>2101C2</v>
      </c>
      <c r="B1028" t="str">
        <f t="shared" si="32"/>
        <v>2101</v>
      </c>
      <c r="C1028" t="s">
        <v>1743</v>
      </c>
      <c r="D1028" t="s">
        <v>1</v>
      </c>
      <c r="E1028" t="s">
        <v>65</v>
      </c>
      <c r="F1028" t="s">
        <v>66</v>
      </c>
      <c r="G1028" t="s">
        <v>757</v>
      </c>
      <c r="H1028" t="s">
        <v>42</v>
      </c>
      <c r="I1028" t="s">
        <v>67</v>
      </c>
      <c r="J1028" t="s">
        <v>1738</v>
      </c>
      <c r="M1028" t="s">
        <v>106</v>
      </c>
      <c r="P1028" t="s">
        <v>58</v>
      </c>
      <c r="Q1028" t="s">
        <v>47</v>
      </c>
      <c r="R1028" t="s">
        <v>48</v>
      </c>
      <c r="V1028" t="s">
        <v>49</v>
      </c>
      <c r="X1028" t="s">
        <v>49</v>
      </c>
      <c r="Y1028" t="s">
        <v>70</v>
      </c>
      <c r="Z1028" t="s">
        <v>1565</v>
      </c>
      <c r="AA1028" t="s">
        <v>1565</v>
      </c>
    </row>
    <row r="1029" spans="1:27" x14ac:dyDescent="0.35">
      <c r="A1029" t="str">
        <f t="shared" si="33"/>
        <v>2101D7</v>
      </c>
      <c r="B1029" t="str">
        <f t="shared" si="32"/>
        <v>2101</v>
      </c>
      <c r="C1029" t="s">
        <v>1744</v>
      </c>
      <c r="D1029" t="s">
        <v>6</v>
      </c>
      <c r="E1029" t="s">
        <v>94</v>
      </c>
      <c r="F1029" t="s">
        <v>111</v>
      </c>
      <c r="G1029" t="s">
        <v>757</v>
      </c>
      <c r="H1029" t="s">
        <v>42</v>
      </c>
      <c r="I1029" t="s">
        <v>43</v>
      </c>
      <c r="J1029" t="s">
        <v>1738</v>
      </c>
      <c r="M1029" t="s">
        <v>106</v>
      </c>
      <c r="P1029" t="s">
        <v>46</v>
      </c>
      <c r="Q1029" t="s">
        <v>47</v>
      </c>
      <c r="R1029" t="s">
        <v>48</v>
      </c>
      <c r="V1029" t="s">
        <v>49</v>
      </c>
      <c r="X1029" t="s">
        <v>49</v>
      </c>
      <c r="Y1029" t="s">
        <v>59</v>
      </c>
      <c r="Z1029" t="s">
        <v>1736</v>
      </c>
      <c r="AA1029" t="s">
        <v>1736</v>
      </c>
    </row>
    <row r="1030" spans="1:27" x14ac:dyDescent="0.35">
      <c r="A1030" t="str">
        <f t="shared" si="33"/>
        <v>2001F2</v>
      </c>
      <c r="B1030" t="str">
        <f t="shared" si="32"/>
        <v>2001</v>
      </c>
      <c r="C1030" t="s">
        <v>1745</v>
      </c>
      <c r="D1030" t="s">
        <v>4</v>
      </c>
      <c r="E1030" t="s">
        <v>77</v>
      </c>
      <c r="F1030" t="s">
        <v>78</v>
      </c>
      <c r="G1030" t="s">
        <v>757</v>
      </c>
      <c r="H1030" t="s">
        <v>42</v>
      </c>
      <c r="I1030" t="s">
        <v>67</v>
      </c>
      <c r="J1030" t="s">
        <v>1746</v>
      </c>
      <c r="M1030" t="s">
        <v>106</v>
      </c>
      <c r="P1030" t="s">
        <v>138</v>
      </c>
      <c r="Q1030" t="s">
        <v>47</v>
      </c>
      <c r="R1030" t="s">
        <v>48</v>
      </c>
      <c r="V1030" t="s">
        <v>49</v>
      </c>
      <c r="X1030" t="s">
        <v>49</v>
      </c>
      <c r="Y1030" t="s">
        <v>74</v>
      </c>
      <c r="Z1030" t="s">
        <v>1747</v>
      </c>
      <c r="AA1030" t="s">
        <v>1747</v>
      </c>
    </row>
    <row r="1031" spans="1:27" x14ac:dyDescent="0.35">
      <c r="A1031" t="str">
        <f t="shared" si="33"/>
        <v>2001D4</v>
      </c>
      <c r="B1031" t="str">
        <f t="shared" si="32"/>
        <v>2001</v>
      </c>
      <c r="C1031" t="s">
        <v>1748</v>
      </c>
      <c r="D1031" t="s">
        <v>3</v>
      </c>
      <c r="E1031" t="s">
        <v>52</v>
      </c>
      <c r="F1031" t="s">
        <v>53</v>
      </c>
      <c r="G1031" t="s">
        <v>757</v>
      </c>
      <c r="H1031" t="s">
        <v>42</v>
      </c>
      <c r="I1031" t="s">
        <v>43</v>
      </c>
      <c r="J1031" t="s">
        <v>1746</v>
      </c>
      <c r="K1031" t="s">
        <v>56</v>
      </c>
      <c r="M1031" t="s">
        <v>106</v>
      </c>
      <c r="P1031" t="s">
        <v>58</v>
      </c>
      <c r="Q1031" t="s">
        <v>47</v>
      </c>
      <c r="R1031" t="s">
        <v>48</v>
      </c>
      <c r="V1031" t="s">
        <v>49</v>
      </c>
      <c r="X1031" t="s">
        <v>49</v>
      </c>
      <c r="Y1031" t="s">
        <v>59</v>
      </c>
      <c r="Z1031" t="s">
        <v>3591</v>
      </c>
      <c r="AA1031" t="s">
        <v>3591</v>
      </c>
    </row>
    <row r="1032" spans="1:27" x14ac:dyDescent="0.35">
      <c r="A1032" t="str">
        <f t="shared" si="33"/>
        <v>2001D2</v>
      </c>
      <c r="B1032" t="str">
        <f t="shared" si="32"/>
        <v>2001</v>
      </c>
      <c r="C1032" t="s">
        <v>1749</v>
      </c>
      <c r="D1032" t="s">
        <v>2</v>
      </c>
      <c r="E1032" t="s">
        <v>62</v>
      </c>
      <c r="F1032" t="s">
        <v>63</v>
      </c>
      <c r="G1032" t="s">
        <v>757</v>
      </c>
      <c r="H1032" t="s">
        <v>42</v>
      </c>
      <c r="I1032" t="s">
        <v>43</v>
      </c>
      <c r="J1032" t="s">
        <v>1746</v>
      </c>
      <c r="K1032" t="s">
        <v>56</v>
      </c>
      <c r="M1032" t="s">
        <v>106</v>
      </c>
      <c r="P1032" t="s">
        <v>58</v>
      </c>
      <c r="Q1032" t="s">
        <v>47</v>
      </c>
      <c r="R1032" t="s">
        <v>48</v>
      </c>
      <c r="V1032" t="s">
        <v>49</v>
      </c>
      <c r="X1032" t="s">
        <v>49</v>
      </c>
      <c r="Y1032" t="s">
        <v>59</v>
      </c>
      <c r="Z1032" t="s">
        <v>1464</v>
      </c>
      <c r="AA1032" t="s">
        <v>1464</v>
      </c>
    </row>
    <row r="1033" spans="1:27" x14ac:dyDescent="0.35">
      <c r="A1033" t="str">
        <f t="shared" si="33"/>
        <v>2001F3</v>
      </c>
      <c r="B1033" t="str">
        <f t="shared" si="32"/>
        <v>2001</v>
      </c>
      <c r="C1033" t="s">
        <v>1750</v>
      </c>
      <c r="D1033" t="s">
        <v>5</v>
      </c>
      <c r="E1033" t="s">
        <v>40</v>
      </c>
      <c r="F1033" t="s">
        <v>73</v>
      </c>
      <c r="G1033" t="s">
        <v>757</v>
      </c>
      <c r="H1033" t="s">
        <v>42</v>
      </c>
      <c r="I1033" t="s">
        <v>67</v>
      </c>
      <c r="J1033" t="s">
        <v>1746</v>
      </c>
      <c r="M1033" t="s">
        <v>106</v>
      </c>
      <c r="P1033" t="s">
        <v>58</v>
      </c>
      <c r="Q1033" t="s">
        <v>47</v>
      </c>
      <c r="R1033" t="s">
        <v>48</v>
      </c>
      <c r="V1033" t="s">
        <v>49</v>
      </c>
      <c r="X1033" t="s">
        <v>49</v>
      </c>
      <c r="Y1033" t="s">
        <v>74</v>
      </c>
      <c r="Z1033" t="s">
        <v>1751</v>
      </c>
      <c r="AA1033" t="s">
        <v>1751</v>
      </c>
    </row>
    <row r="1034" spans="1:27" x14ac:dyDescent="0.35">
      <c r="A1034" t="str">
        <f t="shared" si="33"/>
        <v>2001C2</v>
      </c>
      <c r="B1034" t="str">
        <f t="shared" si="32"/>
        <v>2001</v>
      </c>
      <c r="C1034" t="s">
        <v>1752</v>
      </c>
      <c r="D1034" t="s">
        <v>1</v>
      </c>
      <c r="E1034" t="s">
        <v>65</v>
      </c>
      <c r="F1034" t="s">
        <v>66</v>
      </c>
      <c r="G1034" t="s">
        <v>757</v>
      </c>
      <c r="H1034" t="s">
        <v>42</v>
      </c>
      <c r="I1034" t="s">
        <v>67</v>
      </c>
      <c r="J1034" t="s">
        <v>1746</v>
      </c>
      <c r="M1034" t="s">
        <v>106</v>
      </c>
      <c r="P1034" t="s">
        <v>69</v>
      </c>
      <c r="Q1034" t="s">
        <v>47</v>
      </c>
      <c r="R1034" t="s">
        <v>48</v>
      </c>
      <c r="V1034" t="s">
        <v>49</v>
      </c>
      <c r="X1034" t="s">
        <v>49</v>
      </c>
      <c r="Y1034" t="s">
        <v>70</v>
      </c>
      <c r="Z1034" t="s">
        <v>598</v>
      </c>
      <c r="AA1034" t="s">
        <v>598</v>
      </c>
    </row>
    <row r="1035" spans="1:27" x14ac:dyDescent="0.35">
      <c r="A1035" t="str">
        <f t="shared" si="33"/>
        <v>2001D7</v>
      </c>
      <c r="B1035" t="str">
        <f t="shared" si="32"/>
        <v>2001</v>
      </c>
      <c r="C1035" t="s">
        <v>1753</v>
      </c>
      <c r="D1035" t="s">
        <v>6</v>
      </c>
      <c r="E1035" t="s">
        <v>94</v>
      </c>
      <c r="F1035" t="s">
        <v>111</v>
      </c>
      <c r="G1035" t="s">
        <v>757</v>
      </c>
      <c r="H1035" t="s">
        <v>42</v>
      </c>
      <c r="I1035" t="s">
        <v>43</v>
      </c>
      <c r="J1035" t="s">
        <v>1746</v>
      </c>
      <c r="M1035" t="s">
        <v>106</v>
      </c>
      <c r="P1035" t="s">
        <v>46</v>
      </c>
      <c r="Q1035" t="s">
        <v>47</v>
      </c>
      <c r="R1035" t="s">
        <v>48</v>
      </c>
      <c r="V1035" t="s">
        <v>49</v>
      </c>
      <c r="X1035" t="s">
        <v>49</v>
      </c>
      <c r="Y1035" t="s">
        <v>59</v>
      </c>
      <c r="Z1035" t="s">
        <v>1754</v>
      </c>
      <c r="AA1035" t="s">
        <v>1754</v>
      </c>
    </row>
    <row r="1036" spans="1:27" x14ac:dyDescent="0.35">
      <c r="A1036" t="str">
        <f t="shared" si="33"/>
        <v>1908F2</v>
      </c>
      <c r="B1036" t="str">
        <f t="shared" si="32"/>
        <v>1908</v>
      </c>
      <c r="C1036" t="s">
        <v>1755</v>
      </c>
      <c r="D1036" t="s">
        <v>4</v>
      </c>
      <c r="E1036" t="s">
        <v>77</v>
      </c>
      <c r="F1036" t="s">
        <v>78</v>
      </c>
      <c r="G1036" t="s">
        <v>757</v>
      </c>
      <c r="H1036" t="s">
        <v>42</v>
      </c>
      <c r="I1036" t="s">
        <v>67</v>
      </c>
      <c r="J1036" t="s">
        <v>1756</v>
      </c>
      <c r="M1036" t="s">
        <v>106</v>
      </c>
      <c r="P1036" t="s">
        <v>189</v>
      </c>
      <c r="Q1036" t="s">
        <v>47</v>
      </c>
      <c r="R1036" t="s">
        <v>48</v>
      </c>
      <c r="V1036" t="s">
        <v>49</v>
      </c>
      <c r="X1036" t="s">
        <v>49</v>
      </c>
      <c r="Y1036" t="s">
        <v>74</v>
      </c>
      <c r="Z1036" t="s">
        <v>117</v>
      </c>
      <c r="AA1036" t="s">
        <v>117</v>
      </c>
    </row>
    <row r="1037" spans="1:27" x14ac:dyDescent="0.35">
      <c r="A1037" t="str">
        <f t="shared" si="33"/>
        <v>1908D4</v>
      </c>
      <c r="B1037" t="str">
        <f t="shared" si="32"/>
        <v>1908</v>
      </c>
      <c r="C1037" t="s">
        <v>1757</v>
      </c>
      <c r="D1037" t="s">
        <v>3</v>
      </c>
      <c r="E1037" t="s">
        <v>52</v>
      </c>
      <c r="F1037" t="s">
        <v>53</v>
      </c>
      <c r="G1037" t="s">
        <v>757</v>
      </c>
      <c r="H1037" t="s">
        <v>42</v>
      </c>
      <c r="I1037" t="s">
        <v>43</v>
      </c>
      <c r="J1037" t="s">
        <v>1756</v>
      </c>
      <c r="K1037" t="s">
        <v>56</v>
      </c>
      <c r="M1037" t="s">
        <v>106</v>
      </c>
      <c r="P1037" t="s">
        <v>58</v>
      </c>
      <c r="Q1037" t="s">
        <v>47</v>
      </c>
      <c r="R1037" t="s">
        <v>48</v>
      </c>
      <c r="V1037" t="s">
        <v>49</v>
      </c>
      <c r="X1037" t="s">
        <v>49</v>
      </c>
      <c r="Y1037" t="s">
        <v>59</v>
      </c>
      <c r="Z1037" t="s">
        <v>115</v>
      </c>
      <c r="AA1037" t="s">
        <v>115</v>
      </c>
    </row>
    <row r="1038" spans="1:27" x14ac:dyDescent="0.35">
      <c r="A1038" t="str">
        <f t="shared" si="33"/>
        <v>1908D2</v>
      </c>
      <c r="B1038" t="str">
        <f t="shared" si="32"/>
        <v>1908</v>
      </c>
      <c r="C1038" t="s">
        <v>1758</v>
      </c>
      <c r="D1038" t="s">
        <v>2</v>
      </c>
      <c r="E1038" t="s">
        <v>62</v>
      </c>
      <c r="F1038" t="s">
        <v>63</v>
      </c>
      <c r="G1038" t="s">
        <v>757</v>
      </c>
      <c r="H1038" t="s">
        <v>42</v>
      </c>
      <c r="I1038" t="s">
        <v>43</v>
      </c>
      <c r="J1038" t="s">
        <v>1756</v>
      </c>
      <c r="K1038" t="s">
        <v>56</v>
      </c>
      <c r="M1038" t="s">
        <v>106</v>
      </c>
      <c r="P1038" t="s">
        <v>58</v>
      </c>
      <c r="Q1038" t="s">
        <v>47</v>
      </c>
      <c r="R1038" t="s">
        <v>48</v>
      </c>
      <c r="V1038" t="s">
        <v>49</v>
      </c>
      <c r="X1038" t="s">
        <v>49</v>
      </c>
      <c r="Y1038" t="s">
        <v>59</v>
      </c>
      <c r="Z1038" t="s">
        <v>121</v>
      </c>
      <c r="AA1038" t="s">
        <v>121</v>
      </c>
    </row>
    <row r="1039" spans="1:27" x14ac:dyDescent="0.35">
      <c r="A1039" t="str">
        <f t="shared" si="33"/>
        <v>1908F3</v>
      </c>
      <c r="B1039" t="str">
        <f t="shared" si="32"/>
        <v>1908</v>
      </c>
      <c r="C1039" t="s">
        <v>1759</v>
      </c>
      <c r="D1039" t="s">
        <v>5</v>
      </c>
      <c r="E1039" t="s">
        <v>40</v>
      </c>
      <c r="F1039" t="s">
        <v>73</v>
      </c>
      <c r="G1039" t="s">
        <v>757</v>
      </c>
      <c r="H1039" t="s">
        <v>42</v>
      </c>
      <c r="I1039" t="s">
        <v>67</v>
      </c>
      <c r="J1039" t="s">
        <v>1756</v>
      </c>
      <c r="M1039" t="s">
        <v>106</v>
      </c>
      <c r="P1039" t="s">
        <v>46</v>
      </c>
      <c r="Q1039" t="s">
        <v>47</v>
      </c>
      <c r="R1039" t="s">
        <v>48</v>
      </c>
      <c r="V1039" t="s">
        <v>49</v>
      </c>
      <c r="X1039" t="s">
        <v>49</v>
      </c>
      <c r="Y1039" t="s">
        <v>74</v>
      </c>
      <c r="Z1039" t="s">
        <v>1760</v>
      </c>
      <c r="AA1039" t="s">
        <v>1760</v>
      </c>
    </row>
    <row r="1040" spans="1:27" x14ac:dyDescent="0.35">
      <c r="A1040" t="str">
        <f t="shared" si="33"/>
        <v>1908C2</v>
      </c>
      <c r="B1040" t="str">
        <f t="shared" si="32"/>
        <v>1908</v>
      </c>
      <c r="C1040" t="s">
        <v>1761</v>
      </c>
      <c r="D1040" t="s">
        <v>1</v>
      </c>
      <c r="E1040" t="s">
        <v>65</v>
      </c>
      <c r="F1040" t="s">
        <v>66</v>
      </c>
      <c r="G1040" t="s">
        <v>757</v>
      </c>
      <c r="H1040" t="s">
        <v>42</v>
      </c>
      <c r="I1040" t="s">
        <v>67</v>
      </c>
      <c r="J1040" t="s">
        <v>1756</v>
      </c>
      <c r="M1040" t="s">
        <v>106</v>
      </c>
      <c r="P1040" t="s">
        <v>69</v>
      </c>
      <c r="Q1040" t="s">
        <v>47</v>
      </c>
      <c r="R1040" t="s">
        <v>48</v>
      </c>
      <c r="V1040" t="s">
        <v>49</v>
      </c>
      <c r="X1040" t="s">
        <v>49</v>
      </c>
      <c r="Y1040" t="s">
        <v>70</v>
      </c>
      <c r="Z1040" t="s">
        <v>107</v>
      </c>
      <c r="AA1040" t="s">
        <v>107</v>
      </c>
    </row>
    <row r="1041" spans="1:27" x14ac:dyDescent="0.35">
      <c r="A1041" t="str">
        <f t="shared" si="33"/>
        <v>1908D7</v>
      </c>
      <c r="B1041" t="str">
        <f t="shared" si="32"/>
        <v>1908</v>
      </c>
      <c r="C1041" t="s">
        <v>1762</v>
      </c>
      <c r="D1041" t="s">
        <v>6</v>
      </c>
      <c r="E1041" t="s">
        <v>94</v>
      </c>
      <c r="F1041" t="s">
        <v>111</v>
      </c>
      <c r="G1041" t="s">
        <v>757</v>
      </c>
      <c r="H1041" t="s">
        <v>42</v>
      </c>
      <c r="I1041" t="s">
        <v>43</v>
      </c>
      <c r="J1041" t="s">
        <v>1756</v>
      </c>
      <c r="M1041" t="s">
        <v>106</v>
      </c>
      <c r="P1041" t="s">
        <v>46</v>
      </c>
      <c r="Q1041" t="s">
        <v>47</v>
      </c>
      <c r="R1041" t="s">
        <v>48</v>
      </c>
      <c r="V1041" t="s">
        <v>49</v>
      </c>
      <c r="X1041" t="s">
        <v>49</v>
      </c>
      <c r="Y1041" t="s">
        <v>59</v>
      </c>
      <c r="Z1041" t="s">
        <v>1763</v>
      </c>
      <c r="AA1041" t="s">
        <v>1763</v>
      </c>
    </row>
    <row r="1042" spans="1:27" x14ac:dyDescent="0.35">
      <c r="A1042" t="str">
        <f t="shared" si="33"/>
        <v>1907F2</v>
      </c>
      <c r="B1042" t="str">
        <f t="shared" si="32"/>
        <v>1907</v>
      </c>
      <c r="C1042" t="s">
        <v>1764</v>
      </c>
      <c r="D1042" t="s">
        <v>4</v>
      </c>
      <c r="E1042" t="s">
        <v>77</v>
      </c>
      <c r="F1042" t="s">
        <v>78</v>
      </c>
      <c r="G1042" t="s">
        <v>757</v>
      </c>
      <c r="H1042" t="s">
        <v>42</v>
      </c>
      <c r="I1042" t="s">
        <v>67</v>
      </c>
      <c r="J1042" t="s">
        <v>1765</v>
      </c>
      <c r="M1042" t="s">
        <v>106</v>
      </c>
      <c r="P1042" t="s">
        <v>79</v>
      </c>
      <c r="Q1042" t="s">
        <v>47</v>
      </c>
      <c r="R1042" t="s">
        <v>48</v>
      </c>
      <c r="V1042" t="s">
        <v>49</v>
      </c>
      <c r="X1042" t="s">
        <v>49</v>
      </c>
      <c r="Y1042" t="s">
        <v>74</v>
      </c>
      <c r="Z1042" t="s">
        <v>1760</v>
      </c>
      <c r="AA1042" t="s">
        <v>1760</v>
      </c>
    </row>
    <row r="1043" spans="1:27" x14ac:dyDescent="0.35">
      <c r="A1043" t="str">
        <f t="shared" si="33"/>
        <v>1907D4</v>
      </c>
      <c r="B1043" t="str">
        <f t="shared" si="32"/>
        <v>1907</v>
      </c>
      <c r="C1043" t="s">
        <v>1766</v>
      </c>
      <c r="D1043" t="s">
        <v>3</v>
      </c>
      <c r="E1043" t="s">
        <v>52</v>
      </c>
      <c r="F1043" t="s">
        <v>53</v>
      </c>
      <c r="G1043" t="s">
        <v>757</v>
      </c>
      <c r="H1043" t="s">
        <v>42</v>
      </c>
      <c r="I1043" t="s">
        <v>43</v>
      </c>
      <c r="J1043" t="s">
        <v>1765</v>
      </c>
      <c r="K1043" t="s">
        <v>56</v>
      </c>
      <c r="M1043" t="s">
        <v>106</v>
      </c>
      <c r="P1043" t="s">
        <v>58</v>
      </c>
      <c r="Q1043" t="s">
        <v>47</v>
      </c>
      <c r="R1043" t="s">
        <v>48</v>
      </c>
      <c r="V1043" t="s">
        <v>49</v>
      </c>
      <c r="X1043" t="s">
        <v>49</v>
      </c>
      <c r="Y1043" t="s">
        <v>59</v>
      </c>
      <c r="Z1043" t="s">
        <v>1767</v>
      </c>
      <c r="AA1043" t="s">
        <v>1767</v>
      </c>
    </row>
    <row r="1044" spans="1:27" x14ac:dyDescent="0.35">
      <c r="A1044" t="str">
        <f t="shared" si="33"/>
        <v>1907D2</v>
      </c>
      <c r="B1044" t="str">
        <f t="shared" si="32"/>
        <v>1907</v>
      </c>
      <c r="C1044" t="s">
        <v>1768</v>
      </c>
      <c r="D1044" t="s">
        <v>2</v>
      </c>
      <c r="E1044" t="s">
        <v>62</v>
      </c>
      <c r="F1044" t="s">
        <v>63</v>
      </c>
      <c r="G1044" t="s">
        <v>757</v>
      </c>
      <c r="H1044" t="s">
        <v>42</v>
      </c>
      <c r="I1044" t="s">
        <v>43</v>
      </c>
      <c r="J1044" t="s">
        <v>1765</v>
      </c>
      <c r="K1044" t="s">
        <v>56</v>
      </c>
      <c r="M1044" t="s">
        <v>106</v>
      </c>
      <c r="P1044" t="s">
        <v>58</v>
      </c>
      <c r="Q1044" t="s">
        <v>47</v>
      </c>
      <c r="R1044" t="s">
        <v>48</v>
      </c>
      <c r="V1044" t="s">
        <v>49</v>
      </c>
      <c r="X1044" t="s">
        <v>49</v>
      </c>
      <c r="Y1044" t="s">
        <v>59</v>
      </c>
      <c r="Z1044" t="s">
        <v>1767</v>
      </c>
      <c r="AA1044" t="s">
        <v>1767</v>
      </c>
    </row>
    <row r="1045" spans="1:27" x14ac:dyDescent="0.35">
      <c r="A1045" t="str">
        <f t="shared" si="33"/>
        <v>1907F3</v>
      </c>
      <c r="B1045" t="str">
        <f t="shared" si="32"/>
        <v>1907</v>
      </c>
      <c r="C1045" t="s">
        <v>1769</v>
      </c>
      <c r="D1045" t="s">
        <v>5</v>
      </c>
      <c r="E1045" t="s">
        <v>40</v>
      </c>
      <c r="F1045" t="s">
        <v>73</v>
      </c>
      <c r="G1045" t="s">
        <v>757</v>
      </c>
      <c r="H1045" t="s">
        <v>42</v>
      </c>
      <c r="I1045" t="s">
        <v>67</v>
      </c>
      <c r="J1045" t="s">
        <v>1765</v>
      </c>
      <c r="M1045" t="s">
        <v>106</v>
      </c>
      <c r="P1045" t="s">
        <v>58</v>
      </c>
      <c r="Q1045" t="s">
        <v>47</v>
      </c>
      <c r="R1045" t="s">
        <v>48</v>
      </c>
      <c r="V1045" t="s">
        <v>49</v>
      </c>
      <c r="X1045" t="s">
        <v>49</v>
      </c>
      <c r="Y1045" t="s">
        <v>74</v>
      </c>
      <c r="Z1045" t="s">
        <v>1770</v>
      </c>
      <c r="AA1045" t="s">
        <v>1770</v>
      </c>
    </row>
    <row r="1046" spans="1:27" x14ac:dyDescent="0.35">
      <c r="A1046" t="str">
        <f t="shared" si="33"/>
        <v>1907C2</v>
      </c>
      <c r="B1046" t="str">
        <f t="shared" si="32"/>
        <v>1907</v>
      </c>
      <c r="C1046" t="s">
        <v>1771</v>
      </c>
      <c r="D1046" t="s">
        <v>1</v>
      </c>
      <c r="E1046" t="s">
        <v>65</v>
      </c>
      <c r="F1046" t="s">
        <v>66</v>
      </c>
      <c r="G1046" t="s">
        <v>757</v>
      </c>
      <c r="H1046" t="s">
        <v>42</v>
      </c>
      <c r="I1046" t="s">
        <v>67</v>
      </c>
      <c r="J1046" t="s">
        <v>1765</v>
      </c>
      <c r="M1046" t="s">
        <v>106</v>
      </c>
      <c r="P1046" t="s">
        <v>69</v>
      </c>
      <c r="Q1046" t="s">
        <v>47</v>
      </c>
      <c r="R1046" t="s">
        <v>48</v>
      </c>
      <c r="V1046" t="s">
        <v>49</v>
      </c>
      <c r="X1046" t="s">
        <v>49</v>
      </c>
      <c r="Y1046" t="s">
        <v>70</v>
      </c>
      <c r="Z1046" t="s">
        <v>1772</v>
      </c>
      <c r="AA1046" t="s">
        <v>1772</v>
      </c>
    </row>
    <row r="1047" spans="1:27" x14ac:dyDescent="0.35">
      <c r="A1047" t="str">
        <f t="shared" si="33"/>
        <v>1907D7</v>
      </c>
      <c r="B1047" t="str">
        <f t="shared" si="32"/>
        <v>1907</v>
      </c>
      <c r="C1047" t="s">
        <v>1773</v>
      </c>
      <c r="D1047" t="s">
        <v>6</v>
      </c>
      <c r="E1047" t="s">
        <v>94</v>
      </c>
      <c r="F1047" t="s">
        <v>111</v>
      </c>
      <c r="G1047" t="s">
        <v>757</v>
      </c>
      <c r="H1047" t="s">
        <v>42</v>
      </c>
      <c r="I1047" t="s">
        <v>43</v>
      </c>
      <c r="J1047" t="s">
        <v>1765</v>
      </c>
      <c r="M1047" t="s">
        <v>106</v>
      </c>
      <c r="P1047" t="s">
        <v>46</v>
      </c>
      <c r="Q1047" t="s">
        <v>47</v>
      </c>
      <c r="R1047" t="s">
        <v>48</v>
      </c>
      <c r="V1047" t="s">
        <v>49</v>
      </c>
      <c r="X1047" t="s">
        <v>49</v>
      </c>
      <c r="Y1047" t="s">
        <v>59</v>
      </c>
      <c r="Z1047" t="s">
        <v>1763</v>
      </c>
      <c r="AA1047" t="s">
        <v>1763</v>
      </c>
    </row>
    <row r="1048" spans="1:27" x14ac:dyDescent="0.35">
      <c r="A1048" t="str">
        <f t="shared" si="33"/>
        <v>1906F2</v>
      </c>
      <c r="B1048" t="str">
        <f t="shared" si="32"/>
        <v>1906</v>
      </c>
      <c r="C1048" t="s">
        <v>1774</v>
      </c>
      <c r="D1048" t="s">
        <v>4</v>
      </c>
      <c r="E1048" t="s">
        <v>77</v>
      </c>
      <c r="F1048" t="s">
        <v>78</v>
      </c>
      <c r="G1048" t="s">
        <v>757</v>
      </c>
      <c r="H1048" t="s">
        <v>42</v>
      </c>
      <c r="I1048" t="s">
        <v>67</v>
      </c>
      <c r="J1048" t="s">
        <v>1775</v>
      </c>
      <c r="M1048" t="s">
        <v>106</v>
      </c>
      <c r="P1048" t="s">
        <v>189</v>
      </c>
      <c r="Q1048" t="s">
        <v>47</v>
      </c>
      <c r="R1048" t="s">
        <v>48</v>
      </c>
      <c r="V1048" t="s">
        <v>49</v>
      </c>
      <c r="X1048" t="s">
        <v>49</v>
      </c>
      <c r="Y1048" t="s">
        <v>74</v>
      </c>
      <c r="Z1048" t="s">
        <v>1747</v>
      </c>
      <c r="AA1048" t="s">
        <v>1747</v>
      </c>
    </row>
    <row r="1049" spans="1:27" x14ac:dyDescent="0.35">
      <c r="A1049" t="str">
        <f t="shared" si="33"/>
        <v>1906D4</v>
      </c>
      <c r="B1049" t="str">
        <f t="shared" si="32"/>
        <v>1906</v>
      </c>
      <c r="C1049" t="s">
        <v>1776</v>
      </c>
      <c r="D1049" t="s">
        <v>3</v>
      </c>
      <c r="E1049" t="s">
        <v>52</v>
      </c>
      <c r="F1049" t="s">
        <v>53</v>
      </c>
      <c r="G1049" t="s">
        <v>757</v>
      </c>
      <c r="H1049" t="s">
        <v>42</v>
      </c>
      <c r="I1049" t="s">
        <v>43</v>
      </c>
      <c r="J1049" t="s">
        <v>1775</v>
      </c>
      <c r="K1049" t="s">
        <v>56</v>
      </c>
      <c r="M1049" t="s">
        <v>106</v>
      </c>
      <c r="P1049" t="s">
        <v>58</v>
      </c>
      <c r="Q1049" t="s">
        <v>47</v>
      </c>
      <c r="R1049" t="s">
        <v>48</v>
      </c>
      <c r="V1049" t="s">
        <v>49</v>
      </c>
      <c r="X1049" t="s">
        <v>49</v>
      </c>
      <c r="Y1049" t="s">
        <v>59</v>
      </c>
      <c r="Z1049" t="s">
        <v>115</v>
      </c>
      <c r="AA1049" t="s">
        <v>115</v>
      </c>
    </row>
    <row r="1050" spans="1:27" x14ac:dyDescent="0.35">
      <c r="A1050" t="str">
        <f t="shared" si="33"/>
        <v>1906D2</v>
      </c>
      <c r="B1050" t="str">
        <f t="shared" si="32"/>
        <v>1906</v>
      </c>
      <c r="C1050" t="s">
        <v>1777</v>
      </c>
      <c r="D1050" t="s">
        <v>2</v>
      </c>
      <c r="E1050" t="s">
        <v>62</v>
      </c>
      <c r="F1050" t="s">
        <v>63</v>
      </c>
      <c r="G1050" t="s">
        <v>757</v>
      </c>
      <c r="H1050" t="s">
        <v>42</v>
      </c>
      <c r="I1050" t="s">
        <v>43</v>
      </c>
      <c r="J1050" t="s">
        <v>1775</v>
      </c>
      <c r="K1050" t="s">
        <v>56</v>
      </c>
      <c r="M1050" t="s">
        <v>106</v>
      </c>
      <c r="P1050" t="s">
        <v>58</v>
      </c>
      <c r="Q1050" t="s">
        <v>47</v>
      </c>
      <c r="R1050" t="s">
        <v>48</v>
      </c>
      <c r="V1050" t="s">
        <v>49</v>
      </c>
      <c r="X1050" t="s">
        <v>49</v>
      </c>
      <c r="Y1050" t="s">
        <v>59</v>
      </c>
      <c r="Z1050" t="s">
        <v>121</v>
      </c>
      <c r="AA1050" t="s">
        <v>121</v>
      </c>
    </row>
    <row r="1051" spans="1:27" x14ac:dyDescent="0.35">
      <c r="A1051" t="str">
        <f t="shared" si="33"/>
        <v>1906F3</v>
      </c>
      <c r="B1051" t="str">
        <f t="shared" si="32"/>
        <v>1906</v>
      </c>
      <c r="C1051" t="s">
        <v>1778</v>
      </c>
      <c r="D1051" t="s">
        <v>5</v>
      </c>
      <c r="E1051" t="s">
        <v>40</v>
      </c>
      <c r="F1051" t="s">
        <v>73</v>
      </c>
      <c r="G1051" t="s">
        <v>757</v>
      </c>
      <c r="H1051" t="s">
        <v>42</v>
      </c>
      <c r="I1051" t="s">
        <v>67</v>
      </c>
      <c r="J1051" t="s">
        <v>1775</v>
      </c>
      <c r="M1051" t="s">
        <v>106</v>
      </c>
      <c r="P1051" t="s">
        <v>58</v>
      </c>
      <c r="Q1051" t="s">
        <v>47</v>
      </c>
      <c r="R1051" t="s">
        <v>48</v>
      </c>
      <c r="V1051" t="s">
        <v>49</v>
      </c>
      <c r="X1051" t="s">
        <v>49</v>
      </c>
      <c r="Y1051" t="s">
        <v>74</v>
      </c>
      <c r="Z1051" t="s">
        <v>1770</v>
      </c>
      <c r="AA1051" t="s">
        <v>1770</v>
      </c>
    </row>
    <row r="1052" spans="1:27" x14ac:dyDescent="0.35">
      <c r="A1052" t="str">
        <f t="shared" si="33"/>
        <v>1906C2</v>
      </c>
      <c r="B1052" t="str">
        <f t="shared" si="32"/>
        <v>1906</v>
      </c>
      <c r="C1052" t="s">
        <v>1779</v>
      </c>
      <c r="D1052" t="s">
        <v>1</v>
      </c>
      <c r="E1052" t="s">
        <v>65</v>
      </c>
      <c r="F1052" t="s">
        <v>66</v>
      </c>
      <c r="G1052" t="s">
        <v>757</v>
      </c>
      <c r="H1052" t="s">
        <v>42</v>
      </c>
      <c r="I1052" t="s">
        <v>67</v>
      </c>
      <c r="J1052" t="s">
        <v>1775</v>
      </c>
      <c r="M1052" t="s">
        <v>106</v>
      </c>
      <c r="P1052" t="s">
        <v>69</v>
      </c>
      <c r="Q1052" t="s">
        <v>47</v>
      </c>
      <c r="R1052" t="s">
        <v>48</v>
      </c>
      <c r="V1052" t="s">
        <v>49</v>
      </c>
      <c r="X1052" t="s">
        <v>49</v>
      </c>
      <c r="Y1052" t="s">
        <v>70</v>
      </c>
      <c r="Z1052" t="s">
        <v>107</v>
      </c>
      <c r="AA1052" t="s">
        <v>107</v>
      </c>
    </row>
    <row r="1053" spans="1:27" x14ac:dyDescent="0.35">
      <c r="A1053" t="str">
        <f t="shared" si="33"/>
        <v>1906D7</v>
      </c>
      <c r="B1053" t="str">
        <f t="shared" si="32"/>
        <v>1906</v>
      </c>
      <c r="C1053" t="s">
        <v>1780</v>
      </c>
      <c r="D1053" t="s">
        <v>6</v>
      </c>
      <c r="E1053" t="s">
        <v>94</v>
      </c>
      <c r="F1053" t="s">
        <v>111</v>
      </c>
      <c r="G1053" t="s">
        <v>757</v>
      </c>
      <c r="H1053" t="s">
        <v>42</v>
      </c>
      <c r="I1053" t="s">
        <v>43</v>
      </c>
      <c r="J1053" t="s">
        <v>1775</v>
      </c>
      <c r="M1053" t="s">
        <v>106</v>
      </c>
      <c r="P1053" t="s">
        <v>46</v>
      </c>
      <c r="Q1053" t="s">
        <v>47</v>
      </c>
      <c r="R1053" t="s">
        <v>48</v>
      </c>
      <c r="V1053" t="s">
        <v>49</v>
      </c>
      <c r="X1053" t="s">
        <v>49</v>
      </c>
      <c r="Y1053" t="s">
        <v>59</v>
      </c>
      <c r="Z1053" t="s">
        <v>1781</v>
      </c>
      <c r="AA1053" t="s">
        <v>1781</v>
      </c>
    </row>
    <row r="1054" spans="1:27" x14ac:dyDescent="0.35">
      <c r="A1054" t="str">
        <f t="shared" si="33"/>
        <v>1905F2</v>
      </c>
      <c r="B1054" t="str">
        <f t="shared" si="32"/>
        <v>1905</v>
      </c>
      <c r="C1054" t="s">
        <v>1782</v>
      </c>
      <c r="D1054" t="s">
        <v>4</v>
      </c>
      <c r="E1054" t="s">
        <v>77</v>
      </c>
      <c r="F1054" t="s">
        <v>78</v>
      </c>
      <c r="G1054" t="s">
        <v>757</v>
      </c>
      <c r="H1054" t="s">
        <v>42</v>
      </c>
      <c r="I1054" t="s">
        <v>67</v>
      </c>
      <c r="J1054" t="s">
        <v>44</v>
      </c>
      <c r="M1054" t="s">
        <v>106</v>
      </c>
      <c r="P1054" t="s">
        <v>178</v>
      </c>
      <c r="Q1054" t="s">
        <v>47</v>
      </c>
      <c r="R1054" t="s">
        <v>48</v>
      </c>
      <c r="V1054" t="s">
        <v>49</v>
      </c>
      <c r="X1054" t="s">
        <v>49</v>
      </c>
      <c r="Y1054" t="s">
        <v>74</v>
      </c>
      <c r="Z1054" t="s">
        <v>1747</v>
      </c>
      <c r="AA1054" t="s">
        <v>1747</v>
      </c>
    </row>
    <row r="1055" spans="1:27" x14ac:dyDescent="0.35">
      <c r="A1055" t="str">
        <f t="shared" si="33"/>
        <v>1905D4</v>
      </c>
      <c r="B1055" t="str">
        <f t="shared" si="32"/>
        <v>1905</v>
      </c>
      <c r="C1055" t="s">
        <v>1783</v>
      </c>
      <c r="D1055" t="s">
        <v>3</v>
      </c>
      <c r="E1055" t="s">
        <v>52</v>
      </c>
      <c r="F1055" t="s">
        <v>53</v>
      </c>
      <c r="G1055" t="s">
        <v>757</v>
      </c>
      <c r="H1055" t="s">
        <v>42</v>
      </c>
      <c r="I1055" t="s">
        <v>43</v>
      </c>
      <c r="J1055" t="s">
        <v>44</v>
      </c>
      <c r="K1055" t="s">
        <v>56</v>
      </c>
      <c r="M1055" t="s">
        <v>106</v>
      </c>
      <c r="P1055" t="s">
        <v>58</v>
      </c>
      <c r="Q1055" t="s">
        <v>47</v>
      </c>
      <c r="R1055" t="s">
        <v>48</v>
      </c>
      <c r="V1055" t="s">
        <v>49</v>
      </c>
      <c r="X1055" t="s">
        <v>49</v>
      </c>
      <c r="Y1055" t="s">
        <v>59</v>
      </c>
      <c r="Z1055" t="s">
        <v>115</v>
      </c>
      <c r="AA1055" t="s">
        <v>115</v>
      </c>
    </row>
    <row r="1056" spans="1:27" x14ac:dyDescent="0.35">
      <c r="A1056" t="str">
        <f t="shared" si="33"/>
        <v>1905D2</v>
      </c>
      <c r="B1056" t="str">
        <f t="shared" si="32"/>
        <v>1905</v>
      </c>
      <c r="C1056" t="s">
        <v>1784</v>
      </c>
      <c r="D1056" t="s">
        <v>2</v>
      </c>
      <c r="E1056" t="s">
        <v>62</v>
      </c>
      <c r="F1056" t="s">
        <v>63</v>
      </c>
      <c r="G1056" t="s">
        <v>757</v>
      </c>
      <c r="H1056" t="s">
        <v>42</v>
      </c>
      <c r="I1056" t="s">
        <v>43</v>
      </c>
      <c r="J1056" t="s">
        <v>44</v>
      </c>
      <c r="K1056" t="s">
        <v>56</v>
      </c>
      <c r="M1056" t="s">
        <v>106</v>
      </c>
      <c r="P1056" t="s">
        <v>58</v>
      </c>
      <c r="Q1056" t="s">
        <v>47</v>
      </c>
      <c r="R1056" t="s">
        <v>48</v>
      </c>
      <c r="V1056" t="s">
        <v>49</v>
      </c>
      <c r="X1056" t="s">
        <v>49</v>
      </c>
      <c r="Y1056" t="s">
        <v>59</v>
      </c>
      <c r="Z1056" t="s">
        <v>121</v>
      </c>
      <c r="AA1056" t="s">
        <v>121</v>
      </c>
    </row>
    <row r="1057" spans="1:27" x14ac:dyDescent="0.35">
      <c r="A1057" t="str">
        <f t="shared" si="33"/>
        <v>1905F3</v>
      </c>
      <c r="B1057" t="str">
        <f t="shared" si="32"/>
        <v>1905</v>
      </c>
      <c r="C1057" t="s">
        <v>1785</v>
      </c>
      <c r="D1057" t="s">
        <v>5</v>
      </c>
      <c r="E1057" t="s">
        <v>40</v>
      </c>
      <c r="F1057" t="s">
        <v>73</v>
      </c>
      <c r="G1057" t="s">
        <v>757</v>
      </c>
      <c r="H1057" t="s">
        <v>42</v>
      </c>
      <c r="I1057" t="s">
        <v>67</v>
      </c>
      <c r="J1057" t="s">
        <v>44</v>
      </c>
      <c r="M1057" t="s">
        <v>106</v>
      </c>
      <c r="P1057" t="s">
        <v>69</v>
      </c>
      <c r="Q1057" t="s">
        <v>47</v>
      </c>
      <c r="R1057" t="s">
        <v>48</v>
      </c>
      <c r="V1057" t="s">
        <v>49</v>
      </c>
      <c r="X1057" t="s">
        <v>49</v>
      </c>
      <c r="Y1057" t="s">
        <v>74</v>
      </c>
      <c r="Z1057" t="s">
        <v>1786</v>
      </c>
      <c r="AA1057" t="s">
        <v>1786</v>
      </c>
    </row>
    <row r="1058" spans="1:27" x14ac:dyDescent="0.35">
      <c r="A1058" t="str">
        <f t="shared" si="33"/>
        <v>1905C2</v>
      </c>
      <c r="B1058" t="str">
        <f t="shared" si="32"/>
        <v>1905</v>
      </c>
      <c r="C1058" t="s">
        <v>1787</v>
      </c>
      <c r="D1058" t="s">
        <v>1</v>
      </c>
      <c r="E1058" t="s">
        <v>65</v>
      </c>
      <c r="F1058" t="s">
        <v>66</v>
      </c>
      <c r="G1058" t="s">
        <v>757</v>
      </c>
      <c r="H1058" t="s">
        <v>42</v>
      </c>
      <c r="I1058" t="s">
        <v>67</v>
      </c>
      <c r="J1058" t="s">
        <v>44</v>
      </c>
      <c r="M1058" t="s">
        <v>106</v>
      </c>
      <c r="P1058" t="s">
        <v>69</v>
      </c>
      <c r="Q1058" t="s">
        <v>47</v>
      </c>
      <c r="R1058" t="s">
        <v>48</v>
      </c>
      <c r="V1058" t="s">
        <v>49</v>
      </c>
      <c r="X1058" t="s">
        <v>49</v>
      </c>
      <c r="Y1058" t="s">
        <v>70</v>
      </c>
      <c r="Z1058" t="s">
        <v>107</v>
      </c>
      <c r="AA1058" t="s">
        <v>107</v>
      </c>
    </row>
    <row r="1059" spans="1:27" x14ac:dyDescent="0.35">
      <c r="A1059" t="str">
        <f t="shared" si="33"/>
        <v>1905D7</v>
      </c>
      <c r="B1059" t="str">
        <f t="shared" si="32"/>
        <v>1905</v>
      </c>
      <c r="C1059" t="s">
        <v>1788</v>
      </c>
      <c r="D1059" t="s">
        <v>6</v>
      </c>
      <c r="E1059" t="s">
        <v>94</v>
      </c>
      <c r="F1059" t="s">
        <v>111</v>
      </c>
      <c r="G1059" t="s">
        <v>757</v>
      </c>
      <c r="H1059" t="s">
        <v>42</v>
      </c>
      <c r="I1059" t="s">
        <v>43</v>
      </c>
      <c r="J1059" t="s">
        <v>44</v>
      </c>
      <c r="M1059" t="s">
        <v>106</v>
      </c>
      <c r="P1059" t="s">
        <v>46</v>
      </c>
      <c r="Q1059" t="s">
        <v>47</v>
      </c>
      <c r="R1059" t="s">
        <v>48</v>
      </c>
      <c r="V1059" t="s">
        <v>49</v>
      </c>
      <c r="X1059" t="s">
        <v>49</v>
      </c>
      <c r="Y1059" t="s">
        <v>59</v>
      </c>
      <c r="Z1059" t="s">
        <v>1781</v>
      </c>
      <c r="AA1059" t="s">
        <v>1781</v>
      </c>
    </row>
    <row r="1060" spans="1:27" x14ac:dyDescent="0.35">
      <c r="A1060" t="str">
        <f t="shared" si="33"/>
        <v>1904F2</v>
      </c>
      <c r="B1060" t="str">
        <f t="shared" si="32"/>
        <v>1904</v>
      </c>
      <c r="C1060" t="s">
        <v>1789</v>
      </c>
      <c r="D1060" t="s">
        <v>4</v>
      </c>
      <c r="E1060" t="s">
        <v>77</v>
      </c>
      <c r="F1060" t="s">
        <v>78</v>
      </c>
      <c r="G1060" t="s">
        <v>757</v>
      </c>
      <c r="H1060" t="s">
        <v>42</v>
      </c>
      <c r="I1060" t="s">
        <v>67</v>
      </c>
      <c r="J1060" t="s">
        <v>1790</v>
      </c>
      <c r="M1060" t="s">
        <v>106</v>
      </c>
      <c r="P1060" t="s">
        <v>710</v>
      </c>
      <c r="Q1060" t="s">
        <v>47</v>
      </c>
      <c r="R1060" t="s">
        <v>48</v>
      </c>
      <c r="V1060" t="s">
        <v>49</v>
      </c>
      <c r="X1060" t="s">
        <v>49</v>
      </c>
      <c r="Y1060" t="s">
        <v>74</v>
      </c>
      <c r="Z1060" t="s">
        <v>1791</v>
      </c>
      <c r="AA1060" t="s">
        <v>1791</v>
      </c>
    </row>
    <row r="1061" spans="1:27" x14ac:dyDescent="0.35">
      <c r="A1061" t="str">
        <f t="shared" si="33"/>
        <v>1904D4</v>
      </c>
      <c r="B1061" t="str">
        <f t="shared" si="32"/>
        <v>1904</v>
      </c>
      <c r="C1061" t="s">
        <v>1792</v>
      </c>
      <c r="D1061" t="s">
        <v>3</v>
      </c>
      <c r="E1061" t="s">
        <v>52</v>
      </c>
      <c r="F1061" t="s">
        <v>53</v>
      </c>
      <c r="G1061" t="s">
        <v>757</v>
      </c>
      <c r="H1061" t="s">
        <v>42</v>
      </c>
      <c r="I1061" t="s">
        <v>43</v>
      </c>
      <c r="J1061" t="s">
        <v>1790</v>
      </c>
      <c r="K1061" t="s">
        <v>56</v>
      </c>
      <c r="M1061" t="s">
        <v>106</v>
      </c>
      <c r="P1061" t="s">
        <v>58</v>
      </c>
      <c r="Q1061" t="s">
        <v>47</v>
      </c>
      <c r="R1061" t="s">
        <v>48</v>
      </c>
      <c r="V1061" t="s">
        <v>49</v>
      </c>
      <c r="X1061" t="s">
        <v>49</v>
      </c>
      <c r="Y1061" t="s">
        <v>59</v>
      </c>
      <c r="Z1061" t="s">
        <v>115</v>
      </c>
      <c r="AA1061" t="s">
        <v>115</v>
      </c>
    </row>
    <row r="1062" spans="1:27" x14ac:dyDescent="0.35">
      <c r="A1062" t="str">
        <f t="shared" si="33"/>
        <v>1904D2</v>
      </c>
      <c r="B1062" t="str">
        <f t="shared" si="32"/>
        <v>1904</v>
      </c>
      <c r="C1062" t="s">
        <v>1793</v>
      </c>
      <c r="D1062" t="s">
        <v>2</v>
      </c>
      <c r="E1062" t="s">
        <v>62</v>
      </c>
      <c r="F1062" t="s">
        <v>63</v>
      </c>
      <c r="G1062" t="s">
        <v>757</v>
      </c>
      <c r="H1062" t="s">
        <v>42</v>
      </c>
      <c r="I1062" t="s">
        <v>43</v>
      </c>
      <c r="J1062" t="s">
        <v>1790</v>
      </c>
      <c r="K1062" t="s">
        <v>56</v>
      </c>
      <c r="M1062" t="s">
        <v>106</v>
      </c>
      <c r="P1062" t="s">
        <v>58</v>
      </c>
      <c r="Q1062" t="s">
        <v>47</v>
      </c>
      <c r="R1062" t="s">
        <v>48</v>
      </c>
      <c r="V1062" t="s">
        <v>49</v>
      </c>
      <c r="X1062" t="s">
        <v>49</v>
      </c>
      <c r="Y1062" t="s">
        <v>59</v>
      </c>
      <c r="Z1062" t="s">
        <v>121</v>
      </c>
      <c r="AA1062" t="s">
        <v>121</v>
      </c>
    </row>
    <row r="1063" spans="1:27" x14ac:dyDescent="0.35">
      <c r="A1063" t="str">
        <f t="shared" si="33"/>
        <v>1904F3</v>
      </c>
      <c r="B1063" t="str">
        <f t="shared" si="32"/>
        <v>1904</v>
      </c>
      <c r="C1063" t="s">
        <v>1794</v>
      </c>
      <c r="D1063" t="s">
        <v>5</v>
      </c>
      <c r="E1063" t="s">
        <v>40</v>
      </c>
      <c r="F1063" t="s">
        <v>73</v>
      </c>
      <c r="G1063" t="s">
        <v>757</v>
      </c>
      <c r="H1063" t="s">
        <v>42</v>
      </c>
      <c r="I1063" t="s">
        <v>67</v>
      </c>
      <c r="J1063" t="s">
        <v>1790</v>
      </c>
      <c r="M1063" t="s">
        <v>106</v>
      </c>
      <c r="P1063" t="s">
        <v>58</v>
      </c>
      <c r="Q1063" t="s">
        <v>47</v>
      </c>
      <c r="R1063" t="s">
        <v>48</v>
      </c>
      <c r="V1063" t="s">
        <v>49</v>
      </c>
      <c r="X1063" t="s">
        <v>49</v>
      </c>
      <c r="Y1063" t="s">
        <v>74</v>
      </c>
      <c r="Z1063" t="s">
        <v>1795</v>
      </c>
      <c r="AA1063" t="s">
        <v>1795</v>
      </c>
    </row>
    <row r="1064" spans="1:27" x14ac:dyDescent="0.35">
      <c r="A1064" t="str">
        <f t="shared" si="33"/>
        <v>1904C2</v>
      </c>
      <c r="B1064" t="str">
        <f t="shared" si="32"/>
        <v>1904</v>
      </c>
      <c r="C1064" t="s">
        <v>1796</v>
      </c>
      <c r="D1064" t="s">
        <v>1</v>
      </c>
      <c r="E1064" t="s">
        <v>65</v>
      </c>
      <c r="F1064" t="s">
        <v>66</v>
      </c>
      <c r="G1064" t="s">
        <v>757</v>
      </c>
      <c r="H1064" t="s">
        <v>42</v>
      </c>
      <c r="I1064" t="s">
        <v>67</v>
      </c>
      <c r="J1064" t="s">
        <v>1790</v>
      </c>
      <c r="M1064" t="s">
        <v>106</v>
      </c>
      <c r="P1064" t="s">
        <v>69</v>
      </c>
      <c r="Q1064" t="s">
        <v>47</v>
      </c>
      <c r="R1064" t="s">
        <v>48</v>
      </c>
      <c r="V1064" t="s">
        <v>49</v>
      </c>
      <c r="X1064" t="s">
        <v>49</v>
      </c>
      <c r="Y1064" t="s">
        <v>70</v>
      </c>
      <c r="Z1064" t="s">
        <v>107</v>
      </c>
      <c r="AA1064" t="s">
        <v>107</v>
      </c>
    </row>
    <row r="1065" spans="1:27" x14ac:dyDescent="0.35">
      <c r="A1065" t="str">
        <f t="shared" si="33"/>
        <v>1904D7</v>
      </c>
      <c r="B1065" t="str">
        <f t="shared" si="32"/>
        <v>1904</v>
      </c>
      <c r="C1065" t="s">
        <v>1797</v>
      </c>
      <c r="D1065" t="s">
        <v>6</v>
      </c>
      <c r="E1065" t="s">
        <v>94</v>
      </c>
      <c r="F1065" t="s">
        <v>111</v>
      </c>
      <c r="G1065" t="s">
        <v>757</v>
      </c>
      <c r="H1065" t="s">
        <v>42</v>
      </c>
      <c r="I1065" t="s">
        <v>43</v>
      </c>
      <c r="J1065" t="s">
        <v>1790</v>
      </c>
      <c r="M1065" t="s">
        <v>106</v>
      </c>
      <c r="P1065" t="s">
        <v>46</v>
      </c>
      <c r="Q1065" t="s">
        <v>47</v>
      </c>
      <c r="R1065" t="s">
        <v>48</v>
      </c>
      <c r="V1065" t="s">
        <v>49</v>
      </c>
      <c r="X1065" t="s">
        <v>49</v>
      </c>
      <c r="Y1065" t="s">
        <v>59</v>
      </c>
      <c r="Z1065" t="s">
        <v>1798</v>
      </c>
      <c r="AA1065" t="s">
        <v>1798</v>
      </c>
    </row>
    <row r="1066" spans="1:27" x14ac:dyDescent="0.35">
      <c r="A1066" t="str">
        <f t="shared" si="33"/>
        <v>1903F2</v>
      </c>
      <c r="B1066" t="str">
        <f t="shared" si="32"/>
        <v>1903</v>
      </c>
      <c r="C1066" t="s">
        <v>1799</v>
      </c>
      <c r="D1066" t="s">
        <v>4</v>
      </c>
      <c r="E1066" t="s">
        <v>77</v>
      </c>
      <c r="F1066" t="s">
        <v>78</v>
      </c>
      <c r="G1066" t="s">
        <v>757</v>
      </c>
      <c r="H1066" t="s">
        <v>42</v>
      </c>
      <c r="I1066" t="s">
        <v>67</v>
      </c>
      <c r="J1066" t="s">
        <v>1800</v>
      </c>
      <c r="M1066" t="s">
        <v>106</v>
      </c>
      <c r="P1066" t="s">
        <v>91</v>
      </c>
      <c r="Q1066" t="s">
        <v>47</v>
      </c>
      <c r="R1066" t="s">
        <v>48</v>
      </c>
      <c r="V1066" t="s">
        <v>49</v>
      </c>
      <c r="X1066" t="s">
        <v>49</v>
      </c>
      <c r="Y1066" t="s">
        <v>74</v>
      </c>
      <c r="Z1066" t="s">
        <v>1791</v>
      </c>
      <c r="AA1066" t="s">
        <v>1791</v>
      </c>
    </row>
    <row r="1067" spans="1:27" x14ac:dyDescent="0.35">
      <c r="A1067" t="str">
        <f t="shared" si="33"/>
        <v>1903D4</v>
      </c>
      <c r="B1067" t="str">
        <f t="shared" si="32"/>
        <v>1903</v>
      </c>
      <c r="C1067" t="s">
        <v>1801</v>
      </c>
      <c r="D1067" t="s">
        <v>3</v>
      </c>
      <c r="E1067" t="s">
        <v>52</v>
      </c>
      <c r="F1067" t="s">
        <v>53</v>
      </c>
      <c r="G1067" t="s">
        <v>757</v>
      </c>
      <c r="H1067" t="s">
        <v>42</v>
      </c>
      <c r="I1067" t="s">
        <v>43</v>
      </c>
      <c r="J1067" t="s">
        <v>1800</v>
      </c>
      <c r="K1067" t="s">
        <v>56</v>
      </c>
      <c r="M1067" t="s">
        <v>106</v>
      </c>
      <c r="P1067" t="s">
        <v>58</v>
      </c>
      <c r="Q1067" t="s">
        <v>47</v>
      </c>
      <c r="R1067" t="s">
        <v>48</v>
      </c>
      <c r="V1067" t="s">
        <v>49</v>
      </c>
      <c r="X1067" t="s">
        <v>49</v>
      </c>
      <c r="Y1067" t="s">
        <v>59</v>
      </c>
      <c r="Z1067" t="s">
        <v>115</v>
      </c>
      <c r="AA1067" t="s">
        <v>115</v>
      </c>
    </row>
    <row r="1068" spans="1:27" x14ac:dyDescent="0.35">
      <c r="A1068" t="str">
        <f t="shared" si="33"/>
        <v>1903D2</v>
      </c>
      <c r="B1068" t="str">
        <f t="shared" si="32"/>
        <v>1903</v>
      </c>
      <c r="C1068" t="s">
        <v>1802</v>
      </c>
      <c r="D1068" t="s">
        <v>2</v>
      </c>
      <c r="E1068" t="s">
        <v>62</v>
      </c>
      <c r="F1068" t="s">
        <v>63</v>
      </c>
      <c r="G1068" t="s">
        <v>757</v>
      </c>
      <c r="H1068" t="s">
        <v>42</v>
      </c>
      <c r="I1068" t="s">
        <v>43</v>
      </c>
      <c r="J1068" t="s">
        <v>1800</v>
      </c>
      <c r="K1068" t="s">
        <v>56</v>
      </c>
      <c r="M1068" t="s">
        <v>106</v>
      </c>
      <c r="P1068" t="s">
        <v>58</v>
      </c>
      <c r="Q1068" t="s">
        <v>47</v>
      </c>
      <c r="R1068" t="s">
        <v>48</v>
      </c>
      <c r="V1068" t="s">
        <v>49</v>
      </c>
      <c r="X1068" t="s">
        <v>49</v>
      </c>
      <c r="Y1068" t="s">
        <v>59</v>
      </c>
      <c r="Z1068" t="s">
        <v>121</v>
      </c>
      <c r="AA1068" t="s">
        <v>121</v>
      </c>
    </row>
    <row r="1069" spans="1:27" x14ac:dyDescent="0.35">
      <c r="A1069" t="str">
        <f t="shared" si="33"/>
        <v>1903F3</v>
      </c>
      <c r="B1069" t="str">
        <f t="shared" si="32"/>
        <v>1903</v>
      </c>
      <c r="C1069" t="s">
        <v>1803</v>
      </c>
      <c r="D1069" t="s">
        <v>5</v>
      </c>
      <c r="E1069" t="s">
        <v>40</v>
      </c>
      <c r="F1069" t="s">
        <v>73</v>
      </c>
      <c r="G1069" t="s">
        <v>757</v>
      </c>
      <c r="H1069" t="s">
        <v>42</v>
      </c>
      <c r="I1069" t="s">
        <v>67</v>
      </c>
      <c r="J1069" t="s">
        <v>1800</v>
      </c>
      <c r="M1069" t="s">
        <v>106</v>
      </c>
      <c r="P1069" t="s">
        <v>58</v>
      </c>
      <c r="Q1069" t="s">
        <v>47</v>
      </c>
      <c r="R1069" t="s">
        <v>48</v>
      </c>
      <c r="V1069" t="s">
        <v>49</v>
      </c>
      <c r="X1069" t="s">
        <v>49</v>
      </c>
      <c r="Y1069" t="s">
        <v>74</v>
      </c>
      <c r="Z1069" t="s">
        <v>1795</v>
      </c>
      <c r="AA1069" t="s">
        <v>1795</v>
      </c>
    </row>
    <row r="1070" spans="1:27" x14ac:dyDescent="0.35">
      <c r="A1070" t="str">
        <f t="shared" si="33"/>
        <v>1903C2</v>
      </c>
      <c r="B1070" t="str">
        <f t="shared" si="32"/>
        <v>1903</v>
      </c>
      <c r="C1070" t="s">
        <v>1804</v>
      </c>
      <c r="D1070" t="s">
        <v>1</v>
      </c>
      <c r="E1070" t="s">
        <v>65</v>
      </c>
      <c r="F1070" t="s">
        <v>66</v>
      </c>
      <c r="G1070" t="s">
        <v>757</v>
      </c>
      <c r="H1070" t="s">
        <v>42</v>
      </c>
      <c r="I1070" t="s">
        <v>67</v>
      </c>
      <c r="J1070" t="s">
        <v>1800</v>
      </c>
      <c r="M1070" t="s">
        <v>106</v>
      </c>
      <c r="P1070" t="s">
        <v>69</v>
      </c>
      <c r="Q1070" t="s">
        <v>47</v>
      </c>
      <c r="R1070" t="s">
        <v>48</v>
      </c>
      <c r="V1070" t="s">
        <v>49</v>
      </c>
      <c r="X1070" t="s">
        <v>49</v>
      </c>
      <c r="Y1070" t="s">
        <v>70</v>
      </c>
      <c r="Z1070" t="s">
        <v>1805</v>
      </c>
      <c r="AA1070" t="s">
        <v>1806</v>
      </c>
    </row>
    <row r="1071" spans="1:27" x14ac:dyDescent="0.35">
      <c r="A1071" t="str">
        <f t="shared" si="33"/>
        <v>1903D7</v>
      </c>
      <c r="B1071" t="str">
        <f t="shared" si="32"/>
        <v>1903</v>
      </c>
      <c r="C1071" t="s">
        <v>1807</v>
      </c>
      <c r="D1071" t="s">
        <v>6</v>
      </c>
      <c r="E1071" t="s">
        <v>94</v>
      </c>
      <c r="F1071" t="s">
        <v>111</v>
      </c>
      <c r="G1071" t="s">
        <v>757</v>
      </c>
      <c r="H1071" t="s">
        <v>42</v>
      </c>
      <c r="I1071" t="s">
        <v>43</v>
      </c>
      <c r="J1071" t="s">
        <v>1800</v>
      </c>
      <c r="M1071" t="s">
        <v>106</v>
      </c>
      <c r="P1071" t="s">
        <v>46</v>
      </c>
      <c r="Q1071" t="s">
        <v>47</v>
      </c>
      <c r="R1071" t="s">
        <v>48</v>
      </c>
      <c r="V1071" t="s">
        <v>49</v>
      </c>
      <c r="X1071" t="s">
        <v>49</v>
      </c>
      <c r="Y1071" t="s">
        <v>59</v>
      </c>
      <c r="Z1071" t="s">
        <v>1798</v>
      </c>
      <c r="AA1071" t="s">
        <v>1798</v>
      </c>
    </row>
    <row r="1072" spans="1:27" x14ac:dyDescent="0.35">
      <c r="A1072" t="str">
        <f t="shared" si="33"/>
        <v>1902F2</v>
      </c>
      <c r="B1072" t="str">
        <f t="shared" si="32"/>
        <v>1902</v>
      </c>
      <c r="C1072" t="s">
        <v>1808</v>
      </c>
      <c r="D1072" t="s">
        <v>4</v>
      </c>
      <c r="E1072" t="s">
        <v>77</v>
      </c>
      <c r="F1072" t="s">
        <v>78</v>
      </c>
      <c r="G1072" t="s">
        <v>757</v>
      </c>
      <c r="H1072" t="s">
        <v>42</v>
      </c>
      <c r="I1072" t="s">
        <v>67</v>
      </c>
      <c r="J1072" t="s">
        <v>1809</v>
      </c>
      <c r="M1072" t="s">
        <v>106</v>
      </c>
      <c r="P1072" t="s">
        <v>138</v>
      </c>
      <c r="Q1072" t="s">
        <v>47</v>
      </c>
      <c r="R1072" t="s">
        <v>48</v>
      </c>
      <c r="V1072" t="s">
        <v>49</v>
      </c>
      <c r="X1072" t="s">
        <v>49</v>
      </c>
      <c r="Y1072" t="s">
        <v>74</v>
      </c>
      <c r="Z1072" t="s">
        <v>1810</v>
      </c>
      <c r="AA1072" t="s">
        <v>1810</v>
      </c>
    </row>
    <row r="1073" spans="1:27" x14ac:dyDescent="0.35">
      <c r="A1073" t="str">
        <f t="shared" si="33"/>
        <v>1902D4</v>
      </c>
      <c r="B1073" t="str">
        <f t="shared" si="32"/>
        <v>1902</v>
      </c>
      <c r="C1073" t="s">
        <v>1811</v>
      </c>
      <c r="D1073" t="s">
        <v>3</v>
      </c>
      <c r="E1073" t="s">
        <v>52</v>
      </c>
      <c r="F1073" t="s">
        <v>53</v>
      </c>
      <c r="G1073" t="s">
        <v>757</v>
      </c>
      <c r="H1073" t="s">
        <v>42</v>
      </c>
      <c r="I1073" t="s">
        <v>43</v>
      </c>
      <c r="J1073" t="s">
        <v>1809</v>
      </c>
      <c r="K1073" t="s">
        <v>56</v>
      </c>
      <c r="M1073" t="s">
        <v>106</v>
      </c>
      <c r="P1073" t="s">
        <v>58</v>
      </c>
      <c r="Q1073" t="s">
        <v>47</v>
      </c>
      <c r="R1073" t="s">
        <v>48</v>
      </c>
      <c r="V1073" t="s">
        <v>49</v>
      </c>
      <c r="X1073" t="s">
        <v>49</v>
      </c>
      <c r="Y1073" t="s">
        <v>59</v>
      </c>
      <c r="Z1073" t="s">
        <v>115</v>
      </c>
      <c r="AA1073" t="s">
        <v>115</v>
      </c>
    </row>
    <row r="1074" spans="1:27" x14ac:dyDescent="0.35">
      <c r="A1074" t="str">
        <f t="shared" si="33"/>
        <v>1902D2</v>
      </c>
      <c r="B1074" t="str">
        <f t="shared" si="32"/>
        <v>1902</v>
      </c>
      <c r="C1074" t="s">
        <v>1812</v>
      </c>
      <c r="D1074" t="s">
        <v>2</v>
      </c>
      <c r="E1074" t="s">
        <v>62</v>
      </c>
      <c r="F1074" t="s">
        <v>63</v>
      </c>
      <c r="G1074" t="s">
        <v>757</v>
      </c>
      <c r="H1074" t="s">
        <v>42</v>
      </c>
      <c r="I1074" t="s">
        <v>43</v>
      </c>
      <c r="J1074" t="s">
        <v>1809</v>
      </c>
      <c r="K1074" t="s">
        <v>56</v>
      </c>
      <c r="M1074" t="s">
        <v>106</v>
      </c>
      <c r="P1074" t="s">
        <v>58</v>
      </c>
      <c r="Q1074" t="s">
        <v>47</v>
      </c>
      <c r="R1074" t="s">
        <v>48</v>
      </c>
      <c r="V1074" t="s">
        <v>49</v>
      </c>
      <c r="X1074" t="s">
        <v>49</v>
      </c>
      <c r="Y1074" t="s">
        <v>59</v>
      </c>
      <c r="Z1074" t="s">
        <v>121</v>
      </c>
      <c r="AA1074" t="s">
        <v>121</v>
      </c>
    </row>
    <row r="1075" spans="1:27" x14ac:dyDescent="0.35">
      <c r="A1075" t="str">
        <f t="shared" si="33"/>
        <v>1902F3</v>
      </c>
      <c r="B1075" t="str">
        <f t="shared" si="32"/>
        <v>1902</v>
      </c>
      <c r="C1075" t="s">
        <v>1813</v>
      </c>
      <c r="D1075" t="s">
        <v>5</v>
      </c>
      <c r="E1075" t="s">
        <v>40</v>
      </c>
      <c r="F1075" t="s">
        <v>73</v>
      </c>
      <c r="G1075" t="s">
        <v>757</v>
      </c>
      <c r="H1075" t="s">
        <v>42</v>
      </c>
      <c r="I1075" t="s">
        <v>67</v>
      </c>
      <c r="J1075" t="s">
        <v>1809</v>
      </c>
      <c r="M1075" t="s">
        <v>106</v>
      </c>
      <c r="P1075" t="s">
        <v>69</v>
      </c>
      <c r="Q1075" t="s">
        <v>47</v>
      </c>
      <c r="R1075" t="s">
        <v>48</v>
      </c>
      <c r="V1075" t="s">
        <v>49</v>
      </c>
      <c r="X1075" t="s">
        <v>49</v>
      </c>
      <c r="Y1075" t="s">
        <v>74</v>
      </c>
      <c r="Z1075" t="s">
        <v>1814</v>
      </c>
      <c r="AA1075" t="s">
        <v>1814</v>
      </c>
    </row>
    <row r="1076" spans="1:27" x14ac:dyDescent="0.35">
      <c r="A1076" t="str">
        <f t="shared" si="33"/>
        <v>1902C2</v>
      </c>
      <c r="B1076" t="str">
        <f t="shared" si="32"/>
        <v>1902</v>
      </c>
      <c r="C1076" t="s">
        <v>1815</v>
      </c>
      <c r="D1076" t="s">
        <v>1</v>
      </c>
      <c r="E1076" t="s">
        <v>65</v>
      </c>
      <c r="F1076" t="s">
        <v>66</v>
      </c>
      <c r="G1076" t="s">
        <v>757</v>
      </c>
      <c r="H1076" t="s">
        <v>42</v>
      </c>
      <c r="I1076" t="s">
        <v>67</v>
      </c>
      <c r="J1076" t="s">
        <v>1809</v>
      </c>
      <c r="M1076" t="s">
        <v>106</v>
      </c>
      <c r="P1076" t="s">
        <v>69</v>
      </c>
      <c r="Q1076" t="s">
        <v>47</v>
      </c>
      <c r="R1076" t="s">
        <v>48</v>
      </c>
      <c r="V1076" t="s">
        <v>49</v>
      </c>
      <c r="X1076" t="s">
        <v>49</v>
      </c>
      <c r="Y1076" t="s">
        <v>70</v>
      </c>
      <c r="Z1076" t="s">
        <v>107</v>
      </c>
      <c r="AA1076" t="s">
        <v>107</v>
      </c>
    </row>
    <row r="1077" spans="1:27" x14ac:dyDescent="0.35">
      <c r="A1077" t="str">
        <f t="shared" si="33"/>
        <v>1902D7</v>
      </c>
      <c r="B1077" t="str">
        <f t="shared" si="32"/>
        <v>1902</v>
      </c>
      <c r="C1077" t="s">
        <v>1816</v>
      </c>
      <c r="D1077" t="s">
        <v>6</v>
      </c>
      <c r="E1077" t="s">
        <v>94</v>
      </c>
      <c r="F1077" t="s">
        <v>111</v>
      </c>
      <c r="G1077" t="s">
        <v>757</v>
      </c>
      <c r="H1077" t="s">
        <v>42</v>
      </c>
      <c r="I1077" t="s">
        <v>43</v>
      </c>
      <c r="J1077" t="s">
        <v>1809</v>
      </c>
      <c r="M1077" t="s">
        <v>106</v>
      </c>
      <c r="P1077" t="s">
        <v>46</v>
      </c>
      <c r="Q1077" t="s">
        <v>47</v>
      </c>
      <c r="R1077" t="s">
        <v>48</v>
      </c>
      <c r="V1077" t="s">
        <v>49</v>
      </c>
      <c r="X1077" t="s">
        <v>49</v>
      </c>
      <c r="Y1077" t="s">
        <v>59</v>
      </c>
      <c r="Z1077" t="s">
        <v>1798</v>
      </c>
      <c r="AA1077" t="s">
        <v>1798</v>
      </c>
    </row>
    <row r="1078" spans="1:27" x14ac:dyDescent="0.35">
      <c r="A1078" t="str">
        <f t="shared" si="33"/>
        <v>1901F2</v>
      </c>
      <c r="B1078" t="str">
        <f t="shared" si="32"/>
        <v>1901</v>
      </c>
      <c r="C1078" t="s">
        <v>1817</v>
      </c>
      <c r="D1078" t="s">
        <v>4</v>
      </c>
      <c r="E1078" t="s">
        <v>77</v>
      </c>
      <c r="F1078" t="s">
        <v>78</v>
      </c>
      <c r="G1078" t="s">
        <v>757</v>
      </c>
      <c r="H1078" t="s">
        <v>42</v>
      </c>
      <c r="I1078" t="s">
        <v>67</v>
      </c>
      <c r="J1078" t="s">
        <v>1818</v>
      </c>
      <c r="M1078" t="s">
        <v>106</v>
      </c>
      <c r="P1078" t="s">
        <v>138</v>
      </c>
      <c r="Q1078" t="s">
        <v>47</v>
      </c>
      <c r="R1078" t="s">
        <v>48</v>
      </c>
      <c r="V1078" t="s">
        <v>49</v>
      </c>
      <c r="X1078" t="s">
        <v>49</v>
      </c>
      <c r="Y1078" t="s">
        <v>74</v>
      </c>
      <c r="Z1078" t="s">
        <v>1810</v>
      </c>
      <c r="AA1078" t="s">
        <v>1810</v>
      </c>
    </row>
    <row r="1079" spans="1:27" x14ac:dyDescent="0.35">
      <c r="A1079" t="str">
        <f t="shared" si="33"/>
        <v>1901D4</v>
      </c>
      <c r="B1079" t="str">
        <f t="shared" si="32"/>
        <v>1901</v>
      </c>
      <c r="C1079" t="s">
        <v>1819</v>
      </c>
      <c r="D1079" t="s">
        <v>3</v>
      </c>
      <c r="E1079" t="s">
        <v>52</v>
      </c>
      <c r="F1079" t="s">
        <v>53</v>
      </c>
      <c r="G1079" t="s">
        <v>757</v>
      </c>
      <c r="H1079" t="s">
        <v>42</v>
      </c>
      <c r="I1079" t="s">
        <v>43</v>
      </c>
      <c r="J1079" t="s">
        <v>1818</v>
      </c>
      <c r="K1079" t="s">
        <v>56</v>
      </c>
      <c r="M1079" t="s">
        <v>106</v>
      </c>
      <c r="P1079" t="s">
        <v>58</v>
      </c>
      <c r="Q1079" t="s">
        <v>47</v>
      </c>
      <c r="R1079" t="s">
        <v>48</v>
      </c>
      <c r="V1079" t="s">
        <v>49</v>
      </c>
      <c r="X1079" t="s">
        <v>49</v>
      </c>
      <c r="Y1079" t="s">
        <v>59</v>
      </c>
      <c r="Z1079" t="s">
        <v>115</v>
      </c>
      <c r="AA1079" t="s">
        <v>115</v>
      </c>
    </row>
    <row r="1080" spans="1:27" x14ac:dyDescent="0.35">
      <c r="A1080" t="str">
        <f t="shared" si="33"/>
        <v>1901D2</v>
      </c>
      <c r="B1080" t="str">
        <f t="shared" si="32"/>
        <v>1901</v>
      </c>
      <c r="C1080" t="s">
        <v>1820</v>
      </c>
      <c r="D1080" t="s">
        <v>2</v>
      </c>
      <c r="E1080" t="s">
        <v>62</v>
      </c>
      <c r="F1080" t="s">
        <v>63</v>
      </c>
      <c r="G1080" t="s">
        <v>757</v>
      </c>
      <c r="H1080" t="s">
        <v>42</v>
      </c>
      <c r="I1080" t="s">
        <v>43</v>
      </c>
      <c r="J1080" t="s">
        <v>1818</v>
      </c>
      <c r="K1080" t="s">
        <v>56</v>
      </c>
      <c r="M1080" t="s">
        <v>106</v>
      </c>
      <c r="P1080" t="s">
        <v>58</v>
      </c>
      <c r="Q1080" t="s">
        <v>47</v>
      </c>
      <c r="R1080" t="s">
        <v>48</v>
      </c>
      <c r="V1080" t="s">
        <v>49</v>
      </c>
      <c r="X1080" t="s">
        <v>49</v>
      </c>
      <c r="Y1080" t="s">
        <v>59</v>
      </c>
      <c r="Z1080" t="s">
        <v>121</v>
      </c>
      <c r="AA1080" t="s">
        <v>121</v>
      </c>
    </row>
    <row r="1081" spans="1:27" x14ac:dyDescent="0.35">
      <c r="A1081" t="str">
        <f t="shared" si="33"/>
        <v>1901F3</v>
      </c>
      <c r="B1081" t="str">
        <f t="shared" si="32"/>
        <v>1901</v>
      </c>
      <c r="C1081" t="s">
        <v>1821</v>
      </c>
      <c r="D1081" t="s">
        <v>5</v>
      </c>
      <c r="E1081" t="s">
        <v>40</v>
      </c>
      <c r="F1081" t="s">
        <v>73</v>
      </c>
      <c r="G1081" t="s">
        <v>757</v>
      </c>
      <c r="H1081" t="s">
        <v>42</v>
      </c>
      <c r="I1081" t="s">
        <v>67</v>
      </c>
      <c r="J1081" t="s">
        <v>1818</v>
      </c>
      <c r="M1081" t="s">
        <v>106</v>
      </c>
      <c r="P1081" t="s">
        <v>58</v>
      </c>
      <c r="Q1081" t="s">
        <v>47</v>
      </c>
      <c r="R1081" t="s">
        <v>48</v>
      </c>
      <c r="V1081" t="s">
        <v>49</v>
      </c>
      <c r="X1081" t="s">
        <v>49</v>
      </c>
      <c r="Y1081" t="s">
        <v>74</v>
      </c>
      <c r="Z1081" t="s">
        <v>1814</v>
      </c>
      <c r="AA1081" t="s">
        <v>1814</v>
      </c>
    </row>
    <row r="1082" spans="1:27" x14ac:dyDescent="0.35">
      <c r="A1082" t="str">
        <f t="shared" si="33"/>
        <v>1901C2</v>
      </c>
      <c r="B1082" t="str">
        <f t="shared" si="32"/>
        <v>1901</v>
      </c>
      <c r="C1082" t="s">
        <v>1822</v>
      </c>
      <c r="D1082" t="s">
        <v>1</v>
      </c>
      <c r="E1082" t="s">
        <v>65</v>
      </c>
      <c r="F1082" t="s">
        <v>66</v>
      </c>
      <c r="G1082" t="s">
        <v>757</v>
      </c>
      <c r="H1082" t="s">
        <v>42</v>
      </c>
      <c r="I1082" t="s">
        <v>67</v>
      </c>
      <c r="J1082" t="s">
        <v>1818</v>
      </c>
      <c r="M1082" t="s">
        <v>106</v>
      </c>
      <c r="P1082" t="s">
        <v>69</v>
      </c>
      <c r="Q1082" t="s">
        <v>47</v>
      </c>
      <c r="R1082" t="s">
        <v>48</v>
      </c>
      <c r="V1082" t="s">
        <v>49</v>
      </c>
      <c r="X1082" t="s">
        <v>49</v>
      </c>
      <c r="Y1082" t="s">
        <v>70</v>
      </c>
      <c r="Z1082" t="s">
        <v>1823</v>
      </c>
      <c r="AA1082" t="s">
        <v>1823</v>
      </c>
    </row>
    <row r="1083" spans="1:27" x14ac:dyDescent="0.35">
      <c r="A1083" t="str">
        <f t="shared" si="33"/>
        <v>1901D7</v>
      </c>
      <c r="B1083" t="str">
        <f t="shared" si="32"/>
        <v>1901</v>
      </c>
      <c r="C1083" t="s">
        <v>1824</v>
      </c>
      <c r="D1083" t="s">
        <v>6</v>
      </c>
      <c r="E1083" t="s">
        <v>94</v>
      </c>
      <c r="F1083" t="s">
        <v>111</v>
      </c>
      <c r="G1083" t="s">
        <v>757</v>
      </c>
      <c r="H1083" t="s">
        <v>42</v>
      </c>
      <c r="I1083" t="s">
        <v>43</v>
      </c>
      <c r="J1083" t="s">
        <v>1818</v>
      </c>
      <c r="M1083" t="s">
        <v>106</v>
      </c>
      <c r="P1083" t="s">
        <v>46</v>
      </c>
      <c r="Q1083" t="s">
        <v>47</v>
      </c>
      <c r="R1083" t="s">
        <v>48</v>
      </c>
      <c r="V1083" t="s">
        <v>49</v>
      </c>
      <c r="X1083" t="s">
        <v>49</v>
      </c>
      <c r="Y1083" t="s">
        <v>59</v>
      </c>
      <c r="Z1083" t="s">
        <v>1825</v>
      </c>
      <c r="AA1083" t="s">
        <v>1825</v>
      </c>
    </row>
    <row r="1084" spans="1:27" x14ac:dyDescent="0.35">
      <c r="A1084" t="str">
        <f t="shared" si="33"/>
        <v>1810F2</v>
      </c>
      <c r="B1084" t="str">
        <f t="shared" si="32"/>
        <v>1810</v>
      </c>
      <c r="C1084" t="s">
        <v>1826</v>
      </c>
      <c r="D1084" t="s">
        <v>4</v>
      </c>
      <c r="E1084" t="s">
        <v>77</v>
      </c>
      <c r="F1084" t="s">
        <v>78</v>
      </c>
      <c r="G1084" t="s">
        <v>757</v>
      </c>
      <c r="H1084" t="s">
        <v>42</v>
      </c>
      <c r="I1084" t="s">
        <v>67</v>
      </c>
      <c r="J1084" t="s">
        <v>1827</v>
      </c>
      <c r="M1084" t="s">
        <v>106</v>
      </c>
      <c r="P1084" t="s">
        <v>710</v>
      </c>
      <c r="Q1084" t="s">
        <v>47</v>
      </c>
      <c r="R1084" t="s">
        <v>48</v>
      </c>
      <c r="V1084" t="s">
        <v>49</v>
      </c>
      <c r="X1084" t="s">
        <v>49</v>
      </c>
      <c r="Y1084" t="s">
        <v>74</v>
      </c>
      <c r="Z1084" t="s">
        <v>1810</v>
      </c>
      <c r="AA1084" t="s">
        <v>1810</v>
      </c>
    </row>
    <row r="1085" spans="1:27" x14ac:dyDescent="0.35">
      <c r="A1085" t="str">
        <f t="shared" si="33"/>
        <v>1810D4</v>
      </c>
      <c r="B1085" t="str">
        <f t="shared" si="32"/>
        <v>1810</v>
      </c>
      <c r="C1085" t="s">
        <v>1828</v>
      </c>
      <c r="D1085" t="s">
        <v>3</v>
      </c>
      <c r="E1085" t="s">
        <v>52</v>
      </c>
      <c r="F1085" t="s">
        <v>53</v>
      </c>
      <c r="G1085" t="s">
        <v>757</v>
      </c>
      <c r="H1085" t="s">
        <v>42</v>
      </c>
      <c r="I1085" t="s">
        <v>43</v>
      </c>
      <c r="J1085" t="s">
        <v>1827</v>
      </c>
      <c r="K1085" t="s">
        <v>56</v>
      </c>
      <c r="M1085" t="s">
        <v>106</v>
      </c>
      <c r="P1085" t="s">
        <v>58</v>
      </c>
      <c r="Q1085" t="s">
        <v>47</v>
      </c>
      <c r="R1085" t="s">
        <v>48</v>
      </c>
      <c r="V1085" t="s">
        <v>49</v>
      </c>
      <c r="X1085" t="s">
        <v>49</v>
      </c>
      <c r="Y1085" t="s">
        <v>59</v>
      </c>
      <c r="Z1085" t="s">
        <v>115</v>
      </c>
      <c r="AA1085" t="s">
        <v>115</v>
      </c>
    </row>
    <row r="1086" spans="1:27" x14ac:dyDescent="0.35">
      <c r="A1086" t="str">
        <f t="shared" si="33"/>
        <v>1810D2</v>
      </c>
      <c r="B1086" t="str">
        <f t="shared" si="32"/>
        <v>1810</v>
      </c>
      <c r="C1086" t="s">
        <v>1829</v>
      </c>
      <c r="D1086" t="s">
        <v>2</v>
      </c>
      <c r="E1086" t="s">
        <v>62</v>
      </c>
      <c r="F1086" t="s">
        <v>63</v>
      </c>
      <c r="G1086" t="s">
        <v>757</v>
      </c>
      <c r="H1086" t="s">
        <v>42</v>
      </c>
      <c r="I1086" t="s">
        <v>43</v>
      </c>
      <c r="J1086" t="s">
        <v>1827</v>
      </c>
      <c r="K1086" t="s">
        <v>56</v>
      </c>
      <c r="M1086" t="s">
        <v>106</v>
      </c>
      <c r="P1086" t="s">
        <v>58</v>
      </c>
      <c r="Q1086" t="s">
        <v>47</v>
      </c>
      <c r="R1086" t="s">
        <v>48</v>
      </c>
      <c r="V1086" t="s">
        <v>49</v>
      </c>
      <c r="X1086" t="s">
        <v>49</v>
      </c>
      <c r="Y1086" t="s">
        <v>59</v>
      </c>
      <c r="Z1086" t="s">
        <v>1830</v>
      </c>
      <c r="AA1086" t="s">
        <v>1830</v>
      </c>
    </row>
    <row r="1087" spans="1:27" x14ac:dyDescent="0.35">
      <c r="A1087" t="str">
        <f t="shared" si="33"/>
        <v>1810F3</v>
      </c>
      <c r="B1087" t="str">
        <f t="shared" si="32"/>
        <v>1810</v>
      </c>
      <c r="C1087" t="s">
        <v>1831</v>
      </c>
      <c r="D1087" t="s">
        <v>5</v>
      </c>
      <c r="E1087" t="s">
        <v>40</v>
      </c>
      <c r="F1087" t="s">
        <v>73</v>
      </c>
      <c r="G1087" t="s">
        <v>757</v>
      </c>
      <c r="H1087" t="s">
        <v>42</v>
      </c>
      <c r="I1087" t="s">
        <v>67</v>
      </c>
      <c r="J1087" t="s">
        <v>1827</v>
      </c>
      <c r="M1087" t="s">
        <v>106</v>
      </c>
      <c r="P1087" t="s">
        <v>58</v>
      </c>
      <c r="Q1087" t="s">
        <v>47</v>
      </c>
      <c r="R1087" t="s">
        <v>48</v>
      </c>
      <c r="V1087" t="s">
        <v>49</v>
      </c>
      <c r="X1087" t="s">
        <v>49</v>
      </c>
      <c r="Y1087" t="s">
        <v>74</v>
      </c>
      <c r="Z1087" t="s">
        <v>1832</v>
      </c>
      <c r="AA1087" t="s">
        <v>1832</v>
      </c>
    </row>
    <row r="1088" spans="1:27" x14ac:dyDescent="0.35">
      <c r="A1088" t="str">
        <f t="shared" si="33"/>
        <v>1810C2</v>
      </c>
      <c r="B1088" t="str">
        <f t="shared" si="32"/>
        <v>1810</v>
      </c>
      <c r="C1088" t="s">
        <v>1833</v>
      </c>
      <c r="D1088" t="s">
        <v>1</v>
      </c>
      <c r="E1088" t="s">
        <v>65</v>
      </c>
      <c r="F1088" t="s">
        <v>66</v>
      </c>
      <c r="G1088" t="s">
        <v>757</v>
      </c>
      <c r="H1088" t="s">
        <v>42</v>
      </c>
      <c r="I1088" t="s">
        <v>67</v>
      </c>
      <c r="J1088" t="s">
        <v>1827</v>
      </c>
      <c r="M1088" t="s">
        <v>106</v>
      </c>
      <c r="P1088" t="s">
        <v>69</v>
      </c>
      <c r="Q1088" t="s">
        <v>47</v>
      </c>
      <c r="R1088" t="s">
        <v>48</v>
      </c>
      <c r="V1088" t="s">
        <v>49</v>
      </c>
      <c r="X1088" t="s">
        <v>49</v>
      </c>
      <c r="Y1088" t="s">
        <v>70</v>
      </c>
      <c r="Z1088" t="s">
        <v>1834</v>
      </c>
      <c r="AA1088" t="s">
        <v>1834</v>
      </c>
    </row>
    <row r="1089" spans="1:27" x14ac:dyDescent="0.35">
      <c r="A1089" t="str">
        <f t="shared" si="33"/>
        <v>1810D7</v>
      </c>
      <c r="B1089" t="str">
        <f t="shared" si="32"/>
        <v>1810</v>
      </c>
      <c r="C1089" t="s">
        <v>1835</v>
      </c>
      <c r="D1089" t="s">
        <v>6</v>
      </c>
      <c r="E1089" t="s">
        <v>94</v>
      </c>
      <c r="F1089" t="s">
        <v>111</v>
      </c>
      <c r="G1089" t="s">
        <v>757</v>
      </c>
      <c r="H1089" t="s">
        <v>42</v>
      </c>
      <c r="I1089" t="s">
        <v>43</v>
      </c>
      <c r="J1089" t="s">
        <v>1827</v>
      </c>
      <c r="M1089" t="s">
        <v>106</v>
      </c>
      <c r="P1089" t="s">
        <v>46</v>
      </c>
      <c r="Q1089" t="s">
        <v>47</v>
      </c>
      <c r="R1089" t="s">
        <v>48</v>
      </c>
      <c r="V1089" t="s">
        <v>49</v>
      </c>
      <c r="X1089" t="s">
        <v>49</v>
      </c>
      <c r="Y1089" t="s">
        <v>59</v>
      </c>
      <c r="Z1089" t="s">
        <v>1836</v>
      </c>
      <c r="AA1089" t="s">
        <v>1836</v>
      </c>
    </row>
    <row r="1090" spans="1:27" x14ac:dyDescent="0.35">
      <c r="A1090" t="str">
        <f t="shared" si="33"/>
        <v>1809F2</v>
      </c>
      <c r="B1090" t="str">
        <f t="shared" ref="B1090:B1153" si="34">LEFT($J:$J,4)</f>
        <v>1809</v>
      </c>
      <c r="C1090" t="s">
        <v>1837</v>
      </c>
      <c r="D1090" t="s">
        <v>4</v>
      </c>
      <c r="E1090" t="s">
        <v>77</v>
      </c>
      <c r="F1090" t="s">
        <v>78</v>
      </c>
      <c r="G1090" t="s">
        <v>757</v>
      </c>
      <c r="H1090" t="s">
        <v>42</v>
      </c>
      <c r="I1090" t="s">
        <v>67</v>
      </c>
      <c r="J1090" t="s">
        <v>1838</v>
      </c>
      <c r="M1090" t="s">
        <v>106</v>
      </c>
      <c r="P1090" t="s">
        <v>91</v>
      </c>
      <c r="Q1090" t="s">
        <v>47</v>
      </c>
      <c r="R1090" t="s">
        <v>48</v>
      </c>
      <c r="V1090" t="s">
        <v>49</v>
      </c>
      <c r="X1090" t="s">
        <v>49</v>
      </c>
      <c r="Y1090" t="s">
        <v>74</v>
      </c>
      <c r="Z1090" t="s">
        <v>1810</v>
      </c>
      <c r="AA1090" t="s">
        <v>1810</v>
      </c>
    </row>
    <row r="1091" spans="1:27" x14ac:dyDescent="0.35">
      <c r="A1091" t="str">
        <f t="shared" ref="A1091:A1154" si="35">B1091&amp;D1091</f>
        <v>1809D4</v>
      </c>
      <c r="B1091" t="str">
        <f t="shared" si="34"/>
        <v>1809</v>
      </c>
      <c r="C1091" t="s">
        <v>1839</v>
      </c>
      <c r="D1091" t="s">
        <v>3</v>
      </c>
      <c r="E1091" t="s">
        <v>52</v>
      </c>
      <c r="F1091" t="s">
        <v>53</v>
      </c>
      <c r="G1091" t="s">
        <v>757</v>
      </c>
      <c r="H1091" t="s">
        <v>42</v>
      </c>
      <c r="I1091" t="s">
        <v>43</v>
      </c>
      <c r="J1091" t="s">
        <v>1838</v>
      </c>
      <c r="K1091" t="s">
        <v>56</v>
      </c>
      <c r="M1091" t="s">
        <v>106</v>
      </c>
      <c r="P1091" t="s">
        <v>58</v>
      </c>
      <c r="Q1091" t="s">
        <v>47</v>
      </c>
      <c r="R1091" t="s">
        <v>48</v>
      </c>
      <c r="V1091" t="s">
        <v>49</v>
      </c>
      <c r="X1091" t="s">
        <v>49</v>
      </c>
      <c r="Y1091" t="s">
        <v>59</v>
      </c>
      <c r="Z1091" t="s">
        <v>115</v>
      </c>
      <c r="AA1091" t="s">
        <v>115</v>
      </c>
    </row>
    <row r="1092" spans="1:27" x14ac:dyDescent="0.35">
      <c r="A1092" t="str">
        <f t="shared" si="35"/>
        <v>1809D2</v>
      </c>
      <c r="B1092" t="str">
        <f t="shared" si="34"/>
        <v>1809</v>
      </c>
      <c r="C1092" t="s">
        <v>1840</v>
      </c>
      <c r="D1092" t="s">
        <v>2</v>
      </c>
      <c r="E1092" t="s">
        <v>62</v>
      </c>
      <c r="F1092" t="s">
        <v>63</v>
      </c>
      <c r="G1092" t="s">
        <v>757</v>
      </c>
      <c r="H1092" t="s">
        <v>42</v>
      </c>
      <c r="I1092" t="s">
        <v>43</v>
      </c>
      <c r="J1092" t="s">
        <v>1838</v>
      </c>
      <c r="K1092" t="s">
        <v>56</v>
      </c>
      <c r="M1092" t="s">
        <v>106</v>
      </c>
      <c r="P1092" t="s">
        <v>58</v>
      </c>
      <c r="Q1092" t="s">
        <v>47</v>
      </c>
      <c r="R1092" t="s">
        <v>48</v>
      </c>
      <c r="V1092" t="s">
        <v>49</v>
      </c>
      <c r="X1092" t="s">
        <v>49</v>
      </c>
      <c r="Y1092" t="s">
        <v>59</v>
      </c>
      <c r="Z1092" t="s">
        <v>1841</v>
      </c>
      <c r="AA1092" t="s">
        <v>1841</v>
      </c>
    </row>
    <row r="1093" spans="1:27" x14ac:dyDescent="0.35">
      <c r="A1093" t="str">
        <f t="shared" si="35"/>
        <v>1809F3</v>
      </c>
      <c r="B1093" t="str">
        <f t="shared" si="34"/>
        <v>1809</v>
      </c>
      <c r="C1093" t="s">
        <v>1842</v>
      </c>
      <c r="D1093" t="s">
        <v>5</v>
      </c>
      <c r="E1093" t="s">
        <v>40</v>
      </c>
      <c r="F1093" t="s">
        <v>73</v>
      </c>
      <c r="G1093" t="s">
        <v>757</v>
      </c>
      <c r="H1093" t="s">
        <v>42</v>
      </c>
      <c r="I1093" t="s">
        <v>67</v>
      </c>
      <c r="J1093" t="s">
        <v>1838</v>
      </c>
      <c r="M1093" t="s">
        <v>106</v>
      </c>
      <c r="P1093" t="s">
        <v>69</v>
      </c>
      <c r="Q1093" t="s">
        <v>47</v>
      </c>
      <c r="R1093" t="s">
        <v>48</v>
      </c>
      <c r="V1093" t="s">
        <v>49</v>
      </c>
      <c r="X1093" t="s">
        <v>49</v>
      </c>
      <c r="Y1093" t="s">
        <v>74</v>
      </c>
      <c r="Z1093" t="s">
        <v>1843</v>
      </c>
      <c r="AA1093" t="s">
        <v>1843</v>
      </c>
    </row>
    <row r="1094" spans="1:27" x14ac:dyDescent="0.35">
      <c r="A1094" t="str">
        <f t="shared" si="35"/>
        <v>1809C2</v>
      </c>
      <c r="B1094" t="str">
        <f t="shared" si="34"/>
        <v>1809</v>
      </c>
      <c r="C1094" t="s">
        <v>1844</v>
      </c>
      <c r="D1094" t="s">
        <v>1</v>
      </c>
      <c r="E1094" t="s">
        <v>65</v>
      </c>
      <c r="F1094" t="s">
        <v>66</v>
      </c>
      <c r="G1094" t="s">
        <v>757</v>
      </c>
      <c r="H1094" t="s">
        <v>42</v>
      </c>
      <c r="I1094" t="s">
        <v>67</v>
      </c>
      <c r="J1094" t="s">
        <v>1838</v>
      </c>
      <c r="M1094" t="s">
        <v>106</v>
      </c>
      <c r="P1094" t="s">
        <v>69</v>
      </c>
      <c r="Q1094" t="s">
        <v>47</v>
      </c>
      <c r="R1094" t="s">
        <v>48</v>
      </c>
      <c r="V1094" t="s">
        <v>49</v>
      </c>
      <c r="X1094" t="s">
        <v>49</v>
      </c>
      <c r="Y1094" t="s">
        <v>70</v>
      </c>
      <c r="Z1094" t="s">
        <v>1845</v>
      </c>
      <c r="AA1094" t="s">
        <v>1845</v>
      </c>
    </row>
    <row r="1095" spans="1:27" x14ac:dyDescent="0.35">
      <c r="A1095" t="str">
        <f t="shared" si="35"/>
        <v>1809D7</v>
      </c>
      <c r="B1095" t="str">
        <f t="shared" si="34"/>
        <v>1809</v>
      </c>
      <c r="C1095" t="s">
        <v>1846</v>
      </c>
      <c r="D1095" t="s">
        <v>6</v>
      </c>
      <c r="E1095" t="s">
        <v>94</v>
      </c>
      <c r="F1095" t="s">
        <v>111</v>
      </c>
      <c r="G1095" t="s">
        <v>757</v>
      </c>
      <c r="H1095" t="s">
        <v>42</v>
      </c>
      <c r="I1095" t="s">
        <v>43</v>
      </c>
      <c r="J1095" t="s">
        <v>1838</v>
      </c>
      <c r="M1095" t="s">
        <v>106</v>
      </c>
      <c r="P1095" t="s">
        <v>273</v>
      </c>
      <c r="Q1095" t="s">
        <v>47</v>
      </c>
      <c r="R1095" t="s">
        <v>48</v>
      </c>
      <c r="V1095" t="s">
        <v>49</v>
      </c>
      <c r="X1095" t="s">
        <v>49</v>
      </c>
      <c r="Y1095" t="s">
        <v>59</v>
      </c>
      <c r="Z1095" t="s">
        <v>1847</v>
      </c>
      <c r="AA1095" t="s">
        <v>1848</v>
      </c>
    </row>
    <row r="1096" spans="1:27" x14ac:dyDescent="0.35">
      <c r="A1096" t="str">
        <f t="shared" si="35"/>
        <v>1808F2</v>
      </c>
      <c r="B1096" t="str">
        <f t="shared" si="34"/>
        <v>1808</v>
      </c>
      <c r="C1096" t="s">
        <v>1849</v>
      </c>
      <c r="D1096" t="s">
        <v>4</v>
      </c>
      <c r="E1096" t="s">
        <v>77</v>
      </c>
      <c r="F1096" t="s">
        <v>78</v>
      </c>
      <c r="G1096" t="s">
        <v>757</v>
      </c>
      <c r="H1096" t="s">
        <v>42</v>
      </c>
      <c r="I1096" t="s">
        <v>67</v>
      </c>
      <c r="J1096" t="s">
        <v>1850</v>
      </c>
      <c r="M1096" t="s">
        <v>106</v>
      </c>
      <c r="P1096" t="s">
        <v>189</v>
      </c>
      <c r="Q1096" t="s">
        <v>47</v>
      </c>
      <c r="R1096" t="s">
        <v>48</v>
      </c>
      <c r="V1096" t="s">
        <v>49</v>
      </c>
      <c r="X1096" t="s">
        <v>49</v>
      </c>
      <c r="Y1096" t="s">
        <v>74</v>
      </c>
      <c r="Z1096" t="s">
        <v>1851</v>
      </c>
      <c r="AA1096" t="s">
        <v>1851</v>
      </c>
    </row>
    <row r="1097" spans="1:27" x14ac:dyDescent="0.35">
      <c r="A1097" t="str">
        <f t="shared" si="35"/>
        <v>1808D4</v>
      </c>
      <c r="B1097" t="str">
        <f t="shared" si="34"/>
        <v>1808</v>
      </c>
      <c r="C1097" t="s">
        <v>1852</v>
      </c>
      <c r="D1097" t="s">
        <v>3</v>
      </c>
      <c r="E1097" t="s">
        <v>52</v>
      </c>
      <c r="F1097" t="s">
        <v>53</v>
      </c>
      <c r="G1097" t="s">
        <v>757</v>
      </c>
      <c r="H1097" t="s">
        <v>42</v>
      </c>
      <c r="I1097" t="s">
        <v>43</v>
      </c>
      <c r="J1097" t="s">
        <v>1850</v>
      </c>
      <c r="K1097" t="s">
        <v>56</v>
      </c>
      <c r="M1097" t="s">
        <v>106</v>
      </c>
      <c r="P1097" t="s">
        <v>58</v>
      </c>
      <c r="Q1097" t="s">
        <v>47</v>
      </c>
      <c r="R1097" t="s">
        <v>48</v>
      </c>
      <c r="V1097" t="s">
        <v>49</v>
      </c>
      <c r="X1097" t="s">
        <v>49</v>
      </c>
      <c r="Y1097" t="s">
        <v>59</v>
      </c>
      <c r="Z1097" t="s">
        <v>115</v>
      </c>
      <c r="AA1097" t="s">
        <v>115</v>
      </c>
    </row>
    <row r="1098" spans="1:27" x14ac:dyDescent="0.35">
      <c r="A1098" t="str">
        <f t="shared" si="35"/>
        <v>1808D2</v>
      </c>
      <c r="B1098" t="str">
        <f t="shared" si="34"/>
        <v>1808</v>
      </c>
      <c r="C1098" t="s">
        <v>1853</v>
      </c>
      <c r="D1098" t="s">
        <v>2</v>
      </c>
      <c r="E1098" t="s">
        <v>62</v>
      </c>
      <c r="F1098" t="s">
        <v>63</v>
      </c>
      <c r="G1098" t="s">
        <v>757</v>
      </c>
      <c r="H1098" t="s">
        <v>42</v>
      </c>
      <c r="I1098" t="s">
        <v>43</v>
      </c>
      <c r="J1098" t="s">
        <v>1850</v>
      </c>
      <c r="K1098" t="s">
        <v>56</v>
      </c>
      <c r="M1098" t="s">
        <v>106</v>
      </c>
      <c r="P1098" t="s">
        <v>58</v>
      </c>
      <c r="Q1098" t="s">
        <v>47</v>
      </c>
      <c r="R1098" t="s">
        <v>48</v>
      </c>
      <c r="V1098" t="s">
        <v>49</v>
      </c>
      <c r="X1098" t="s">
        <v>49</v>
      </c>
      <c r="Y1098" t="s">
        <v>59</v>
      </c>
      <c r="Z1098" t="s">
        <v>121</v>
      </c>
      <c r="AA1098" t="s">
        <v>121</v>
      </c>
    </row>
    <row r="1099" spans="1:27" x14ac:dyDescent="0.35">
      <c r="A1099" t="str">
        <f t="shared" si="35"/>
        <v>1808F3</v>
      </c>
      <c r="B1099" t="str">
        <f t="shared" si="34"/>
        <v>1808</v>
      </c>
      <c r="C1099" t="s">
        <v>1854</v>
      </c>
      <c r="D1099" t="s">
        <v>5</v>
      </c>
      <c r="E1099" t="s">
        <v>40</v>
      </c>
      <c r="F1099" t="s">
        <v>73</v>
      </c>
      <c r="G1099" t="s">
        <v>757</v>
      </c>
      <c r="H1099" t="s">
        <v>42</v>
      </c>
      <c r="I1099" t="s">
        <v>67</v>
      </c>
      <c r="J1099" t="s">
        <v>1850</v>
      </c>
      <c r="M1099" t="s">
        <v>106</v>
      </c>
      <c r="P1099" t="s">
        <v>58</v>
      </c>
      <c r="Q1099" t="s">
        <v>47</v>
      </c>
      <c r="R1099" t="s">
        <v>48</v>
      </c>
      <c r="V1099" t="s">
        <v>49</v>
      </c>
      <c r="X1099" t="s">
        <v>49</v>
      </c>
      <c r="Y1099" t="s">
        <v>74</v>
      </c>
      <c r="Z1099" t="s">
        <v>1843</v>
      </c>
      <c r="AA1099" t="s">
        <v>1843</v>
      </c>
    </row>
    <row r="1100" spans="1:27" x14ac:dyDescent="0.35">
      <c r="A1100" t="str">
        <f t="shared" si="35"/>
        <v>1808C2</v>
      </c>
      <c r="B1100" t="str">
        <f t="shared" si="34"/>
        <v>1808</v>
      </c>
      <c r="C1100" t="s">
        <v>1855</v>
      </c>
      <c r="D1100" t="s">
        <v>1</v>
      </c>
      <c r="E1100" t="s">
        <v>65</v>
      </c>
      <c r="F1100" t="s">
        <v>66</v>
      </c>
      <c r="G1100" t="s">
        <v>757</v>
      </c>
      <c r="H1100" t="s">
        <v>42</v>
      </c>
      <c r="I1100" t="s">
        <v>67</v>
      </c>
      <c r="J1100" t="s">
        <v>1850</v>
      </c>
      <c r="M1100" t="s">
        <v>106</v>
      </c>
      <c r="P1100" t="s">
        <v>69</v>
      </c>
      <c r="Q1100" t="s">
        <v>47</v>
      </c>
      <c r="R1100" t="s">
        <v>48</v>
      </c>
      <c r="V1100" t="s">
        <v>49</v>
      </c>
      <c r="X1100" t="s">
        <v>49</v>
      </c>
      <c r="Y1100" t="s">
        <v>70</v>
      </c>
      <c r="Z1100" t="s">
        <v>225</v>
      </c>
      <c r="AA1100" t="s">
        <v>225</v>
      </c>
    </row>
    <row r="1101" spans="1:27" x14ac:dyDescent="0.35">
      <c r="A1101" t="str">
        <f t="shared" si="35"/>
        <v>1808D7</v>
      </c>
      <c r="B1101" t="str">
        <f t="shared" si="34"/>
        <v>1808</v>
      </c>
      <c r="C1101" t="s">
        <v>1856</v>
      </c>
      <c r="D1101" t="s">
        <v>6</v>
      </c>
      <c r="E1101" t="s">
        <v>94</v>
      </c>
      <c r="F1101" t="s">
        <v>111</v>
      </c>
      <c r="G1101" t="s">
        <v>757</v>
      </c>
      <c r="H1101" t="s">
        <v>42</v>
      </c>
      <c r="I1101" t="s">
        <v>43</v>
      </c>
      <c r="J1101" t="s">
        <v>1850</v>
      </c>
      <c r="M1101" t="s">
        <v>106</v>
      </c>
      <c r="P1101" t="s">
        <v>46</v>
      </c>
      <c r="Q1101" t="s">
        <v>47</v>
      </c>
      <c r="R1101" t="s">
        <v>48</v>
      </c>
      <c r="V1101" t="s">
        <v>49</v>
      </c>
      <c r="X1101" t="s">
        <v>49</v>
      </c>
      <c r="Y1101" t="s">
        <v>59</v>
      </c>
      <c r="Z1101" t="s">
        <v>1857</v>
      </c>
      <c r="AA1101" t="s">
        <v>1857</v>
      </c>
    </row>
    <row r="1102" spans="1:27" x14ac:dyDescent="0.35">
      <c r="A1102" t="str">
        <f t="shared" si="35"/>
        <v>1807F2</v>
      </c>
      <c r="B1102" t="str">
        <f t="shared" si="34"/>
        <v>1807</v>
      </c>
      <c r="C1102" t="s">
        <v>1858</v>
      </c>
      <c r="D1102" t="s">
        <v>4</v>
      </c>
      <c r="E1102" t="s">
        <v>77</v>
      </c>
      <c r="F1102" t="s">
        <v>78</v>
      </c>
      <c r="G1102" t="s">
        <v>757</v>
      </c>
      <c r="H1102" t="s">
        <v>42</v>
      </c>
      <c r="I1102" t="s">
        <v>67</v>
      </c>
      <c r="J1102" t="s">
        <v>1859</v>
      </c>
      <c r="M1102" t="s">
        <v>106</v>
      </c>
      <c r="P1102" t="s">
        <v>79</v>
      </c>
      <c r="Q1102" t="s">
        <v>47</v>
      </c>
      <c r="R1102" t="s">
        <v>48</v>
      </c>
      <c r="V1102" t="s">
        <v>49</v>
      </c>
      <c r="X1102" t="s">
        <v>49</v>
      </c>
      <c r="Y1102" t="s">
        <v>74</v>
      </c>
      <c r="Z1102" t="s">
        <v>1851</v>
      </c>
      <c r="AA1102" t="s">
        <v>1851</v>
      </c>
    </row>
    <row r="1103" spans="1:27" x14ac:dyDescent="0.35">
      <c r="A1103" t="str">
        <f t="shared" si="35"/>
        <v>1807D4</v>
      </c>
      <c r="B1103" t="str">
        <f t="shared" si="34"/>
        <v>1807</v>
      </c>
      <c r="C1103" t="s">
        <v>1860</v>
      </c>
      <c r="D1103" t="s">
        <v>3</v>
      </c>
      <c r="E1103" t="s">
        <v>52</v>
      </c>
      <c r="F1103" t="s">
        <v>53</v>
      </c>
      <c r="G1103" t="s">
        <v>757</v>
      </c>
      <c r="H1103" t="s">
        <v>42</v>
      </c>
      <c r="I1103" t="s">
        <v>43</v>
      </c>
      <c r="J1103" t="s">
        <v>1859</v>
      </c>
      <c r="K1103" t="s">
        <v>56</v>
      </c>
      <c r="M1103" t="s">
        <v>106</v>
      </c>
      <c r="P1103" t="s">
        <v>58</v>
      </c>
      <c r="Q1103" t="s">
        <v>47</v>
      </c>
      <c r="R1103" t="s">
        <v>48</v>
      </c>
      <c r="V1103" t="s">
        <v>49</v>
      </c>
      <c r="X1103" t="s">
        <v>49</v>
      </c>
      <c r="Y1103" t="s">
        <v>59</v>
      </c>
      <c r="Z1103" t="s">
        <v>115</v>
      </c>
      <c r="AA1103" t="s">
        <v>115</v>
      </c>
    </row>
    <row r="1104" spans="1:27" x14ac:dyDescent="0.35">
      <c r="A1104" t="str">
        <f t="shared" si="35"/>
        <v>1807D2</v>
      </c>
      <c r="B1104" t="str">
        <f t="shared" si="34"/>
        <v>1807</v>
      </c>
      <c r="C1104" t="s">
        <v>1861</v>
      </c>
      <c r="D1104" t="s">
        <v>2</v>
      </c>
      <c r="E1104" t="s">
        <v>62</v>
      </c>
      <c r="F1104" t="s">
        <v>63</v>
      </c>
      <c r="G1104" t="s">
        <v>757</v>
      </c>
      <c r="H1104" t="s">
        <v>42</v>
      </c>
      <c r="I1104" t="s">
        <v>43</v>
      </c>
      <c r="J1104" t="s">
        <v>1859</v>
      </c>
      <c r="K1104" t="s">
        <v>56</v>
      </c>
      <c r="M1104" t="s">
        <v>106</v>
      </c>
      <c r="P1104" t="s">
        <v>58</v>
      </c>
      <c r="Q1104" t="s">
        <v>47</v>
      </c>
      <c r="R1104" t="s">
        <v>48</v>
      </c>
      <c r="V1104" t="s">
        <v>49</v>
      </c>
      <c r="X1104" t="s">
        <v>49</v>
      </c>
      <c r="Y1104" t="s">
        <v>59</v>
      </c>
      <c r="Z1104" t="s">
        <v>121</v>
      </c>
      <c r="AA1104" t="s">
        <v>121</v>
      </c>
    </row>
    <row r="1105" spans="1:27" x14ac:dyDescent="0.35">
      <c r="A1105" t="str">
        <f t="shared" si="35"/>
        <v>1807F3</v>
      </c>
      <c r="B1105" t="str">
        <f t="shared" si="34"/>
        <v>1807</v>
      </c>
      <c r="C1105" t="s">
        <v>1862</v>
      </c>
      <c r="D1105" t="s">
        <v>5</v>
      </c>
      <c r="E1105" t="s">
        <v>40</v>
      </c>
      <c r="F1105" t="s">
        <v>73</v>
      </c>
      <c r="G1105" t="s">
        <v>757</v>
      </c>
      <c r="H1105" t="s">
        <v>42</v>
      </c>
      <c r="I1105" t="s">
        <v>67</v>
      </c>
      <c r="J1105" t="s">
        <v>1859</v>
      </c>
      <c r="M1105" t="s">
        <v>106</v>
      </c>
      <c r="P1105" t="s">
        <v>58</v>
      </c>
      <c r="Q1105" t="s">
        <v>47</v>
      </c>
      <c r="R1105" t="s">
        <v>48</v>
      </c>
      <c r="V1105" t="s">
        <v>49</v>
      </c>
      <c r="X1105" t="s">
        <v>49</v>
      </c>
      <c r="Y1105" t="s">
        <v>74</v>
      </c>
      <c r="Z1105" t="s">
        <v>1863</v>
      </c>
      <c r="AA1105" t="s">
        <v>1863</v>
      </c>
    </row>
    <row r="1106" spans="1:27" x14ac:dyDescent="0.35">
      <c r="A1106" t="str">
        <f t="shared" si="35"/>
        <v>1807C2</v>
      </c>
      <c r="B1106" t="str">
        <f t="shared" si="34"/>
        <v>1807</v>
      </c>
      <c r="C1106" t="s">
        <v>1864</v>
      </c>
      <c r="D1106" t="s">
        <v>1</v>
      </c>
      <c r="E1106" t="s">
        <v>65</v>
      </c>
      <c r="F1106" t="s">
        <v>66</v>
      </c>
      <c r="G1106" t="s">
        <v>757</v>
      </c>
      <c r="H1106" t="s">
        <v>42</v>
      </c>
      <c r="I1106" t="s">
        <v>67</v>
      </c>
      <c r="J1106" t="s">
        <v>1859</v>
      </c>
      <c r="M1106" t="s">
        <v>106</v>
      </c>
      <c r="P1106" t="s">
        <v>69</v>
      </c>
      <c r="Q1106" t="s">
        <v>47</v>
      </c>
      <c r="R1106" t="s">
        <v>48</v>
      </c>
      <c r="V1106" t="s">
        <v>49</v>
      </c>
      <c r="X1106" t="s">
        <v>49</v>
      </c>
      <c r="Y1106" t="s">
        <v>70</v>
      </c>
      <c r="Z1106" t="s">
        <v>225</v>
      </c>
      <c r="AA1106" t="s">
        <v>225</v>
      </c>
    </row>
    <row r="1107" spans="1:27" x14ac:dyDescent="0.35">
      <c r="A1107" t="str">
        <f t="shared" si="35"/>
        <v>1807D7</v>
      </c>
      <c r="B1107" t="str">
        <f t="shared" si="34"/>
        <v>1807</v>
      </c>
      <c r="C1107" t="s">
        <v>1865</v>
      </c>
      <c r="D1107" t="s">
        <v>6</v>
      </c>
      <c r="E1107" t="s">
        <v>94</v>
      </c>
      <c r="F1107" t="s">
        <v>111</v>
      </c>
      <c r="G1107" t="s">
        <v>757</v>
      </c>
      <c r="H1107" t="s">
        <v>42</v>
      </c>
      <c r="I1107" t="s">
        <v>43</v>
      </c>
      <c r="J1107" t="s">
        <v>1859</v>
      </c>
      <c r="M1107" t="s">
        <v>106</v>
      </c>
      <c r="P1107" t="s">
        <v>46</v>
      </c>
      <c r="Q1107" t="s">
        <v>47</v>
      </c>
      <c r="R1107" t="s">
        <v>48</v>
      </c>
      <c r="V1107" t="s">
        <v>49</v>
      </c>
      <c r="X1107" t="s">
        <v>49</v>
      </c>
      <c r="Y1107" t="s">
        <v>59</v>
      </c>
      <c r="Z1107" t="s">
        <v>1836</v>
      </c>
      <c r="AA1107" t="s">
        <v>1836</v>
      </c>
    </row>
    <row r="1108" spans="1:27" x14ac:dyDescent="0.35">
      <c r="A1108" t="str">
        <f t="shared" si="35"/>
        <v>1010F3</v>
      </c>
      <c r="B1108" t="str">
        <f t="shared" si="34"/>
        <v>1010</v>
      </c>
      <c r="C1108" t="s">
        <v>1866</v>
      </c>
      <c r="D1108" t="s">
        <v>5</v>
      </c>
      <c r="E1108" t="s">
        <v>40</v>
      </c>
      <c r="F1108" t="s">
        <v>73</v>
      </c>
      <c r="G1108" t="s">
        <v>757</v>
      </c>
      <c r="H1108" t="s">
        <v>42</v>
      </c>
      <c r="I1108" t="s">
        <v>67</v>
      </c>
      <c r="J1108" t="s">
        <v>1867</v>
      </c>
      <c r="M1108" t="s">
        <v>106</v>
      </c>
      <c r="P1108" t="s">
        <v>46</v>
      </c>
      <c r="Q1108" t="s">
        <v>47</v>
      </c>
      <c r="R1108" t="s">
        <v>48</v>
      </c>
      <c r="V1108" t="s">
        <v>49</v>
      </c>
      <c r="X1108" t="s">
        <v>49</v>
      </c>
      <c r="Y1108" t="s">
        <v>74</v>
      </c>
      <c r="Z1108" t="s">
        <v>1868</v>
      </c>
      <c r="AA1108" t="s">
        <v>1868</v>
      </c>
    </row>
    <row r="1109" spans="1:27" x14ac:dyDescent="0.35">
      <c r="A1109" t="str">
        <f t="shared" si="35"/>
        <v>1010F2</v>
      </c>
      <c r="B1109" t="str">
        <f t="shared" si="34"/>
        <v>1010</v>
      </c>
      <c r="C1109" t="s">
        <v>1869</v>
      </c>
      <c r="D1109" t="s">
        <v>4</v>
      </c>
      <c r="E1109" t="s">
        <v>77</v>
      </c>
      <c r="F1109" t="s">
        <v>78</v>
      </c>
      <c r="G1109" t="s">
        <v>757</v>
      </c>
      <c r="H1109" t="s">
        <v>42</v>
      </c>
      <c r="I1109" t="s">
        <v>67</v>
      </c>
      <c r="J1109" t="s">
        <v>1867</v>
      </c>
      <c r="M1109" t="s">
        <v>106</v>
      </c>
      <c r="P1109" t="s">
        <v>79</v>
      </c>
      <c r="Q1109" t="s">
        <v>47</v>
      </c>
      <c r="R1109" t="s">
        <v>48</v>
      </c>
      <c r="V1109" t="s">
        <v>49</v>
      </c>
      <c r="X1109" t="s">
        <v>49</v>
      </c>
      <c r="Y1109" t="s">
        <v>74</v>
      </c>
      <c r="Z1109" t="s">
        <v>1868</v>
      </c>
      <c r="AA1109" t="s">
        <v>1868</v>
      </c>
    </row>
    <row r="1110" spans="1:27" x14ac:dyDescent="0.35">
      <c r="A1110" t="str">
        <f t="shared" si="35"/>
        <v>1010C2</v>
      </c>
      <c r="B1110" t="str">
        <f t="shared" si="34"/>
        <v>1010</v>
      </c>
      <c r="C1110" t="s">
        <v>1870</v>
      </c>
      <c r="D1110" t="s">
        <v>1</v>
      </c>
      <c r="E1110" t="s">
        <v>65</v>
      </c>
      <c r="F1110" t="s">
        <v>66</v>
      </c>
      <c r="G1110" t="s">
        <v>757</v>
      </c>
      <c r="H1110" t="s">
        <v>42</v>
      </c>
      <c r="I1110" t="s">
        <v>67</v>
      </c>
      <c r="J1110" t="s">
        <v>1867</v>
      </c>
      <c r="M1110" t="s">
        <v>106</v>
      </c>
      <c r="P1110" t="s">
        <v>69</v>
      </c>
      <c r="Q1110" t="s">
        <v>47</v>
      </c>
      <c r="R1110" t="s">
        <v>48</v>
      </c>
      <c r="V1110" t="s">
        <v>49</v>
      </c>
      <c r="X1110" t="s">
        <v>49</v>
      </c>
      <c r="Y1110" t="s">
        <v>70</v>
      </c>
      <c r="Z1110" t="s">
        <v>1871</v>
      </c>
      <c r="AA1110" t="s">
        <v>1871</v>
      </c>
    </row>
    <row r="1111" spans="1:27" x14ac:dyDescent="0.35">
      <c r="A1111" t="str">
        <f t="shared" si="35"/>
        <v>1806F2</v>
      </c>
      <c r="B1111" t="str">
        <f t="shared" si="34"/>
        <v>1806</v>
      </c>
      <c r="C1111" t="s">
        <v>1872</v>
      </c>
      <c r="D1111" t="s">
        <v>4</v>
      </c>
      <c r="E1111" t="s">
        <v>77</v>
      </c>
      <c r="F1111" t="s">
        <v>78</v>
      </c>
      <c r="G1111" t="s">
        <v>757</v>
      </c>
      <c r="H1111" t="s">
        <v>42</v>
      </c>
      <c r="I1111" t="s">
        <v>67</v>
      </c>
      <c r="J1111" t="s">
        <v>1873</v>
      </c>
      <c r="M1111" t="s">
        <v>106</v>
      </c>
      <c r="P1111" t="s">
        <v>189</v>
      </c>
      <c r="Q1111" t="s">
        <v>47</v>
      </c>
      <c r="R1111" t="s">
        <v>48</v>
      </c>
      <c r="V1111" t="s">
        <v>49</v>
      </c>
      <c r="X1111" t="s">
        <v>49</v>
      </c>
      <c r="Y1111" t="s">
        <v>74</v>
      </c>
      <c r="Z1111" t="s">
        <v>1851</v>
      </c>
      <c r="AA1111" t="s">
        <v>1851</v>
      </c>
    </row>
    <row r="1112" spans="1:27" x14ac:dyDescent="0.35">
      <c r="A1112" t="str">
        <f t="shared" si="35"/>
        <v>1806D4</v>
      </c>
      <c r="B1112" t="str">
        <f t="shared" si="34"/>
        <v>1806</v>
      </c>
      <c r="C1112" t="s">
        <v>1874</v>
      </c>
      <c r="D1112" t="s">
        <v>3</v>
      </c>
      <c r="E1112" t="s">
        <v>52</v>
      </c>
      <c r="F1112" t="s">
        <v>53</v>
      </c>
      <c r="G1112" t="s">
        <v>757</v>
      </c>
      <c r="H1112" t="s">
        <v>42</v>
      </c>
      <c r="I1112" t="s">
        <v>43</v>
      </c>
      <c r="J1112" t="s">
        <v>1873</v>
      </c>
      <c r="K1112" t="s">
        <v>56</v>
      </c>
      <c r="M1112" t="s">
        <v>106</v>
      </c>
      <c r="P1112" t="s">
        <v>58</v>
      </c>
      <c r="Q1112" t="s">
        <v>47</v>
      </c>
      <c r="R1112" t="s">
        <v>48</v>
      </c>
      <c r="V1112" t="s">
        <v>49</v>
      </c>
      <c r="X1112" t="s">
        <v>49</v>
      </c>
      <c r="Y1112" t="s">
        <v>59</v>
      </c>
      <c r="Z1112" t="s">
        <v>115</v>
      </c>
      <c r="AA1112" t="s">
        <v>115</v>
      </c>
    </row>
    <row r="1113" spans="1:27" x14ac:dyDescent="0.35">
      <c r="A1113" t="str">
        <f t="shared" si="35"/>
        <v>1010D2</v>
      </c>
      <c r="B1113" t="str">
        <f t="shared" si="34"/>
        <v>1010</v>
      </c>
      <c r="C1113" t="s">
        <v>1875</v>
      </c>
      <c r="D1113" t="s">
        <v>2</v>
      </c>
      <c r="E1113" t="s">
        <v>62</v>
      </c>
      <c r="F1113" t="s">
        <v>63</v>
      </c>
      <c r="G1113" t="s">
        <v>757</v>
      </c>
      <c r="H1113" t="s">
        <v>42</v>
      </c>
      <c r="I1113" t="s">
        <v>67</v>
      </c>
      <c r="J1113" t="s">
        <v>1867</v>
      </c>
      <c r="K1113" t="s">
        <v>56</v>
      </c>
      <c r="M1113" t="s">
        <v>106</v>
      </c>
      <c r="P1113" t="s">
        <v>58</v>
      </c>
      <c r="Q1113" t="s">
        <v>47</v>
      </c>
      <c r="R1113" t="s">
        <v>48</v>
      </c>
      <c r="V1113" t="s">
        <v>49</v>
      </c>
      <c r="X1113" t="s">
        <v>49</v>
      </c>
      <c r="Y1113" t="s">
        <v>59</v>
      </c>
      <c r="Z1113" t="s">
        <v>1876</v>
      </c>
      <c r="AA1113" t="s">
        <v>1876</v>
      </c>
    </row>
    <row r="1114" spans="1:27" x14ac:dyDescent="0.35">
      <c r="A1114" t="str">
        <f t="shared" si="35"/>
        <v>1010D7</v>
      </c>
      <c r="B1114" t="str">
        <f t="shared" si="34"/>
        <v>1010</v>
      </c>
      <c r="C1114" t="s">
        <v>1877</v>
      </c>
      <c r="D1114" t="s">
        <v>6</v>
      </c>
      <c r="E1114" t="s">
        <v>94</v>
      </c>
      <c r="F1114" t="s">
        <v>111</v>
      </c>
      <c r="G1114" t="s">
        <v>757</v>
      </c>
      <c r="H1114" t="s">
        <v>42</v>
      </c>
      <c r="I1114" t="s">
        <v>67</v>
      </c>
      <c r="J1114" t="s">
        <v>1867</v>
      </c>
      <c r="M1114" t="s">
        <v>106</v>
      </c>
      <c r="P1114" t="s">
        <v>46</v>
      </c>
      <c r="Q1114" t="s">
        <v>47</v>
      </c>
      <c r="R1114" t="s">
        <v>48</v>
      </c>
      <c r="V1114" t="s">
        <v>49</v>
      </c>
      <c r="X1114" t="s">
        <v>49</v>
      </c>
      <c r="Y1114" t="s">
        <v>59</v>
      </c>
      <c r="Z1114" t="s">
        <v>1878</v>
      </c>
      <c r="AA1114" t="s">
        <v>1878</v>
      </c>
    </row>
    <row r="1115" spans="1:27" x14ac:dyDescent="0.35">
      <c r="A1115" t="str">
        <f t="shared" si="35"/>
        <v>1010D4</v>
      </c>
      <c r="B1115" t="str">
        <f t="shared" si="34"/>
        <v>1010</v>
      </c>
      <c r="C1115" t="s">
        <v>1879</v>
      </c>
      <c r="D1115" t="s">
        <v>3</v>
      </c>
      <c r="E1115" t="s">
        <v>52</v>
      </c>
      <c r="F1115" t="s">
        <v>53</v>
      </c>
      <c r="G1115" t="s">
        <v>757</v>
      </c>
      <c r="H1115" t="s">
        <v>42</v>
      </c>
      <c r="I1115" t="s">
        <v>67</v>
      </c>
      <c r="J1115" t="s">
        <v>1867</v>
      </c>
      <c r="K1115" t="s">
        <v>56</v>
      </c>
      <c r="M1115" t="s">
        <v>106</v>
      </c>
      <c r="P1115" t="s">
        <v>58</v>
      </c>
      <c r="Q1115" t="s">
        <v>47</v>
      </c>
      <c r="R1115" t="s">
        <v>48</v>
      </c>
      <c r="V1115" t="s">
        <v>49</v>
      </c>
      <c r="X1115" t="s">
        <v>49</v>
      </c>
      <c r="Y1115" t="s">
        <v>59</v>
      </c>
      <c r="Z1115" t="s">
        <v>1880</v>
      </c>
      <c r="AA1115" t="s">
        <v>1880</v>
      </c>
    </row>
    <row r="1116" spans="1:27" x14ac:dyDescent="0.35">
      <c r="A1116" t="str">
        <f t="shared" si="35"/>
        <v>1806D2</v>
      </c>
      <c r="B1116" t="str">
        <f t="shared" si="34"/>
        <v>1806</v>
      </c>
      <c r="C1116" t="s">
        <v>1881</v>
      </c>
      <c r="D1116" t="s">
        <v>2</v>
      </c>
      <c r="E1116" t="s">
        <v>62</v>
      </c>
      <c r="F1116" t="s">
        <v>63</v>
      </c>
      <c r="G1116" t="s">
        <v>757</v>
      </c>
      <c r="H1116" t="s">
        <v>42</v>
      </c>
      <c r="I1116" t="s">
        <v>43</v>
      </c>
      <c r="J1116" t="s">
        <v>1873</v>
      </c>
      <c r="K1116" t="s">
        <v>56</v>
      </c>
      <c r="M1116" t="s">
        <v>106</v>
      </c>
      <c r="P1116" t="s">
        <v>58</v>
      </c>
      <c r="Q1116" t="s">
        <v>47</v>
      </c>
      <c r="R1116" t="s">
        <v>48</v>
      </c>
      <c r="V1116" t="s">
        <v>49</v>
      </c>
      <c r="X1116" t="s">
        <v>49</v>
      </c>
      <c r="Y1116" t="s">
        <v>59</v>
      </c>
      <c r="Z1116" t="s">
        <v>121</v>
      </c>
      <c r="AA1116" t="s">
        <v>121</v>
      </c>
    </row>
    <row r="1117" spans="1:27" x14ac:dyDescent="0.35">
      <c r="A1117" t="str">
        <f t="shared" si="35"/>
        <v>1806F3</v>
      </c>
      <c r="B1117" t="str">
        <f t="shared" si="34"/>
        <v>1806</v>
      </c>
      <c r="C1117" t="s">
        <v>1882</v>
      </c>
      <c r="D1117" t="s">
        <v>5</v>
      </c>
      <c r="E1117" t="s">
        <v>40</v>
      </c>
      <c r="F1117" t="s">
        <v>73</v>
      </c>
      <c r="G1117" t="s">
        <v>757</v>
      </c>
      <c r="H1117" t="s">
        <v>42</v>
      </c>
      <c r="I1117" t="s">
        <v>67</v>
      </c>
      <c r="J1117" t="s">
        <v>1873</v>
      </c>
      <c r="M1117" t="s">
        <v>106</v>
      </c>
      <c r="P1117" t="s">
        <v>58</v>
      </c>
      <c r="Q1117" t="s">
        <v>47</v>
      </c>
      <c r="R1117" t="s">
        <v>48</v>
      </c>
      <c r="V1117" t="s">
        <v>49</v>
      </c>
      <c r="X1117" t="s">
        <v>49</v>
      </c>
      <c r="Y1117" t="s">
        <v>74</v>
      </c>
      <c r="Z1117" t="s">
        <v>1863</v>
      </c>
      <c r="AA1117" t="s">
        <v>1863</v>
      </c>
    </row>
    <row r="1118" spans="1:27" x14ac:dyDescent="0.35">
      <c r="A1118" t="str">
        <f t="shared" si="35"/>
        <v>1009F3</v>
      </c>
      <c r="B1118" t="str">
        <f t="shared" si="34"/>
        <v>1009</v>
      </c>
      <c r="C1118" t="s">
        <v>1883</v>
      </c>
      <c r="D1118" t="s">
        <v>5</v>
      </c>
      <c r="E1118" t="s">
        <v>40</v>
      </c>
      <c r="F1118" t="s">
        <v>73</v>
      </c>
      <c r="G1118" t="s">
        <v>757</v>
      </c>
      <c r="H1118" t="s">
        <v>42</v>
      </c>
      <c r="I1118" t="s">
        <v>67</v>
      </c>
      <c r="J1118" t="s">
        <v>1884</v>
      </c>
      <c r="M1118" t="s">
        <v>106</v>
      </c>
      <c r="P1118" t="s">
        <v>46</v>
      </c>
      <c r="Q1118" t="s">
        <v>47</v>
      </c>
      <c r="R1118" t="s">
        <v>48</v>
      </c>
      <c r="V1118" t="s">
        <v>49</v>
      </c>
      <c r="X1118" t="s">
        <v>49</v>
      </c>
      <c r="Y1118" t="s">
        <v>74</v>
      </c>
      <c r="Z1118" t="s">
        <v>1885</v>
      </c>
      <c r="AA1118" t="s">
        <v>1885</v>
      </c>
    </row>
    <row r="1119" spans="1:27" x14ac:dyDescent="0.35">
      <c r="A1119" t="str">
        <f t="shared" si="35"/>
        <v>1806C2</v>
      </c>
      <c r="B1119" t="str">
        <f t="shared" si="34"/>
        <v>1806</v>
      </c>
      <c r="C1119" t="s">
        <v>1886</v>
      </c>
      <c r="D1119" t="s">
        <v>1</v>
      </c>
      <c r="E1119" t="s">
        <v>65</v>
      </c>
      <c r="F1119" t="s">
        <v>66</v>
      </c>
      <c r="G1119" t="s">
        <v>757</v>
      </c>
      <c r="H1119" t="s">
        <v>42</v>
      </c>
      <c r="I1119" t="s">
        <v>67</v>
      </c>
      <c r="J1119" t="s">
        <v>1873</v>
      </c>
      <c r="M1119" t="s">
        <v>106</v>
      </c>
      <c r="P1119" t="s">
        <v>69</v>
      </c>
      <c r="Q1119" t="s">
        <v>47</v>
      </c>
      <c r="R1119" t="s">
        <v>48</v>
      </c>
      <c r="V1119" t="s">
        <v>49</v>
      </c>
      <c r="X1119" t="s">
        <v>49</v>
      </c>
      <c r="Y1119" t="s">
        <v>70</v>
      </c>
      <c r="Z1119" t="s">
        <v>225</v>
      </c>
      <c r="AA1119" t="s">
        <v>225</v>
      </c>
    </row>
    <row r="1120" spans="1:27" x14ac:dyDescent="0.35">
      <c r="A1120" t="str">
        <f t="shared" si="35"/>
        <v>1806D7</v>
      </c>
      <c r="B1120" t="str">
        <f t="shared" si="34"/>
        <v>1806</v>
      </c>
      <c r="C1120" t="s">
        <v>1887</v>
      </c>
      <c r="D1120" t="s">
        <v>6</v>
      </c>
      <c r="E1120" t="s">
        <v>94</v>
      </c>
      <c r="F1120" t="s">
        <v>111</v>
      </c>
      <c r="G1120" t="s">
        <v>757</v>
      </c>
      <c r="H1120" t="s">
        <v>42</v>
      </c>
      <c r="I1120" t="s">
        <v>43</v>
      </c>
      <c r="J1120" t="s">
        <v>1873</v>
      </c>
      <c r="M1120" t="s">
        <v>106</v>
      </c>
      <c r="P1120" t="s">
        <v>46</v>
      </c>
      <c r="Q1120" t="s">
        <v>47</v>
      </c>
      <c r="R1120" t="s">
        <v>48</v>
      </c>
      <c r="V1120" t="s">
        <v>49</v>
      </c>
      <c r="X1120" t="s">
        <v>49</v>
      </c>
      <c r="Y1120" t="s">
        <v>59</v>
      </c>
      <c r="Z1120" t="s">
        <v>1888</v>
      </c>
      <c r="AA1120" t="s">
        <v>1888</v>
      </c>
    </row>
    <row r="1121" spans="1:27" x14ac:dyDescent="0.35">
      <c r="A1121" t="str">
        <f t="shared" si="35"/>
        <v>1009F2</v>
      </c>
      <c r="B1121" t="str">
        <f t="shared" si="34"/>
        <v>1009</v>
      </c>
      <c r="C1121" t="s">
        <v>1889</v>
      </c>
      <c r="D1121" t="s">
        <v>4</v>
      </c>
      <c r="E1121" t="s">
        <v>77</v>
      </c>
      <c r="F1121" t="s">
        <v>78</v>
      </c>
      <c r="G1121" t="s">
        <v>757</v>
      </c>
      <c r="H1121" t="s">
        <v>42</v>
      </c>
      <c r="I1121" t="s">
        <v>67</v>
      </c>
      <c r="J1121" t="s">
        <v>1884</v>
      </c>
      <c r="M1121" t="s">
        <v>106</v>
      </c>
      <c r="P1121" t="s">
        <v>1315</v>
      </c>
      <c r="Q1121" t="s">
        <v>47</v>
      </c>
      <c r="R1121" t="s">
        <v>48</v>
      </c>
      <c r="V1121" t="s">
        <v>49</v>
      </c>
      <c r="X1121" t="s">
        <v>49</v>
      </c>
      <c r="Y1121" t="s">
        <v>74</v>
      </c>
      <c r="Z1121" t="s">
        <v>1885</v>
      </c>
      <c r="AA1121" t="s">
        <v>1885</v>
      </c>
    </row>
    <row r="1122" spans="1:27" x14ac:dyDescent="0.35">
      <c r="A1122" t="str">
        <f t="shared" si="35"/>
        <v>1009C2</v>
      </c>
      <c r="B1122" t="str">
        <f t="shared" si="34"/>
        <v>1009</v>
      </c>
      <c r="C1122" t="s">
        <v>1890</v>
      </c>
      <c r="D1122" t="s">
        <v>1</v>
      </c>
      <c r="E1122" t="s">
        <v>65</v>
      </c>
      <c r="F1122" t="s">
        <v>66</v>
      </c>
      <c r="G1122" t="s">
        <v>757</v>
      </c>
      <c r="H1122" t="s">
        <v>42</v>
      </c>
      <c r="I1122" t="s">
        <v>67</v>
      </c>
      <c r="J1122" t="s">
        <v>1884</v>
      </c>
      <c r="M1122" t="s">
        <v>106</v>
      </c>
      <c r="P1122" t="s">
        <v>69</v>
      </c>
      <c r="Q1122" t="s">
        <v>47</v>
      </c>
      <c r="R1122" t="s">
        <v>48</v>
      </c>
      <c r="V1122" t="s">
        <v>49</v>
      </c>
      <c r="X1122" t="s">
        <v>49</v>
      </c>
      <c r="Y1122" t="s">
        <v>70</v>
      </c>
      <c r="Z1122" t="s">
        <v>1891</v>
      </c>
      <c r="AA1122" t="s">
        <v>1891</v>
      </c>
    </row>
    <row r="1123" spans="1:27" x14ac:dyDescent="0.35">
      <c r="A1123" t="str">
        <f t="shared" si="35"/>
        <v>1009D2</v>
      </c>
      <c r="B1123" t="str">
        <f t="shared" si="34"/>
        <v>1009</v>
      </c>
      <c r="C1123" t="s">
        <v>1892</v>
      </c>
      <c r="D1123" t="s">
        <v>2</v>
      </c>
      <c r="E1123" t="s">
        <v>62</v>
      </c>
      <c r="F1123" t="s">
        <v>63</v>
      </c>
      <c r="G1123" t="s">
        <v>757</v>
      </c>
      <c r="H1123" t="s">
        <v>98</v>
      </c>
      <c r="I1123" t="s">
        <v>67</v>
      </c>
      <c r="J1123" t="s">
        <v>1884</v>
      </c>
      <c r="K1123" t="s">
        <v>56</v>
      </c>
      <c r="M1123" t="s">
        <v>106</v>
      </c>
      <c r="P1123" t="s">
        <v>407</v>
      </c>
      <c r="Q1123" t="s">
        <v>47</v>
      </c>
      <c r="R1123" t="s">
        <v>48</v>
      </c>
      <c r="V1123" t="s">
        <v>49</v>
      </c>
      <c r="X1123" t="s">
        <v>49</v>
      </c>
      <c r="Y1123" t="s">
        <v>59</v>
      </c>
      <c r="Z1123" t="s">
        <v>1893</v>
      </c>
    </row>
    <row r="1124" spans="1:27" x14ac:dyDescent="0.35">
      <c r="A1124" t="str">
        <f t="shared" si="35"/>
        <v>1009D7</v>
      </c>
      <c r="B1124" t="str">
        <f t="shared" si="34"/>
        <v>1009</v>
      </c>
      <c r="C1124" t="s">
        <v>1894</v>
      </c>
      <c r="D1124" t="s">
        <v>6</v>
      </c>
      <c r="E1124" t="s">
        <v>94</v>
      </c>
      <c r="F1124" t="s">
        <v>111</v>
      </c>
      <c r="G1124" t="s">
        <v>757</v>
      </c>
      <c r="H1124" t="s">
        <v>42</v>
      </c>
      <c r="I1124" t="s">
        <v>67</v>
      </c>
      <c r="J1124" t="s">
        <v>1884</v>
      </c>
      <c r="M1124" t="s">
        <v>106</v>
      </c>
      <c r="P1124" t="s">
        <v>273</v>
      </c>
      <c r="Q1124" t="s">
        <v>47</v>
      </c>
      <c r="R1124" t="s">
        <v>48</v>
      </c>
      <c r="V1124" t="s">
        <v>49</v>
      </c>
      <c r="X1124" t="s">
        <v>49</v>
      </c>
      <c r="Y1124" t="s">
        <v>59</v>
      </c>
      <c r="Z1124" t="s">
        <v>1878</v>
      </c>
      <c r="AA1124" t="s">
        <v>1878</v>
      </c>
    </row>
    <row r="1125" spans="1:27" x14ac:dyDescent="0.35">
      <c r="A1125" t="str">
        <f t="shared" si="35"/>
        <v>1009D4</v>
      </c>
      <c r="B1125" t="str">
        <f t="shared" si="34"/>
        <v>1009</v>
      </c>
      <c r="C1125" t="s">
        <v>1895</v>
      </c>
      <c r="D1125" t="s">
        <v>3</v>
      </c>
      <c r="E1125" t="s">
        <v>52</v>
      </c>
      <c r="F1125" t="s">
        <v>53</v>
      </c>
      <c r="G1125" t="s">
        <v>757</v>
      </c>
      <c r="H1125" t="s">
        <v>42</v>
      </c>
      <c r="I1125" t="s">
        <v>67</v>
      </c>
      <c r="J1125" t="s">
        <v>1884</v>
      </c>
      <c r="K1125" t="s">
        <v>56</v>
      </c>
      <c r="M1125" t="s">
        <v>106</v>
      </c>
      <c r="P1125" t="s">
        <v>58</v>
      </c>
      <c r="Q1125" t="s">
        <v>47</v>
      </c>
      <c r="R1125" t="s">
        <v>48</v>
      </c>
      <c r="V1125" t="s">
        <v>49</v>
      </c>
      <c r="X1125" t="s">
        <v>49</v>
      </c>
      <c r="Y1125" t="s">
        <v>59</v>
      </c>
      <c r="Z1125" t="s">
        <v>3877</v>
      </c>
      <c r="AA1125" t="s">
        <v>3877</v>
      </c>
    </row>
    <row r="1126" spans="1:27" x14ac:dyDescent="0.35">
      <c r="A1126" t="str">
        <f t="shared" si="35"/>
        <v>1008F3</v>
      </c>
      <c r="B1126" t="str">
        <f t="shared" si="34"/>
        <v>1008</v>
      </c>
      <c r="C1126" t="s">
        <v>1896</v>
      </c>
      <c r="D1126" t="s">
        <v>5</v>
      </c>
      <c r="E1126" t="s">
        <v>40</v>
      </c>
      <c r="F1126" t="s">
        <v>73</v>
      </c>
      <c r="G1126" t="s">
        <v>757</v>
      </c>
      <c r="H1126" t="s">
        <v>42</v>
      </c>
      <c r="I1126" t="s">
        <v>67</v>
      </c>
      <c r="J1126" t="s">
        <v>1897</v>
      </c>
      <c r="M1126" t="s">
        <v>106</v>
      </c>
      <c r="P1126" t="s">
        <v>46</v>
      </c>
      <c r="Q1126" t="s">
        <v>47</v>
      </c>
      <c r="R1126" t="s">
        <v>48</v>
      </c>
      <c r="V1126" t="s">
        <v>49</v>
      </c>
      <c r="X1126" t="s">
        <v>49</v>
      </c>
      <c r="Y1126" t="s">
        <v>74</v>
      </c>
      <c r="Z1126" t="s">
        <v>1898</v>
      </c>
      <c r="AA1126" t="s">
        <v>1898</v>
      </c>
    </row>
    <row r="1127" spans="1:27" x14ac:dyDescent="0.35">
      <c r="A1127" t="str">
        <f t="shared" si="35"/>
        <v>1805F2</v>
      </c>
      <c r="B1127" t="str">
        <f t="shared" si="34"/>
        <v>1805</v>
      </c>
      <c r="C1127" t="s">
        <v>1899</v>
      </c>
      <c r="D1127" t="s">
        <v>4</v>
      </c>
      <c r="E1127" t="s">
        <v>77</v>
      </c>
      <c r="F1127" t="s">
        <v>78</v>
      </c>
      <c r="G1127" t="s">
        <v>757</v>
      </c>
      <c r="H1127" t="s">
        <v>42</v>
      </c>
      <c r="I1127" t="s">
        <v>67</v>
      </c>
      <c r="J1127" t="s">
        <v>1900</v>
      </c>
      <c r="M1127" t="s">
        <v>106</v>
      </c>
      <c r="P1127" t="s">
        <v>91</v>
      </c>
      <c r="Q1127" t="s">
        <v>47</v>
      </c>
      <c r="R1127" t="s">
        <v>48</v>
      </c>
      <c r="V1127" t="s">
        <v>49</v>
      </c>
      <c r="X1127" t="s">
        <v>49</v>
      </c>
      <c r="Y1127" t="s">
        <v>74</v>
      </c>
      <c r="Z1127" t="s">
        <v>1851</v>
      </c>
      <c r="AA1127" t="s">
        <v>1851</v>
      </c>
    </row>
    <row r="1128" spans="1:27" x14ac:dyDescent="0.35">
      <c r="A1128" t="str">
        <f t="shared" si="35"/>
        <v>1805D4</v>
      </c>
      <c r="B1128" t="str">
        <f t="shared" si="34"/>
        <v>1805</v>
      </c>
      <c r="C1128" t="s">
        <v>1901</v>
      </c>
      <c r="D1128" t="s">
        <v>3</v>
      </c>
      <c r="E1128" t="s">
        <v>52</v>
      </c>
      <c r="F1128" t="s">
        <v>53</v>
      </c>
      <c r="G1128" t="s">
        <v>757</v>
      </c>
      <c r="H1128" t="s">
        <v>42</v>
      </c>
      <c r="I1128" t="s">
        <v>43</v>
      </c>
      <c r="J1128" t="s">
        <v>1900</v>
      </c>
      <c r="K1128" t="s">
        <v>56</v>
      </c>
      <c r="M1128" t="s">
        <v>106</v>
      </c>
      <c r="P1128" t="s">
        <v>58</v>
      </c>
      <c r="Q1128" t="s">
        <v>47</v>
      </c>
      <c r="R1128" t="s">
        <v>48</v>
      </c>
      <c r="V1128" t="s">
        <v>49</v>
      </c>
      <c r="X1128" t="s">
        <v>49</v>
      </c>
      <c r="Y1128" t="s">
        <v>59</v>
      </c>
      <c r="Z1128" t="s">
        <v>115</v>
      </c>
      <c r="AA1128" t="s">
        <v>115</v>
      </c>
    </row>
    <row r="1129" spans="1:27" x14ac:dyDescent="0.35">
      <c r="A1129" t="str">
        <f t="shared" si="35"/>
        <v>1008F2</v>
      </c>
      <c r="B1129" t="str">
        <f t="shared" si="34"/>
        <v>1008</v>
      </c>
      <c r="C1129" t="s">
        <v>1902</v>
      </c>
      <c r="D1129" t="s">
        <v>4</v>
      </c>
      <c r="E1129" t="s">
        <v>77</v>
      </c>
      <c r="F1129" t="s">
        <v>78</v>
      </c>
      <c r="G1129" t="s">
        <v>757</v>
      </c>
      <c r="H1129" t="s">
        <v>42</v>
      </c>
      <c r="I1129" t="s">
        <v>67</v>
      </c>
      <c r="J1129" t="s">
        <v>1897</v>
      </c>
      <c r="M1129" t="s">
        <v>106</v>
      </c>
      <c r="P1129" t="s">
        <v>189</v>
      </c>
      <c r="Q1129" t="s">
        <v>47</v>
      </c>
      <c r="R1129" t="s">
        <v>48</v>
      </c>
      <c r="V1129" t="s">
        <v>49</v>
      </c>
      <c r="X1129" t="s">
        <v>49</v>
      </c>
      <c r="Y1129" t="s">
        <v>74</v>
      </c>
      <c r="Z1129" t="s">
        <v>1903</v>
      </c>
      <c r="AA1129" t="s">
        <v>1903</v>
      </c>
    </row>
    <row r="1130" spans="1:27" x14ac:dyDescent="0.35">
      <c r="A1130" t="str">
        <f t="shared" si="35"/>
        <v>1008C2</v>
      </c>
      <c r="B1130" t="str">
        <f t="shared" si="34"/>
        <v>1008</v>
      </c>
      <c r="C1130" t="s">
        <v>1904</v>
      </c>
      <c r="D1130" t="s">
        <v>1</v>
      </c>
      <c r="E1130" t="s">
        <v>65</v>
      </c>
      <c r="F1130" t="s">
        <v>66</v>
      </c>
      <c r="G1130" t="s">
        <v>757</v>
      </c>
      <c r="H1130" t="s">
        <v>42</v>
      </c>
      <c r="I1130" t="s">
        <v>67</v>
      </c>
      <c r="J1130" t="s">
        <v>1897</v>
      </c>
      <c r="M1130" t="s">
        <v>106</v>
      </c>
      <c r="P1130" t="s">
        <v>69</v>
      </c>
      <c r="Q1130" t="s">
        <v>47</v>
      </c>
      <c r="R1130" t="s">
        <v>48</v>
      </c>
      <c r="V1130" t="s">
        <v>49</v>
      </c>
      <c r="X1130" t="s">
        <v>49</v>
      </c>
      <c r="Y1130" t="s">
        <v>70</v>
      </c>
      <c r="Z1130" t="s">
        <v>1891</v>
      </c>
      <c r="AA1130" t="s">
        <v>1891</v>
      </c>
    </row>
    <row r="1131" spans="1:27" x14ac:dyDescent="0.35">
      <c r="A1131" t="str">
        <f t="shared" si="35"/>
        <v>1805D2</v>
      </c>
      <c r="B1131" t="str">
        <f t="shared" si="34"/>
        <v>1805</v>
      </c>
      <c r="C1131" t="s">
        <v>1905</v>
      </c>
      <c r="D1131" t="s">
        <v>2</v>
      </c>
      <c r="E1131" t="s">
        <v>62</v>
      </c>
      <c r="F1131" t="s">
        <v>63</v>
      </c>
      <c r="G1131" t="s">
        <v>757</v>
      </c>
      <c r="H1131" t="s">
        <v>42</v>
      </c>
      <c r="I1131" t="s">
        <v>43</v>
      </c>
      <c r="J1131" t="s">
        <v>1900</v>
      </c>
      <c r="K1131" t="s">
        <v>56</v>
      </c>
      <c r="M1131" t="s">
        <v>106</v>
      </c>
      <c r="P1131" t="s">
        <v>58</v>
      </c>
      <c r="Q1131" t="s">
        <v>47</v>
      </c>
      <c r="R1131" t="s">
        <v>48</v>
      </c>
      <c r="V1131" t="s">
        <v>49</v>
      </c>
      <c r="X1131" t="s">
        <v>49</v>
      </c>
      <c r="Y1131" t="s">
        <v>59</v>
      </c>
      <c r="Z1131" t="s">
        <v>1906</v>
      </c>
      <c r="AA1131" t="s">
        <v>1906</v>
      </c>
    </row>
    <row r="1132" spans="1:27" x14ac:dyDescent="0.35">
      <c r="A1132" t="str">
        <f t="shared" si="35"/>
        <v>1805F3</v>
      </c>
      <c r="B1132" t="str">
        <f t="shared" si="34"/>
        <v>1805</v>
      </c>
      <c r="C1132" t="s">
        <v>1907</v>
      </c>
      <c r="D1132" t="s">
        <v>5</v>
      </c>
      <c r="E1132" t="s">
        <v>40</v>
      </c>
      <c r="F1132" t="s">
        <v>73</v>
      </c>
      <c r="G1132" t="s">
        <v>757</v>
      </c>
      <c r="H1132" t="s">
        <v>42</v>
      </c>
      <c r="I1132" t="s">
        <v>67</v>
      </c>
      <c r="J1132" t="s">
        <v>1900</v>
      </c>
      <c r="M1132" t="s">
        <v>106</v>
      </c>
      <c r="P1132" t="s">
        <v>69</v>
      </c>
      <c r="Q1132" t="s">
        <v>47</v>
      </c>
      <c r="R1132" t="s">
        <v>48</v>
      </c>
      <c r="V1132" t="s">
        <v>49</v>
      </c>
      <c r="X1132" t="s">
        <v>49</v>
      </c>
      <c r="Y1132" t="s">
        <v>74</v>
      </c>
      <c r="Z1132" t="s">
        <v>1908</v>
      </c>
      <c r="AA1132" t="s">
        <v>1908</v>
      </c>
    </row>
    <row r="1133" spans="1:27" x14ac:dyDescent="0.35">
      <c r="A1133" t="str">
        <f t="shared" si="35"/>
        <v>1008D2</v>
      </c>
      <c r="B1133" t="str">
        <f t="shared" si="34"/>
        <v>1008</v>
      </c>
      <c r="C1133" t="s">
        <v>1909</v>
      </c>
      <c r="D1133" t="s">
        <v>2</v>
      </c>
      <c r="E1133" t="s">
        <v>62</v>
      </c>
      <c r="F1133" t="s">
        <v>63</v>
      </c>
      <c r="G1133" t="s">
        <v>757</v>
      </c>
      <c r="H1133" t="s">
        <v>42</v>
      </c>
      <c r="I1133" t="s">
        <v>67</v>
      </c>
      <c r="J1133" t="s">
        <v>1897</v>
      </c>
      <c r="K1133" t="s">
        <v>56</v>
      </c>
      <c r="M1133" t="s">
        <v>106</v>
      </c>
      <c r="P1133" t="s">
        <v>58</v>
      </c>
      <c r="Q1133" t="s">
        <v>47</v>
      </c>
      <c r="R1133" t="s">
        <v>48</v>
      </c>
      <c r="V1133" t="s">
        <v>49</v>
      </c>
      <c r="X1133" t="s">
        <v>49</v>
      </c>
      <c r="Y1133" t="s">
        <v>59</v>
      </c>
      <c r="Z1133" t="s">
        <v>1910</v>
      </c>
      <c r="AA1133" t="s">
        <v>1910</v>
      </c>
    </row>
    <row r="1134" spans="1:27" x14ac:dyDescent="0.35">
      <c r="A1134" t="str">
        <f t="shared" si="35"/>
        <v>1008D7</v>
      </c>
      <c r="B1134" t="str">
        <f t="shared" si="34"/>
        <v>1008</v>
      </c>
      <c r="C1134" t="s">
        <v>1911</v>
      </c>
      <c r="D1134" t="s">
        <v>6</v>
      </c>
      <c r="E1134" t="s">
        <v>94</v>
      </c>
      <c r="F1134" t="s">
        <v>111</v>
      </c>
      <c r="G1134" t="s">
        <v>757</v>
      </c>
      <c r="H1134" t="s">
        <v>42</v>
      </c>
      <c r="I1134" t="s">
        <v>67</v>
      </c>
      <c r="J1134" t="s">
        <v>1897</v>
      </c>
      <c r="M1134" t="s">
        <v>106</v>
      </c>
      <c r="P1134" t="s">
        <v>46</v>
      </c>
      <c r="Q1134" t="s">
        <v>47</v>
      </c>
      <c r="R1134" t="s">
        <v>48</v>
      </c>
      <c r="V1134" t="s">
        <v>49</v>
      </c>
      <c r="X1134" t="s">
        <v>49</v>
      </c>
      <c r="Y1134" t="s">
        <v>59</v>
      </c>
      <c r="Z1134" t="s">
        <v>1912</v>
      </c>
      <c r="AA1134" t="s">
        <v>1912</v>
      </c>
    </row>
    <row r="1135" spans="1:27" x14ac:dyDescent="0.35">
      <c r="A1135" t="str">
        <f t="shared" si="35"/>
        <v>1805C2</v>
      </c>
      <c r="B1135" t="str">
        <f t="shared" si="34"/>
        <v>1805</v>
      </c>
      <c r="C1135" t="s">
        <v>1913</v>
      </c>
      <c r="D1135" t="s">
        <v>1</v>
      </c>
      <c r="E1135" t="s">
        <v>65</v>
      </c>
      <c r="F1135" t="s">
        <v>66</v>
      </c>
      <c r="G1135" t="s">
        <v>757</v>
      </c>
      <c r="H1135" t="s">
        <v>42</v>
      </c>
      <c r="I1135" t="s">
        <v>67</v>
      </c>
      <c r="J1135" t="s">
        <v>1900</v>
      </c>
      <c r="M1135" t="s">
        <v>106</v>
      </c>
      <c r="P1135" t="s">
        <v>69</v>
      </c>
      <c r="Q1135" t="s">
        <v>47</v>
      </c>
      <c r="R1135" t="s">
        <v>48</v>
      </c>
      <c r="V1135" t="s">
        <v>49</v>
      </c>
      <c r="X1135" t="s">
        <v>49</v>
      </c>
      <c r="Y1135" t="s">
        <v>70</v>
      </c>
      <c r="Z1135" t="s">
        <v>225</v>
      </c>
      <c r="AA1135" t="s">
        <v>225</v>
      </c>
    </row>
    <row r="1136" spans="1:27" x14ac:dyDescent="0.35">
      <c r="A1136" t="str">
        <f t="shared" si="35"/>
        <v>1008D4</v>
      </c>
      <c r="B1136" t="str">
        <f t="shared" si="34"/>
        <v>1008</v>
      </c>
      <c r="C1136" t="s">
        <v>1914</v>
      </c>
      <c r="D1136" t="s">
        <v>3</v>
      </c>
      <c r="E1136" t="s">
        <v>52</v>
      </c>
      <c r="F1136" t="s">
        <v>53</v>
      </c>
      <c r="G1136" t="s">
        <v>757</v>
      </c>
      <c r="H1136" t="s">
        <v>42</v>
      </c>
      <c r="I1136" t="s">
        <v>67</v>
      </c>
      <c r="J1136" t="s">
        <v>1897</v>
      </c>
      <c r="K1136" t="s">
        <v>56</v>
      </c>
      <c r="M1136" t="s">
        <v>106</v>
      </c>
      <c r="P1136" t="s">
        <v>58</v>
      </c>
      <c r="Q1136" t="s">
        <v>47</v>
      </c>
      <c r="R1136" t="s">
        <v>48</v>
      </c>
      <c r="V1136" t="s">
        <v>49</v>
      </c>
      <c r="X1136" t="s">
        <v>49</v>
      </c>
      <c r="Y1136" t="s">
        <v>59</v>
      </c>
      <c r="Z1136" t="s">
        <v>1880</v>
      </c>
      <c r="AA1136" t="s">
        <v>1880</v>
      </c>
    </row>
    <row r="1137" spans="1:27" x14ac:dyDescent="0.35">
      <c r="A1137" t="str">
        <f t="shared" si="35"/>
        <v>1805D7</v>
      </c>
      <c r="B1137" t="str">
        <f t="shared" si="34"/>
        <v>1805</v>
      </c>
      <c r="C1137" t="s">
        <v>1915</v>
      </c>
      <c r="D1137" t="s">
        <v>6</v>
      </c>
      <c r="E1137" t="s">
        <v>94</v>
      </c>
      <c r="F1137" t="s">
        <v>111</v>
      </c>
      <c r="G1137" t="s">
        <v>757</v>
      </c>
      <c r="H1137" t="s">
        <v>42</v>
      </c>
      <c r="I1137" t="s">
        <v>43</v>
      </c>
      <c r="J1137" t="s">
        <v>1900</v>
      </c>
      <c r="M1137" t="s">
        <v>106</v>
      </c>
      <c r="P1137" t="s">
        <v>46</v>
      </c>
      <c r="Q1137" t="s">
        <v>47</v>
      </c>
      <c r="R1137" t="s">
        <v>48</v>
      </c>
      <c r="V1137" t="s">
        <v>49</v>
      </c>
      <c r="X1137" t="s">
        <v>49</v>
      </c>
      <c r="Y1137" t="s">
        <v>59</v>
      </c>
      <c r="Z1137" t="s">
        <v>1916</v>
      </c>
      <c r="AA1137" t="s">
        <v>1916</v>
      </c>
    </row>
    <row r="1138" spans="1:27" x14ac:dyDescent="0.35">
      <c r="A1138" t="str">
        <f t="shared" si="35"/>
        <v>1007F3</v>
      </c>
      <c r="B1138" t="str">
        <f t="shared" si="34"/>
        <v>1007</v>
      </c>
      <c r="C1138" t="s">
        <v>1917</v>
      </c>
      <c r="D1138" t="s">
        <v>5</v>
      </c>
      <c r="E1138" t="s">
        <v>40</v>
      </c>
      <c r="F1138" t="s">
        <v>73</v>
      </c>
      <c r="G1138" t="s">
        <v>757</v>
      </c>
      <c r="H1138" t="s">
        <v>42</v>
      </c>
      <c r="I1138" t="s">
        <v>67</v>
      </c>
      <c r="J1138" t="s">
        <v>1918</v>
      </c>
      <c r="M1138" t="s">
        <v>106</v>
      </c>
      <c r="P1138" t="s">
        <v>46</v>
      </c>
      <c r="Q1138" t="s">
        <v>47</v>
      </c>
      <c r="R1138" t="s">
        <v>48</v>
      </c>
      <c r="V1138" t="s">
        <v>49</v>
      </c>
      <c r="X1138" t="s">
        <v>49</v>
      </c>
      <c r="Y1138" t="s">
        <v>74</v>
      </c>
      <c r="Z1138" t="s">
        <v>1903</v>
      </c>
      <c r="AA1138" t="s">
        <v>1903</v>
      </c>
    </row>
    <row r="1139" spans="1:27" x14ac:dyDescent="0.35">
      <c r="A1139" t="str">
        <f t="shared" si="35"/>
        <v>1007F2</v>
      </c>
      <c r="B1139" t="str">
        <f t="shared" si="34"/>
        <v>1007</v>
      </c>
      <c r="C1139" t="s">
        <v>1919</v>
      </c>
      <c r="D1139" t="s">
        <v>4</v>
      </c>
      <c r="E1139" t="s">
        <v>77</v>
      </c>
      <c r="F1139" t="s">
        <v>78</v>
      </c>
      <c r="G1139" t="s">
        <v>757</v>
      </c>
      <c r="H1139" t="s">
        <v>42</v>
      </c>
      <c r="I1139" t="s">
        <v>67</v>
      </c>
      <c r="J1139" t="s">
        <v>1918</v>
      </c>
      <c r="M1139" t="s">
        <v>106</v>
      </c>
      <c r="P1139" t="s">
        <v>79</v>
      </c>
      <c r="Q1139" t="s">
        <v>47</v>
      </c>
      <c r="R1139" t="s">
        <v>48</v>
      </c>
      <c r="V1139" t="s">
        <v>49</v>
      </c>
      <c r="X1139" t="s">
        <v>49</v>
      </c>
      <c r="Y1139" t="s">
        <v>74</v>
      </c>
      <c r="Z1139" t="s">
        <v>1920</v>
      </c>
      <c r="AA1139" t="s">
        <v>1920</v>
      </c>
    </row>
    <row r="1140" spans="1:27" x14ac:dyDescent="0.35">
      <c r="A1140" t="str">
        <f t="shared" si="35"/>
        <v>1007C2</v>
      </c>
      <c r="B1140" t="str">
        <f t="shared" si="34"/>
        <v>1007</v>
      </c>
      <c r="C1140" t="s">
        <v>1921</v>
      </c>
      <c r="D1140" t="s">
        <v>1</v>
      </c>
      <c r="E1140" t="s">
        <v>65</v>
      </c>
      <c r="F1140" t="s">
        <v>66</v>
      </c>
      <c r="G1140" t="s">
        <v>757</v>
      </c>
      <c r="H1140" t="s">
        <v>42</v>
      </c>
      <c r="I1140" t="s">
        <v>67</v>
      </c>
      <c r="J1140" t="s">
        <v>1918</v>
      </c>
      <c r="M1140" t="s">
        <v>106</v>
      </c>
      <c r="P1140" t="s">
        <v>69</v>
      </c>
      <c r="Q1140" t="s">
        <v>47</v>
      </c>
      <c r="R1140" t="s">
        <v>48</v>
      </c>
      <c r="V1140" t="s">
        <v>49</v>
      </c>
      <c r="X1140" t="s">
        <v>49</v>
      </c>
      <c r="Y1140" t="s">
        <v>70</v>
      </c>
      <c r="Z1140" t="s">
        <v>1922</v>
      </c>
      <c r="AA1140" t="s">
        <v>1922</v>
      </c>
    </row>
    <row r="1141" spans="1:27" x14ac:dyDescent="0.35">
      <c r="A1141" t="str">
        <f t="shared" si="35"/>
        <v>1007D2</v>
      </c>
      <c r="B1141" t="str">
        <f t="shared" si="34"/>
        <v>1007</v>
      </c>
      <c r="C1141" t="s">
        <v>1923</v>
      </c>
      <c r="D1141" t="s">
        <v>2</v>
      </c>
      <c r="E1141" t="s">
        <v>62</v>
      </c>
      <c r="F1141" t="s">
        <v>63</v>
      </c>
      <c r="G1141" t="s">
        <v>757</v>
      </c>
      <c r="H1141" t="s">
        <v>42</v>
      </c>
      <c r="I1141" t="s">
        <v>67</v>
      </c>
      <c r="J1141" t="s">
        <v>1918</v>
      </c>
      <c r="K1141" t="s">
        <v>56</v>
      </c>
      <c r="M1141" t="s">
        <v>106</v>
      </c>
      <c r="P1141" t="s">
        <v>58</v>
      </c>
      <c r="Q1141" t="s">
        <v>47</v>
      </c>
      <c r="R1141" t="s">
        <v>48</v>
      </c>
      <c r="V1141" t="s">
        <v>49</v>
      </c>
      <c r="X1141" t="s">
        <v>49</v>
      </c>
      <c r="Y1141" t="s">
        <v>59</v>
      </c>
      <c r="Z1141" t="s">
        <v>1924</v>
      </c>
      <c r="AA1141" t="s">
        <v>1924</v>
      </c>
    </row>
    <row r="1142" spans="1:27" x14ac:dyDescent="0.35">
      <c r="A1142" t="str">
        <f t="shared" si="35"/>
        <v>1007D7</v>
      </c>
      <c r="B1142" t="str">
        <f t="shared" si="34"/>
        <v>1007</v>
      </c>
      <c r="C1142" t="s">
        <v>1925</v>
      </c>
      <c r="D1142" t="s">
        <v>6</v>
      </c>
      <c r="E1142" t="s">
        <v>94</v>
      </c>
      <c r="F1142" t="s">
        <v>111</v>
      </c>
      <c r="G1142" t="s">
        <v>757</v>
      </c>
      <c r="H1142" t="s">
        <v>42</v>
      </c>
      <c r="I1142" t="s">
        <v>67</v>
      </c>
      <c r="J1142" t="s">
        <v>1918</v>
      </c>
      <c r="M1142" t="s">
        <v>106</v>
      </c>
      <c r="P1142" t="s">
        <v>46</v>
      </c>
      <c r="Q1142" t="s">
        <v>47</v>
      </c>
      <c r="R1142" t="s">
        <v>48</v>
      </c>
      <c r="V1142" t="s">
        <v>49</v>
      </c>
      <c r="X1142" t="s">
        <v>49</v>
      </c>
      <c r="Y1142" t="s">
        <v>59</v>
      </c>
      <c r="Z1142" t="s">
        <v>1912</v>
      </c>
      <c r="AA1142" t="s">
        <v>1912</v>
      </c>
    </row>
    <row r="1143" spans="1:27" x14ac:dyDescent="0.35">
      <c r="A1143" t="str">
        <f t="shared" si="35"/>
        <v>1007D4</v>
      </c>
      <c r="B1143" t="str">
        <f t="shared" si="34"/>
        <v>1007</v>
      </c>
      <c r="C1143" t="s">
        <v>1926</v>
      </c>
      <c r="D1143" t="s">
        <v>3</v>
      </c>
      <c r="E1143" t="s">
        <v>52</v>
      </c>
      <c r="F1143" t="s">
        <v>53</v>
      </c>
      <c r="G1143" t="s">
        <v>757</v>
      </c>
      <c r="H1143" t="s">
        <v>42</v>
      </c>
      <c r="I1143" t="s">
        <v>67</v>
      </c>
      <c r="J1143" t="s">
        <v>1918</v>
      </c>
      <c r="K1143" t="s">
        <v>56</v>
      </c>
      <c r="M1143" t="s">
        <v>106</v>
      </c>
      <c r="P1143" t="s">
        <v>58</v>
      </c>
      <c r="Q1143" t="s">
        <v>47</v>
      </c>
      <c r="R1143" t="s">
        <v>48</v>
      </c>
      <c r="V1143" t="s">
        <v>49</v>
      </c>
      <c r="X1143" t="s">
        <v>49</v>
      </c>
      <c r="Y1143" t="s">
        <v>59</v>
      </c>
      <c r="Z1143" t="s">
        <v>1880</v>
      </c>
      <c r="AA1143" t="s">
        <v>1880</v>
      </c>
    </row>
    <row r="1144" spans="1:27" x14ac:dyDescent="0.35">
      <c r="A1144" t="str">
        <f t="shared" si="35"/>
        <v>1006F3</v>
      </c>
      <c r="B1144" t="str">
        <f t="shared" si="34"/>
        <v>1006</v>
      </c>
      <c r="C1144" t="s">
        <v>1927</v>
      </c>
      <c r="D1144" t="s">
        <v>5</v>
      </c>
      <c r="E1144" t="s">
        <v>40</v>
      </c>
      <c r="F1144" t="s">
        <v>73</v>
      </c>
      <c r="G1144" t="s">
        <v>757</v>
      </c>
      <c r="H1144" t="s">
        <v>42</v>
      </c>
      <c r="I1144" t="s">
        <v>67</v>
      </c>
      <c r="J1144" t="s">
        <v>1928</v>
      </c>
      <c r="M1144" t="s">
        <v>106</v>
      </c>
      <c r="P1144" t="s">
        <v>46</v>
      </c>
      <c r="Q1144" t="s">
        <v>47</v>
      </c>
      <c r="R1144" t="s">
        <v>48</v>
      </c>
      <c r="V1144" t="s">
        <v>49</v>
      </c>
      <c r="X1144" t="s">
        <v>49</v>
      </c>
      <c r="Y1144" t="s">
        <v>74</v>
      </c>
      <c r="Z1144" t="s">
        <v>1929</v>
      </c>
      <c r="AA1144" t="s">
        <v>1929</v>
      </c>
    </row>
    <row r="1145" spans="1:27" x14ac:dyDescent="0.35">
      <c r="A1145" t="str">
        <f t="shared" si="35"/>
        <v>1804F2</v>
      </c>
      <c r="B1145" t="str">
        <f t="shared" si="34"/>
        <v>1804</v>
      </c>
      <c r="C1145" t="s">
        <v>1930</v>
      </c>
      <c r="D1145" t="s">
        <v>4</v>
      </c>
      <c r="E1145" t="s">
        <v>77</v>
      </c>
      <c r="F1145" t="s">
        <v>78</v>
      </c>
      <c r="G1145" t="s">
        <v>757</v>
      </c>
      <c r="H1145" t="s">
        <v>42</v>
      </c>
      <c r="I1145" t="s">
        <v>67</v>
      </c>
      <c r="J1145" t="s">
        <v>1931</v>
      </c>
      <c r="M1145" t="s">
        <v>106</v>
      </c>
      <c r="P1145" t="s">
        <v>138</v>
      </c>
      <c r="Q1145" t="s">
        <v>47</v>
      </c>
      <c r="R1145" t="s">
        <v>48</v>
      </c>
      <c r="V1145" t="s">
        <v>49</v>
      </c>
      <c r="X1145" t="s">
        <v>49</v>
      </c>
      <c r="Y1145" t="s">
        <v>74</v>
      </c>
      <c r="Z1145" t="s">
        <v>1932</v>
      </c>
      <c r="AA1145" t="s">
        <v>1932</v>
      </c>
    </row>
    <row r="1146" spans="1:27" x14ac:dyDescent="0.35">
      <c r="A1146" t="str">
        <f t="shared" si="35"/>
        <v>1804D4</v>
      </c>
      <c r="B1146" t="str">
        <f t="shared" si="34"/>
        <v>1804</v>
      </c>
      <c r="C1146" t="s">
        <v>1933</v>
      </c>
      <c r="D1146" t="s">
        <v>3</v>
      </c>
      <c r="E1146" t="s">
        <v>52</v>
      </c>
      <c r="F1146" t="s">
        <v>53</v>
      </c>
      <c r="G1146" t="s">
        <v>757</v>
      </c>
      <c r="H1146" t="s">
        <v>42</v>
      </c>
      <c r="I1146" t="s">
        <v>43</v>
      </c>
      <c r="J1146" t="s">
        <v>1931</v>
      </c>
      <c r="K1146" t="s">
        <v>56</v>
      </c>
      <c r="M1146" t="s">
        <v>106</v>
      </c>
      <c r="P1146" t="s">
        <v>58</v>
      </c>
      <c r="Q1146" t="s">
        <v>47</v>
      </c>
      <c r="R1146" t="s">
        <v>48</v>
      </c>
      <c r="V1146" t="s">
        <v>49</v>
      </c>
      <c r="X1146" t="s">
        <v>49</v>
      </c>
      <c r="Y1146" t="s">
        <v>59</v>
      </c>
      <c r="Z1146" t="s">
        <v>115</v>
      </c>
      <c r="AA1146" t="s">
        <v>115</v>
      </c>
    </row>
    <row r="1147" spans="1:27" x14ac:dyDescent="0.35">
      <c r="A1147" t="str">
        <f t="shared" si="35"/>
        <v>1804D2</v>
      </c>
      <c r="B1147" t="str">
        <f t="shared" si="34"/>
        <v>1804</v>
      </c>
      <c r="C1147" t="s">
        <v>1934</v>
      </c>
      <c r="D1147" t="s">
        <v>2</v>
      </c>
      <c r="E1147" t="s">
        <v>62</v>
      </c>
      <c r="F1147" t="s">
        <v>63</v>
      </c>
      <c r="G1147" t="s">
        <v>757</v>
      </c>
      <c r="H1147" t="s">
        <v>42</v>
      </c>
      <c r="I1147" t="s">
        <v>43</v>
      </c>
      <c r="J1147" t="s">
        <v>1931</v>
      </c>
      <c r="K1147" t="s">
        <v>56</v>
      </c>
      <c r="M1147" t="s">
        <v>106</v>
      </c>
      <c r="P1147" t="s">
        <v>58</v>
      </c>
      <c r="Q1147" t="s">
        <v>47</v>
      </c>
      <c r="R1147" t="s">
        <v>48</v>
      </c>
      <c r="V1147" t="s">
        <v>49</v>
      </c>
      <c r="X1147" t="s">
        <v>49</v>
      </c>
      <c r="Y1147" t="s">
        <v>59</v>
      </c>
      <c r="Z1147" t="s">
        <v>121</v>
      </c>
      <c r="AA1147" t="s">
        <v>121</v>
      </c>
    </row>
    <row r="1148" spans="1:27" x14ac:dyDescent="0.35">
      <c r="A1148" t="str">
        <f t="shared" si="35"/>
        <v>1804F3</v>
      </c>
      <c r="B1148" t="str">
        <f t="shared" si="34"/>
        <v>1804</v>
      </c>
      <c r="C1148" t="s">
        <v>1935</v>
      </c>
      <c r="D1148" t="s">
        <v>5</v>
      </c>
      <c r="E1148" t="s">
        <v>40</v>
      </c>
      <c r="F1148" t="s">
        <v>73</v>
      </c>
      <c r="G1148" t="s">
        <v>757</v>
      </c>
      <c r="H1148" t="s">
        <v>42</v>
      </c>
      <c r="I1148" t="s">
        <v>67</v>
      </c>
      <c r="J1148" t="s">
        <v>1931</v>
      </c>
      <c r="M1148" t="s">
        <v>106</v>
      </c>
      <c r="P1148" t="s">
        <v>58</v>
      </c>
      <c r="Q1148" t="s">
        <v>47</v>
      </c>
      <c r="R1148" t="s">
        <v>48</v>
      </c>
      <c r="V1148" t="s">
        <v>49</v>
      </c>
      <c r="X1148" t="s">
        <v>49</v>
      </c>
      <c r="Y1148" t="s">
        <v>74</v>
      </c>
      <c r="Z1148" t="s">
        <v>1936</v>
      </c>
      <c r="AA1148" t="s">
        <v>1936</v>
      </c>
    </row>
    <row r="1149" spans="1:27" x14ac:dyDescent="0.35">
      <c r="A1149" t="str">
        <f t="shared" si="35"/>
        <v>1006F2</v>
      </c>
      <c r="B1149" t="str">
        <f t="shared" si="34"/>
        <v>1006</v>
      </c>
      <c r="C1149" t="s">
        <v>1937</v>
      </c>
      <c r="D1149" t="s">
        <v>4</v>
      </c>
      <c r="E1149" t="s">
        <v>77</v>
      </c>
      <c r="F1149" t="s">
        <v>78</v>
      </c>
      <c r="G1149" t="s">
        <v>757</v>
      </c>
      <c r="H1149" t="s">
        <v>42</v>
      </c>
      <c r="I1149" t="s">
        <v>67</v>
      </c>
      <c r="J1149" t="s">
        <v>1928</v>
      </c>
      <c r="M1149" t="s">
        <v>106</v>
      </c>
      <c r="P1149" t="s">
        <v>189</v>
      </c>
      <c r="Q1149" t="s">
        <v>47</v>
      </c>
      <c r="R1149" t="s">
        <v>48</v>
      </c>
      <c r="V1149" t="s">
        <v>49</v>
      </c>
      <c r="X1149" t="s">
        <v>49</v>
      </c>
      <c r="Y1149" t="s">
        <v>74</v>
      </c>
      <c r="Z1149" t="s">
        <v>1938</v>
      </c>
      <c r="AA1149" t="s">
        <v>1938</v>
      </c>
    </row>
    <row r="1150" spans="1:27" x14ac:dyDescent="0.35">
      <c r="A1150" t="str">
        <f t="shared" si="35"/>
        <v>1006C2</v>
      </c>
      <c r="B1150" t="str">
        <f t="shared" si="34"/>
        <v>1006</v>
      </c>
      <c r="C1150" t="s">
        <v>1939</v>
      </c>
      <c r="D1150" t="s">
        <v>1</v>
      </c>
      <c r="E1150" t="s">
        <v>65</v>
      </c>
      <c r="F1150" t="s">
        <v>66</v>
      </c>
      <c r="G1150" t="s">
        <v>757</v>
      </c>
      <c r="H1150" t="s">
        <v>42</v>
      </c>
      <c r="I1150" t="s">
        <v>67</v>
      </c>
      <c r="J1150" t="s">
        <v>1928</v>
      </c>
      <c r="M1150" t="s">
        <v>106</v>
      </c>
      <c r="P1150" t="s">
        <v>69</v>
      </c>
      <c r="Q1150" t="s">
        <v>47</v>
      </c>
      <c r="R1150" t="s">
        <v>48</v>
      </c>
      <c r="V1150" t="s">
        <v>49</v>
      </c>
      <c r="X1150" t="s">
        <v>49</v>
      </c>
      <c r="Y1150" t="s">
        <v>70</v>
      </c>
      <c r="Z1150" t="s">
        <v>1940</v>
      </c>
      <c r="AA1150" t="s">
        <v>1922</v>
      </c>
    </row>
    <row r="1151" spans="1:27" x14ac:dyDescent="0.35">
      <c r="A1151" t="str">
        <f t="shared" si="35"/>
        <v>1804C2</v>
      </c>
      <c r="B1151" t="str">
        <f t="shared" si="34"/>
        <v>1804</v>
      </c>
      <c r="C1151" t="s">
        <v>1941</v>
      </c>
      <c r="D1151" t="s">
        <v>1</v>
      </c>
      <c r="E1151" t="s">
        <v>65</v>
      </c>
      <c r="F1151" t="s">
        <v>66</v>
      </c>
      <c r="G1151" t="s">
        <v>757</v>
      </c>
      <c r="H1151" t="s">
        <v>42</v>
      </c>
      <c r="I1151" t="s">
        <v>67</v>
      </c>
      <c r="J1151" t="s">
        <v>1931</v>
      </c>
      <c r="M1151" t="s">
        <v>106</v>
      </c>
      <c r="P1151" t="s">
        <v>69</v>
      </c>
      <c r="Q1151" t="s">
        <v>47</v>
      </c>
      <c r="R1151" t="s">
        <v>48</v>
      </c>
      <c r="V1151" t="s">
        <v>49</v>
      </c>
      <c r="X1151" t="s">
        <v>49</v>
      </c>
      <c r="Y1151" t="s">
        <v>70</v>
      </c>
      <c r="Z1151" t="s">
        <v>225</v>
      </c>
      <c r="AA1151" t="s">
        <v>225</v>
      </c>
    </row>
    <row r="1152" spans="1:27" x14ac:dyDescent="0.35">
      <c r="A1152" t="str">
        <f t="shared" si="35"/>
        <v>1804D7</v>
      </c>
      <c r="B1152" t="str">
        <f t="shared" si="34"/>
        <v>1804</v>
      </c>
      <c r="C1152" t="s">
        <v>1942</v>
      </c>
      <c r="D1152" t="s">
        <v>6</v>
      </c>
      <c r="E1152" t="s">
        <v>94</v>
      </c>
      <c r="F1152" t="s">
        <v>111</v>
      </c>
      <c r="G1152" t="s">
        <v>757</v>
      </c>
      <c r="H1152" t="s">
        <v>42</v>
      </c>
      <c r="I1152" t="s">
        <v>43</v>
      </c>
      <c r="J1152" t="s">
        <v>1931</v>
      </c>
      <c r="M1152" t="s">
        <v>106</v>
      </c>
      <c r="P1152" t="s">
        <v>46</v>
      </c>
      <c r="Q1152" t="s">
        <v>47</v>
      </c>
      <c r="R1152" t="s">
        <v>48</v>
      </c>
      <c r="V1152" t="s">
        <v>49</v>
      </c>
      <c r="X1152" t="s">
        <v>49</v>
      </c>
      <c r="Y1152" t="s">
        <v>59</v>
      </c>
      <c r="Z1152" t="s">
        <v>1943</v>
      </c>
      <c r="AA1152" t="s">
        <v>1943</v>
      </c>
    </row>
    <row r="1153" spans="1:27" x14ac:dyDescent="0.35">
      <c r="A1153" t="str">
        <f t="shared" si="35"/>
        <v>1006D2</v>
      </c>
      <c r="B1153" t="str">
        <f t="shared" si="34"/>
        <v>1006</v>
      </c>
      <c r="C1153" t="s">
        <v>1944</v>
      </c>
      <c r="D1153" t="s">
        <v>2</v>
      </c>
      <c r="E1153" t="s">
        <v>62</v>
      </c>
      <c r="F1153" t="s">
        <v>63</v>
      </c>
      <c r="G1153" t="s">
        <v>757</v>
      </c>
      <c r="H1153" t="s">
        <v>42</v>
      </c>
      <c r="I1153" t="s">
        <v>67</v>
      </c>
      <c r="J1153" t="s">
        <v>1928</v>
      </c>
      <c r="K1153" t="s">
        <v>56</v>
      </c>
      <c r="M1153" t="s">
        <v>106</v>
      </c>
      <c r="P1153" t="s">
        <v>58</v>
      </c>
      <c r="Q1153" t="s">
        <v>47</v>
      </c>
      <c r="R1153" t="s">
        <v>48</v>
      </c>
      <c r="V1153" t="s">
        <v>49</v>
      </c>
      <c r="X1153" t="s">
        <v>49</v>
      </c>
      <c r="Y1153" t="s">
        <v>59</v>
      </c>
      <c r="Z1153" t="s">
        <v>1940</v>
      </c>
      <c r="AA1153" t="s">
        <v>1945</v>
      </c>
    </row>
    <row r="1154" spans="1:27" x14ac:dyDescent="0.35">
      <c r="A1154" t="str">
        <f t="shared" si="35"/>
        <v>1006D7</v>
      </c>
      <c r="B1154" t="str">
        <f t="shared" ref="B1154:B1217" si="36">LEFT($J:$J,4)</f>
        <v>1006</v>
      </c>
      <c r="C1154" t="s">
        <v>1946</v>
      </c>
      <c r="D1154" t="s">
        <v>6</v>
      </c>
      <c r="E1154" t="s">
        <v>94</v>
      </c>
      <c r="F1154" t="s">
        <v>111</v>
      </c>
      <c r="G1154" t="s">
        <v>757</v>
      </c>
      <c r="H1154" t="s">
        <v>42</v>
      </c>
      <c r="I1154" t="s">
        <v>67</v>
      </c>
      <c r="J1154" t="s">
        <v>1928</v>
      </c>
      <c r="M1154" t="s">
        <v>106</v>
      </c>
      <c r="P1154" t="s">
        <v>46</v>
      </c>
      <c r="Q1154" t="s">
        <v>47</v>
      </c>
      <c r="R1154" t="s">
        <v>48</v>
      </c>
      <c r="V1154" t="s">
        <v>49</v>
      </c>
      <c r="X1154" t="s">
        <v>49</v>
      </c>
      <c r="Y1154" t="s">
        <v>59</v>
      </c>
      <c r="Z1154" t="s">
        <v>1912</v>
      </c>
      <c r="AA1154" t="s">
        <v>1912</v>
      </c>
    </row>
    <row r="1155" spans="1:27" x14ac:dyDescent="0.35">
      <c r="A1155" t="str">
        <f t="shared" ref="A1155:A1218" si="37">B1155&amp;D1155</f>
        <v>1006D4</v>
      </c>
      <c r="B1155" t="str">
        <f t="shared" si="36"/>
        <v>1006</v>
      </c>
      <c r="C1155" t="s">
        <v>1947</v>
      </c>
      <c r="D1155" t="s">
        <v>3</v>
      </c>
      <c r="E1155" t="s">
        <v>52</v>
      </c>
      <c r="F1155" t="s">
        <v>53</v>
      </c>
      <c r="G1155" t="s">
        <v>757</v>
      </c>
      <c r="H1155" t="s">
        <v>42</v>
      </c>
      <c r="I1155" t="s">
        <v>67</v>
      </c>
      <c r="J1155" t="s">
        <v>1928</v>
      </c>
      <c r="K1155" t="s">
        <v>56</v>
      </c>
      <c r="M1155" t="s">
        <v>106</v>
      </c>
      <c r="P1155" t="s">
        <v>58</v>
      </c>
      <c r="Q1155" t="s">
        <v>47</v>
      </c>
      <c r="R1155" t="s">
        <v>48</v>
      </c>
      <c r="V1155" t="s">
        <v>49</v>
      </c>
      <c r="X1155" t="s">
        <v>49</v>
      </c>
      <c r="Y1155" t="s">
        <v>59</v>
      </c>
      <c r="Z1155" t="s">
        <v>1948</v>
      </c>
      <c r="AA1155" t="s">
        <v>1948</v>
      </c>
    </row>
    <row r="1156" spans="1:27" x14ac:dyDescent="0.35">
      <c r="A1156" t="str">
        <f t="shared" si="37"/>
        <v>1005F3</v>
      </c>
      <c r="B1156" t="str">
        <f t="shared" si="36"/>
        <v>1005</v>
      </c>
      <c r="C1156" t="s">
        <v>1949</v>
      </c>
      <c r="D1156" t="s">
        <v>5</v>
      </c>
      <c r="E1156" t="s">
        <v>40</v>
      </c>
      <c r="F1156" t="s">
        <v>73</v>
      </c>
      <c r="G1156" t="s">
        <v>757</v>
      </c>
      <c r="H1156" t="s">
        <v>42</v>
      </c>
      <c r="I1156" t="s">
        <v>67</v>
      </c>
      <c r="J1156" t="s">
        <v>1950</v>
      </c>
      <c r="M1156" t="s">
        <v>106</v>
      </c>
      <c r="P1156" t="s">
        <v>46</v>
      </c>
      <c r="Q1156" t="s">
        <v>47</v>
      </c>
      <c r="R1156" t="s">
        <v>48</v>
      </c>
      <c r="V1156" t="s">
        <v>49</v>
      </c>
      <c r="X1156" t="s">
        <v>49</v>
      </c>
      <c r="Y1156" t="s">
        <v>74</v>
      </c>
      <c r="Z1156" t="s">
        <v>1938</v>
      </c>
      <c r="AA1156" t="s">
        <v>1938</v>
      </c>
    </row>
    <row r="1157" spans="1:27" x14ac:dyDescent="0.35">
      <c r="A1157" t="str">
        <f t="shared" si="37"/>
        <v>1005F2</v>
      </c>
      <c r="B1157" t="str">
        <f t="shared" si="36"/>
        <v>1005</v>
      </c>
      <c r="C1157" t="s">
        <v>1951</v>
      </c>
      <c r="D1157" t="s">
        <v>4</v>
      </c>
      <c r="E1157" t="s">
        <v>77</v>
      </c>
      <c r="F1157" t="s">
        <v>78</v>
      </c>
      <c r="G1157" t="s">
        <v>757</v>
      </c>
      <c r="H1157" t="s">
        <v>42</v>
      </c>
      <c r="I1157" t="s">
        <v>67</v>
      </c>
      <c r="J1157" t="s">
        <v>1950</v>
      </c>
      <c r="M1157" t="s">
        <v>106</v>
      </c>
      <c r="P1157" t="s">
        <v>178</v>
      </c>
      <c r="Q1157" t="s">
        <v>47</v>
      </c>
      <c r="R1157" t="s">
        <v>48</v>
      </c>
      <c r="V1157" t="s">
        <v>49</v>
      </c>
      <c r="X1157" t="s">
        <v>49</v>
      </c>
      <c r="Y1157" t="s">
        <v>74</v>
      </c>
      <c r="Z1157" t="s">
        <v>1952</v>
      </c>
      <c r="AA1157" t="s">
        <v>1952</v>
      </c>
    </row>
    <row r="1158" spans="1:27" x14ac:dyDescent="0.35">
      <c r="A1158" t="str">
        <f t="shared" si="37"/>
        <v>1005C2</v>
      </c>
      <c r="B1158" t="str">
        <f t="shared" si="36"/>
        <v>1005</v>
      </c>
      <c r="C1158" t="s">
        <v>1953</v>
      </c>
      <c r="D1158" t="s">
        <v>1</v>
      </c>
      <c r="E1158" t="s">
        <v>65</v>
      </c>
      <c r="F1158" t="s">
        <v>66</v>
      </c>
      <c r="G1158" t="s">
        <v>757</v>
      </c>
      <c r="H1158" t="s">
        <v>42</v>
      </c>
      <c r="I1158" t="s">
        <v>67</v>
      </c>
      <c r="J1158" t="s">
        <v>1950</v>
      </c>
      <c r="M1158" t="s">
        <v>106</v>
      </c>
      <c r="P1158" t="s">
        <v>69</v>
      </c>
      <c r="Q1158" t="s">
        <v>47</v>
      </c>
      <c r="R1158" t="s">
        <v>48</v>
      </c>
      <c r="V1158" t="s">
        <v>49</v>
      </c>
      <c r="X1158" t="s">
        <v>49</v>
      </c>
      <c r="Y1158" t="s">
        <v>70</v>
      </c>
      <c r="Z1158" t="s">
        <v>1922</v>
      </c>
      <c r="AA1158" t="s">
        <v>1922</v>
      </c>
    </row>
    <row r="1159" spans="1:27" x14ac:dyDescent="0.35">
      <c r="A1159" t="str">
        <f t="shared" si="37"/>
        <v>1005D2</v>
      </c>
      <c r="B1159" t="str">
        <f t="shared" si="36"/>
        <v>1005</v>
      </c>
      <c r="C1159" t="s">
        <v>1954</v>
      </c>
      <c r="D1159" t="s">
        <v>2</v>
      </c>
      <c r="E1159" t="s">
        <v>62</v>
      </c>
      <c r="F1159" t="s">
        <v>63</v>
      </c>
      <c r="G1159" t="s">
        <v>757</v>
      </c>
      <c r="H1159" t="s">
        <v>42</v>
      </c>
      <c r="I1159" t="s">
        <v>67</v>
      </c>
      <c r="J1159" t="s">
        <v>1950</v>
      </c>
      <c r="K1159" t="s">
        <v>56</v>
      </c>
      <c r="M1159" t="s">
        <v>106</v>
      </c>
      <c r="P1159" t="s">
        <v>58</v>
      </c>
      <c r="Q1159" t="s">
        <v>47</v>
      </c>
      <c r="R1159" t="s">
        <v>48</v>
      </c>
      <c r="V1159" t="s">
        <v>49</v>
      </c>
      <c r="X1159" t="s">
        <v>49</v>
      </c>
      <c r="Y1159" t="s">
        <v>59</v>
      </c>
      <c r="Z1159" t="s">
        <v>687</v>
      </c>
      <c r="AA1159" t="s">
        <v>687</v>
      </c>
    </row>
    <row r="1160" spans="1:27" x14ac:dyDescent="0.35">
      <c r="A1160" t="str">
        <f t="shared" si="37"/>
        <v>1005D7</v>
      </c>
      <c r="B1160" t="str">
        <f t="shared" si="36"/>
        <v>1005</v>
      </c>
      <c r="C1160" t="s">
        <v>1955</v>
      </c>
      <c r="D1160" t="s">
        <v>6</v>
      </c>
      <c r="E1160" t="s">
        <v>94</v>
      </c>
      <c r="F1160" t="s">
        <v>111</v>
      </c>
      <c r="G1160" t="s">
        <v>757</v>
      </c>
      <c r="H1160" t="s">
        <v>42</v>
      </c>
      <c r="I1160" t="s">
        <v>67</v>
      </c>
      <c r="J1160" t="s">
        <v>1950</v>
      </c>
      <c r="M1160" t="s">
        <v>106</v>
      </c>
      <c r="P1160" t="s">
        <v>46</v>
      </c>
      <c r="Q1160" t="s">
        <v>47</v>
      </c>
      <c r="R1160" t="s">
        <v>48</v>
      </c>
      <c r="V1160" t="s">
        <v>49</v>
      </c>
      <c r="X1160" t="s">
        <v>49</v>
      </c>
      <c r="Y1160" t="s">
        <v>59</v>
      </c>
      <c r="Z1160" t="s">
        <v>1956</v>
      </c>
      <c r="AA1160" t="s">
        <v>1956</v>
      </c>
    </row>
    <row r="1161" spans="1:27" x14ac:dyDescent="0.35">
      <c r="A1161" t="str">
        <f t="shared" si="37"/>
        <v>1005D4</v>
      </c>
      <c r="B1161" t="str">
        <f t="shared" si="36"/>
        <v>1005</v>
      </c>
      <c r="C1161" t="s">
        <v>1957</v>
      </c>
      <c r="D1161" t="s">
        <v>3</v>
      </c>
      <c r="E1161" t="s">
        <v>52</v>
      </c>
      <c r="F1161" t="s">
        <v>53</v>
      </c>
      <c r="G1161" t="s">
        <v>757</v>
      </c>
      <c r="H1161" t="s">
        <v>42</v>
      </c>
      <c r="I1161" t="s">
        <v>67</v>
      </c>
      <c r="J1161" t="s">
        <v>1950</v>
      </c>
      <c r="K1161" t="s">
        <v>56</v>
      </c>
      <c r="M1161" t="s">
        <v>106</v>
      </c>
      <c r="P1161" t="s">
        <v>58</v>
      </c>
      <c r="Q1161" t="s">
        <v>47</v>
      </c>
      <c r="R1161" t="s">
        <v>48</v>
      </c>
      <c r="V1161" t="s">
        <v>49</v>
      </c>
      <c r="X1161" t="s">
        <v>49</v>
      </c>
      <c r="Y1161" t="s">
        <v>59</v>
      </c>
      <c r="Z1161" t="s">
        <v>1880</v>
      </c>
      <c r="AA1161" t="s">
        <v>1880</v>
      </c>
    </row>
    <row r="1162" spans="1:27" x14ac:dyDescent="0.35">
      <c r="A1162" t="str">
        <f t="shared" si="37"/>
        <v>1803F2</v>
      </c>
      <c r="B1162" t="str">
        <f t="shared" si="36"/>
        <v>1803</v>
      </c>
      <c r="C1162" t="s">
        <v>1958</v>
      </c>
      <c r="D1162" t="s">
        <v>4</v>
      </c>
      <c r="E1162" t="s">
        <v>77</v>
      </c>
      <c r="F1162" t="s">
        <v>78</v>
      </c>
      <c r="G1162" t="s">
        <v>757</v>
      </c>
      <c r="H1162" t="s">
        <v>42</v>
      </c>
      <c r="I1162" t="s">
        <v>67</v>
      </c>
      <c r="J1162" t="s">
        <v>1959</v>
      </c>
      <c r="M1162" t="s">
        <v>106</v>
      </c>
      <c r="P1162" t="s">
        <v>91</v>
      </c>
      <c r="Q1162" t="s">
        <v>47</v>
      </c>
      <c r="R1162" t="s">
        <v>48</v>
      </c>
      <c r="V1162" t="s">
        <v>49</v>
      </c>
      <c r="X1162" t="s">
        <v>49</v>
      </c>
      <c r="Y1162" t="s">
        <v>74</v>
      </c>
      <c r="Z1162" t="s">
        <v>1932</v>
      </c>
      <c r="AA1162" t="s">
        <v>1932</v>
      </c>
    </row>
    <row r="1163" spans="1:27" x14ac:dyDescent="0.35">
      <c r="A1163" t="str">
        <f t="shared" si="37"/>
        <v>1004F3</v>
      </c>
      <c r="B1163" t="str">
        <f t="shared" si="36"/>
        <v>1004</v>
      </c>
      <c r="C1163" t="s">
        <v>1960</v>
      </c>
      <c r="D1163" t="s">
        <v>5</v>
      </c>
      <c r="E1163" t="s">
        <v>40</v>
      </c>
      <c r="F1163" t="s">
        <v>73</v>
      </c>
      <c r="G1163" t="s">
        <v>757</v>
      </c>
      <c r="H1163" t="s">
        <v>42</v>
      </c>
      <c r="I1163" t="s">
        <v>67</v>
      </c>
      <c r="J1163" t="s">
        <v>1961</v>
      </c>
      <c r="M1163" t="s">
        <v>106</v>
      </c>
      <c r="P1163" t="s">
        <v>46</v>
      </c>
      <c r="Q1163" t="s">
        <v>47</v>
      </c>
      <c r="R1163" t="s">
        <v>48</v>
      </c>
      <c r="V1163" t="s">
        <v>49</v>
      </c>
      <c r="X1163" t="s">
        <v>49</v>
      </c>
      <c r="Y1163" t="s">
        <v>74</v>
      </c>
      <c r="Z1163" t="s">
        <v>1952</v>
      </c>
      <c r="AA1163" t="s">
        <v>1952</v>
      </c>
    </row>
    <row r="1164" spans="1:27" x14ac:dyDescent="0.35">
      <c r="A1164" t="str">
        <f t="shared" si="37"/>
        <v>1803D4</v>
      </c>
      <c r="B1164" t="str">
        <f t="shared" si="36"/>
        <v>1803</v>
      </c>
      <c r="C1164" t="s">
        <v>1962</v>
      </c>
      <c r="D1164" t="s">
        <v>3</v>
      </c>
      <c r="E1164" t="s">
        <v>52</v>
      </c>
      <c r="F1164" t="s">
        <v>53</v>
      </c>
      <c r="G1164" t="s">
        <v>757</v>
      </c>
      <c r="H1164" t="s">
        <v>42</v>
      </c>
      <c r="I1164" t="s">
        <v>43</v>
      </c>
      <c r="J1164" t="s">
        <v>1959</v>
      </c>
      <c r="K1164" t="s">
        <v>56</v>
      </c>
      <c r="M1164" t="s">
        <v>106</v>
      </c>
      <c r="P1164" t="s">
        <v>58</v>
      </c>
      <c r="Q1164" t="s">
        <v>47</v>
      </c>
      <c r="R1164" t="s">
        <v>48</v>
      </c>
      <c r="V1164" t="s">
        <v>49</v>
      </c>
      <c r="X1164" t="s">
        <v>49</v>
      </c>
      <c r="Y1164" t="s">
        <v>59</v>
      </c>
      <c r="Z1164" t="s">
        <v>115</v>
      </c>
      <c r="AA1164" t="s">
        <v>115</v>
      </c>
    </row>
    <row r="1165" spans="1:27" x14ac:dyDescent="0.35">
      <c r="A1165" t="str">
        <f t="shared" si="37"/>
        <v>1803D2</v>
      </c>
      <c r="B1165" t="str">
        <f t="shared" si="36"/>
        <v>1803</v>
      </c>
      <c r="C1165" t="s">
        <v>1963</v>
      </c>
      <c r="D1165" t="s">
        <v>2</v>
      </c>
      <c r="E1165" t="s">
        <v>62</v>
      </c>
      <c r="F1165" t="s">
        <v>63</v>
      </c>
      <c r="G1165" t="s">
        <v>757</v>
      </c>
      <c r="H1165" t="s">
        <v>42</v>
      </c>
      <c r="I1165" t="s">
        <v>43</v>
      </c>
      <c r="J1165" t="s">
        <v>1959</v>
      </c>
      <c r="K1165" t="s">
        <v>56</v>
      </c>
      <c r="M1165" t="s">
        <v>106</v>
      </c>
      <c r="P1165" t="s">
        <v>58</v>
      </c>
      <c r="Q1165" t="s">
        <v>47</v>
      </c>
      <c r="R1165" t="s">
        <v>48</v>
      </c>
      <c r="V1165" t="s">
        <v>49</v>
      </c>
      <c r="X1165" t="s">
        <v>49</v>
      </c>
      <c r="Y1165" t="s">
        <v>59</v>
      </c>
      <c r="Z1165" t="s">
        <v>121</v>
      </c>
      <c r="AA1165" t="s">
        <v>121</v>
      </c>
    </row>
    <row r="1166" spans="1:27" x14ac:dyDescent="0.35">
      <c r="A1166" t="str">
        <f t="shared" si="37"/>
        <v>1803F3</v>
      </c>
      <c r="B1166" t="str">
        <f t="shared" si="36"/>
        <v>1803</v>
      </c>
      <c r="C1166" t="s">
        <v>1964</v>
      </c>
      <c r="D1166" t="s">
        <v>5</v>
      </c>
      <c r="E1166" t="s">
        <v>40</v>
      </c>
      <c r="F1166" t="s">
        <v>73</v>
      </c>
      <c r="G1166" t="s">
        <v>757</v>
      </c>
      <c r="H1166" t="s">
        <v>42</v>
      </c>
      <c r="I1166" t="s">
        <v>67</v>
      </c>
      <c r="J1166" t="s">
        <v>1959</v>
      </c>
      <c r="M1166" t="s">
        <v>106</v>
      </c>
      <c r="P1166" t="s">
        <v>58</v>
      </c>
      <c r="Q1166" t="s">
        <v>47</v>
      </c>
      <c r="R1166" t="s">
        <v>48</v>
      </c>
      <c r="V1166" t="s">
        <v>49</v>
      </c>
      <c r="X1166" t="s">
        <v>49</v>
      </c>
      <c r="Y1166" t="s">
        <v>74</v>
      </c>
      <c r="Z1166" t="s">
        <v>1936</v>
      </c>
      <c r="AA1166" t="s">
        <v>1936</v>
      </c>
    </row>
    <row r="1167" spans="1:27" x14ac:dyDescent="0.35">
      <c r="A1167" t="str">
        <f t="shared" si="37"/>
        <v>1803C2</v>
      </c>
      <c r="B1167" t="str">
        <f t="shared" si="36"/>
        <v>1803</v>
      </c>
      <c r="C1167" t="s">
        <v>1965</v>
      </c>
      <c r="D1167" t="s">
        <v>1</v>
      </c>
      <c r="E1167" t="s">
        <v>65</v>
      </c>
      <c r="F1167" t="s">
        <v>66</v>
      </c>
      <c r="G1167" t="s">
        <v>757</v>
      </c>
      <c r="H1167" t="s">
        <v>42</v>
      </c>
      <c r="I1167" t="s">
        <v>67</v>
      </c>
      <c r="J1167" t="s">
        <v>1959</v>
      </c>
      <c r="M1167" t="s">
        <v>106</v>
      </c>
      <c r="P1167" t="s">
        <v>69</v>
      </c>
      <c r="Q1167" t="s">
        <v>47</v>
      </c>
      <c r="R1167" t="s">
        <v>48</v>
      </c>
      <c r="V1167" t="s">
        <v>49</v>
      </c>
      <c r="X1167" t="s">
        <v>49</v>
      </c>
      <c r="Y1167" t="s">
        <v>70</v>
      </c>
      <c r="Z1167" t="s">
        <v>225</v>
      </c>
      <c r="AA1167" t="s">
        <v>225</v>
      </c>
    </row>
    <row r="1168" spans="1:27" x14ac:dyDescent="0.35">
      <c r="A1168" t="str">
        <f t="shared" si="37"/>
        <v>1803D7</v>
      </c>
      <c r="B1168" t="str">
        <f t="shared" si="36"/>
        <v>1803</v>
      </c>
      <c r="C1168" t="s">
        <v>1966</v>
      </c>
      <c r="D1168" t="s">
        <v>6</v>
      </c>
      <c r="E1168" t="s">
        <v>94</v>
      </c>
      <c r="F1168" t="s">
        <v>111</v>
      </c>
      <c r="G1168" t="s">
        <v>757</v>
      </c>
      <c r="H1168" t="s">
        <v>42</v>
      </c>
      <c r="I1168" t="s">
        <v>43</v>
      </c>
      <c r="J1168" t="s">
        <v>1959</v>
      </c>
      <c r="M1168" t="s">
        <v>106</v>
      </c>
      <c r="P1168" t="s">
        <v>46</v>
      </c>
      <c r="Q1168" t="s">
        <v>47</v>
      </c>
      <c r="R1168" t="s">
        <v>48</v>
      </c>
      <c r="V1168" t="s">
        <v>49</v>
      </c>
      <c r="X1168" t="s">
        <v>49</v>
      </c>
      <c r="Y1168" t="s">
        <v>59</v>
      </c>
      <c r="Z1168" t="s">
        <v>1943</v>
      </c>
      <c r="AA1168" t="s">
        <v>1943</v>
      </c>
    </row>
    <row r="1169" spans="1:27" x14ac:dyDescent="0.35">
      <c r="A1169" t="str">
        <f t="shared" si="37"/>
        <v>1004F2</v>
      </c>
      <c r="B1169" t="str">
        <f t="shared" si="36"/>
        <v>1004</v>
      </c>
      <c r="C1169" t="s">
        <v>1967</v>
      </c>
      <c r="D1169" t="s">
        <v>4</v>
      </c>
      <c r="E1169" t="s">
        <v>77</v>
      </c>
      <c r="F1169" t="s">
        <v>78</v>
      </c>
      <c r="G1169" t="s">
        <v>757</v>
      </c>
      <c r="H1169" t="s">
        <v>42</v>
      </c>
      <c r="I1169" t="s">
        <v>67</v>
      </c>
      <c r="J1169" t="s">
        <v>1961</v>
      </c>
      <c r="M1169" t="s">
        <v>106</v>
      </c>
      <c r="P1169" t="s">
        <v>138</v>
      </c>
      <c r="Q1169" t="s">
        <v>47</v>
      </c>
      <c r="R1169" t="s">
        <v>48</v>
      </c>
      <c r="V1169" t="s">
        <v>49</v>
      </c>
      <c r="X1169" t="s">
        <v>49</v>
      </c>
      <c r="Y1169" t="s">
        <v>74</v>
      </c>
      <c r="Z1169" t="s">
        <v>1968</v>
      </c>
      <c r="AA1169" t="s">
        <v>1968</v>
      </c>
    </row>
    <row r="1170" spans="1:27" x14ac:dyDescent="0.35">
      <c r="A1170" t="str">
        <f t="shared" si="37"/>
        <v>1004C2</v>
      </c>
      <c r="B1170" t="str">
        <f t="shared" si="36"/>
        <v>1004</v>
      </c>
      <c r="C1170" t="s">
        <v>1969</v>
      </c>
      <c r="D1170" t="s">
        <v>1</v>
      </c>
      <c r="E1170" t="s">
        <v>65</v>
      </c>
      <c r="F1170" t="s">
        <v>66</v>
      </c>
      <c r="G1170" t="s">
        <v>757</v>
      </c>
      <c r="H1170" t="s">
        <v>42</v>
      </c>
      <c r="I1170" t="s">
        <v>67</v>
      </c>
      <c r="J1170" t="s">
        <v>1961</v>
      </c>
      <c r="M1170" t="s">
        <v>106</v>
      </c>
      <c r="P1170" t="s">
        <v>69</v>
      </c>
      <c r="Q1170" t="s">
        <v>47</v>
      </c>
      <c r="R1170" t="s">
        <v>48</v>
      </c>
      <c r="V1170" t="s">
        <v>49</v>
      </c>
      <c r="X1170" t="s">
        <v>49</v>
      </c>
      <c r="Y1170" t="s">
        <v>70</v>
      </c>
      <c r="Z1170" t="s">
        <v>1970</v>
      </c>
      <c r="AA1170" t="s">
        <v>1971</v>
      </c>
    </row>
    <row r="1171" spans="1:27" x14ac:dyDescent="0.35">
      <c r="A1171" t="str">
        <f t="shared" si="37"/>
        <v>1004D2</v>
      </c>
      <c r="B1171" t="str">
        <f t="shared" si="36"/>
        <v>1004</v>
      </c>
      <c r="C1171" t="s">
        <v>1972</v>
      </c>
      <c r="D1171" t="s">
        <v>2</v>
      </c>
      <c r="E1171" t="s">
        <v>62</v>
      </c>
      <c r="F1171" t="s">
        <v>63</v>
      </c>
      <c r="G1171" t="s">
        <v>757</v>
      </c>
      <c r="H1171" t="s">
        <v>42</v>
      </c>
      <c r="I1171" t="s">
        <v>67</v>
      </c>
      <c r="J1171" t="s">
        <v>1961</v>
      </c>
      <c r="K1171" t="s">
        <v>56</v>
      </c>
      <c r="M1171" t="s">
        <v>106</v>
      </c>
      <c r="P1171" t="s">
        <v>58</v>
      </c>
      <c r="Q1171" t="s">
        <v>47</v>
      </c>
      <c r="R1171" t="s">
        <v>48</v>
      </c>
      <c r="V1171" t="s">
        <v>49</v>
      </c>
      <c r="X1171" t="s">
        <v>49</v>
      </c>
      <c r="Y1171" t="s">
        <v>59</v>
      </c>
      <c r="Z1171" t="s">
        <v>1973</v>
      </c>
      <c r="AA1171" t="s">
        <v>1974</v>
      </c>
    </row>
    <row r="1172" spans="1:27" x14ac:dyDescent="0.35">
      <c r="A1172" t="str">
        <f t="shared" si="37"/>
        <v>1004D7</v>
      </c>
      <c r="B1172" t="str">
        <f t="shared" si="36"/>
        <v>1004</v>
      </c>
      <c r="C1172" t="s">
        <v>1975</v>
      </c>
      <c r="D1172" t="s">
        <v>6</v>
      </c>
      <c r="E1172" t="s">
        <v>94</v>
      </c>
      <c r="F1172" t="s">
        <v>111</v>
      </c>
      <c r="G1172" t="s">
        <v>757</v>
      </c>
      <c r="H1172" t="s">
        <v>42</v>
      </c>
      <c r="I1172" t="s">
        <v>67</v>
      </c>
      <c r="J1172" t="s">
        <v>1961</v>
      </c>
      <c r="M1172" t="s">
        <v>106</v>
      </c>
      <c r="P1172" t="s">
        <v>46</v>
      </c>
      <c r="Q1172" t="s">
        <v>47</v>
      </c>
      <c r="R1172" t="s">
        <v>48</v>
      </c>
      <c r="V1172" t="s">
        <v>49</v>
      </c>
      <c r="X1172" t="s">
        <v>49</v>
      </c>
      <c r="Y1172" t="s">
        <v>59</v>
      </c>
      <c r="Z1172" t="s">
        <v>1976</v>
      </c>
      <c r="AA1172" t="s">
        <v>1976</v>
      </c>
    </row>
    <row r="1173" spans="1:27" x14ac:dyDescent="0.35">
      <c r="A1173" t="str">
        <f t="shared" si="37"/>
        <v>1004D4</v>
      </c>
      <c r="B1173" t="str">
        <f t="shared" si="36"/>
        <v>1004</v>
      </c>
      <c r="C1173" t="s">
        <v>1977</v>
      </c>
      <c r="D1173" t="s">
        <v>3</v>
      </c>
      <c r="E1173" t="s">
        <v>52</v>
      </c>
      <c r="F1173" t="s">
        <v>53</v>
      </c>
      <c r="G1173" t="s">
        <v>757</v>
      </c>
      <c r="H1173" t="s">
        <v>42</v>
      </c>
      <c r="I1173" t="s">
        <v>67</v>
      </c>
      <c r="J1173" t="s">
        <v>1961</v>
      </c>
      <c r="K1173" t="s">
        <v>56</v>
      </c>
      <c r="M1173" t="s">
        <v>106</v>
      </c>
      <c r="P1173" t="s">
        <v>58</v>
      </c>
      <c r="Q1173" t="s">
        <v>47</v>
      </c>
      <c r="R1173" t="s">
        <v>48</v>
      </c>
      <c r="V1173" t="s">
        <v>49</v>
      </c>
      <c r="X1173" t="s">
        <v>49</v>
      </c>
      <c r="Y1173" t="s">
        <v>59</v>
      </c>
      <c r="Z1173" t="s">
        <v>1970</v>
      </c>
      <c r="AA1173" t="s">
        <v>1978</v>
      </c>
    </row>
    <row r="1174" spans="1:27" x14ac:dyDescent="0.35">
      <c r="A1174" t="str">
        <f t="shared" si="37"/>
        <v>1003F3</v>
      </c>
      <c r="B1174" t="str">
        <f t="shared" si="36"/>
        <v>1003</v>
      </c>
      <c r="C1174" t="s">
        <v>1979</v>
      </c>
      <c r="D1174" t="s">
        <v>5</v>
      </c>
      <c r="E1174" t="s">
        <v>40</v>
      </c>
      <c r="F1174" t="s">
        <v>73</v>
      </c>
      <c r="G1174" t="s">
        <v>757</v>
      </c>
      <c r="H1174" t="s">
        <v>42</v>
      </c>
      <c r="I1174" t="s">
        <v>67</v>
      </c>
      <c r="J1174" t="s">
        <v>1980</v>
      </c>
      <c r="M1174" t="s">
        <v>106</v>
      </c>
      <c r="P1174" t="s">
        <v>46</v>
      </c>
      <c r="Q1174" t="s">
        <v>47</v>
      </c>
      <c r="R1174" t="s">
        <v>48</v>
      </c>
      <c r="V1174" t="s">
        <v>49</v>
      </c>
      <c r="X1174" t="s">
        <v>49</v>
      </c>
      <c r="Y1174" t="s">
        <v>74</v>
      </c>
      <c r="Z1174" t="s">
        <v>1968</v>
      </c>
      <c r="AA1174" t="s">
        <v>1968</v>
      </c>
    </row>
    <row r="1175" spans="1:27" x14ac:dyDescent="0.35">
      <c r="A1175" t="str">
        <f t="shared" si="37"/>
        <v>1003F2</v>
      </c>
      <c r="B1175" t="str">
        <f t="shared" si="36"/>
        <v>1003</v>
      </c>
      <c r="C1175" t="s">
        <v>1981</v>
      </c>
      <c r="D1175" t="s">
        <v>4</v>
      </c>
      <c r="E1175" t="s">
        <v>77</v>
      </c>
      <c r="F1175" t="s">
        <v>78</v>
      </c>
      <c r="G1175" t="s">
        <v>757</v>
      </c>
      <c r="H1175" t="s">
        <v>42</v>
      </c>
      <c r="I1175" t="s">
        <v>67</v>
      </c>
      <c r="J1175" t="s">
        <v>1980</v>
      </c>
      <c r="M1175" t="s">
        <v>106</v>
      </c>
      <c r="P1175" t="s">
        <v>138</v>
      </c>
      <c r="Q1175" t="s">
        <v>47</v>
      </c>
      <c r="R1175" t="s">
        <v>48</v>
      </c>
      <c r="V1175" t="s">
        <v>49</v>
      </c>
      <c r="X1175" t="s">
        <v>49</v>
      </c>
      <c r="Y1175" t="s">
        <v>74</v>
      </c>
      <c r="Z1175" t="s">
        <v>1982</v>
      </c>
      <c r="AA1175" t="s">
        <v>1982</v>
      </c>
    </row>
    <row r="1176" spans="1:27" x14ac:dyDescent="0.35">
      <c r="A1176" t="str">
        <f t="shared" si="37"/>
        <v>1802F2</v>
      </c>
      <c r="B1176" t="str">
        <f t="shared" si="36"/>
        <v>1802</v>
      </c>
      <c r="C1176" t="s">
        <v>1983</v>
      </c>
      <c r="D1176" t="s">
        <v>4</v>
      </c>
      <c r="E1176" t="s">
        <v>77</v>
      </c>
      <c r="F1176" t="s">
        <v>78</v>
      </c>
      <c r="G1176" t="s">
        <v>757</v>
      </c>
      <c r="H1176" t="s">
        <v>42</v>
      </c>
      <c r="I1176" t="s">
        <v>67</v>
      </c>
      <c r="J1176" t="s">
        <v>1984</v>
      </c>
      <c r="M1176" t="s">
        <v>106</v>
      </c>
      <c r="P1176" t="s">
        <v>91</v>
      </c>
      <c r="Q1176" t="s">
        <v>47</v>
      </c>
      <c r="R1176" t="s">
        <v>48</v>
      </c>
      <c r="V1176" t="s">
        <v>49</v>
      </c>
      <c r="X1176" t="s">
        <v>49</v>
      </c>
      <c r="Y1176" t="s">
        <v>74</v>
      </c>
      <c r="Z1176" t="s">
        <v>1932</v>
      </c>
      <c r="AA1176" t="s">
        <v>1932</v>
      </c>
    </row>
    <row r="1177" spans="1:27" x14ac:dyDescent="0.35">
      <c r="A1177" t="str">
        <f t="shared" si="37"/>
        <v>1003C2</v>
      </c>
      <c r="B1177" t="str">
        <f t="shared" si="36"/>
        <v>1003</v>
      </c>
      <c r="C1177" t="s">
        <v>1985</v>
      </c>
      <c r="D1177" t="s">
        <v>1</v>
      </c>
      <c r="E1177" t="s">
        <v>65</v>
      </c>
      <c r="F1177" t="s">
        <v>66</v>
      </c>
      <c r="G1177" t="s">
        <v>757</v>
      </c>
      <c r="H1177" t="s">
        <v>42</v>
      </c>
      <c r="I1177" t="s">
        <v>67</v>
      </c>
      <c r="J1177" t="s">
        <v>1980</v>
      </c>
      <c r="M1177" t="s">
        <v>106</v>
      </c>
      <c r="P1177" t="s">
        <v>69</v>
      </c>
      <c r="Q1177" t="s">
        <v>47</v>
      </c>
      <c r="R1177" t="s">
        <v>48</v>
      </c>
      <c r="V1177" t="s">
        <v>49</v>
      </c>
      <c r="X1177" t="s">
        <v>49</v>
      </c>
      <c r="Y1177" t="s">
        <v>70</v>
      </c>
      <c r="Z1177" t="s">
        <v>1970</v>
      </c>
      <c r="AA1177" t="s">
        <v>1986</v>
      </c>
    </row>
    <row r="1178" spans="1:27" x14ac:dyDescent="0.35">
      <c r="A1178" t="str">
        <f t="shared" si="37"/>
        <v>1802D4</v>
      </c>
      <c r="B1178" t="str">
        <f t="shared" si="36"/>
        <v>1802</v>
      </c>
      <c r="C1178" t="s">
        <v>1987</v>
      </c>
      <c r="D1178" t="s">
        <v>3</v>
      </c>
      <c r="E1178" t="s">
        <v>52</v>
      </c>
      <c r="F1178" t="s">
        <v>53</v>
      </c>
      <c r="G1178" t="s">
        <v>757</v>
      </c>
      <c r="H1178" t="s">
        <v>42</v>
      </c>
      <c r="I1178" t="s">
        <v>43</v>
      </c>
      <c r="J1178" t="s">
        <v>1984</v>
      </c>
      <c r="K1178" t="s">
        <v>56</v>
      </c>
      <c r="M1178" t="s">
        <v>106</v>
      </c>
      <c r="P1178" t="s">
        <v>58</v>
      </c>
      <c r="Q1178" t="s">
        <v>47</v>
      </c>
      <c r="R1178" t="s">
        <v>48</v>
      </c>
      <c r="V1178" t="s">
        <v>49</v>
      </c>
      <c r="X1178" t="s">
        <v>49</v>
      </c>
      <c r="Y1178" t="s">
        <v>59</v>
      </c>
      <c r="Z1178" t="s">
        <v>115</v>
      </c>
      <c r="AA1178" t="s">
        <v>115</v>
      </c>
    </row>
    <row r="1179" spans="1:27" x14ac:dyDescent="0.35">
      <c r="A1179" t="str">
        <f t="shared" si="37"/>
        <v>1003D2</v>
      </c>
      <c r="B1179" t="str">
        <f t="shared" si="36"/>
        <v>1003</v>
      </c>
      <c r="C1179" t="s">
        <v>1988</v>
      </c>
      <c r="D1179" t="s">
        <v>2</v>
      </c>
      <c r="E1179" t="s">
        <v>62</v>
      </c>
      <c r="F1179" t="s">
        <v>63</v>
      </c>
      <c r="G1179" t="s">
        <v>757</v>
      </c>
      <c r="H1179" t="s">
        <v>42</v>
      </c>
      <c r="I1179" t="s">
        <v>67</v>
      </c>
      <c r="J1179" t="s">
        <v>1980</v>
      </c>
      <c r="K1179" t="s">
        <v>56</v>
      </c>
      <c r="M1179" t="s">
        <v>106</v>
      </c>
      <c r="P1179" t="s">
        <v>58</v>
      </c>
      <c r="Q1179" t="s">
        <v>47</v>
      </c>
      <c r="R1179" t="s">
        <v>48</v>
      </c>
      <c r="V1179" t="s">
        <v>49</v>
      </c>
      <c r="X1179" t="s">
        <v>49</v>
      </c>
      <c r="Y1179" t="s">
        <v>59</v>
      </c>
      <c r="Z1179" t="s">
        <v>1989</v>
      </c>
      <c r="AA1179" t="s">
        <v>1989</v>
      </c>
    </row>
    <row r="1180" spans="1:27" x14ac:dyDescent="0.35">
      <c r="A1180" t="str">
        <f t="shared" si="37"/>
        <v>1802D2</v>
      </c>
      <c r="B1180" t="str">
        <f t="shared" si="36"/>
        <v>1802</v>
      </c>
      <c r="C1180" t="s">
        <v>1990</v>
      </c>
      <c r="D1180" t="s">
        <v>2</v>
      </c>
      <c r="E1180" t="s">
        <v>62</v>
      </c>
      <c r="F1180" t="s">
        <v>63</v>
      </c>
      <c r="G1180" t="s">
        <v>757</v>
      </c>
      <c r="H1180" t="s">
        <v>42</v>
      </c>
      <c r="I1180" t="s">
        <v>43</v>
      </c>
      <c r="J1180" t="s">
        <v>1984</v>
      </c>
      <c r="K1180" t="s">
        <v>56</v>
      </c>
      <c r="M1180" t="s">
        <v>106</v>
      </c>
      <c r="P1180" t="s">
        <v>58</v>
      </c>
      <c r="Q1180" t="s">
        <v>47</v>
      </c>
      <c r="R1180" t="s">
        <v>48</v>
      </c>
      <c r="V1180" t="s">
        <v>49</v>
      </c>
      <c r="X1180" t="s">
        <v>49</v>
      </c>
      <c r="Y1180" t="s">
        <v>59</v>
      </c>
      <c r="Z1180" t="s">
        <v>121</v>
      </c>
      <c r="AA1180" t="s">
        <v>121</v>
      </c>
    </row>
    <row r="1181" spans="1:27" x14ac:dyDescent="0.35">
      <c r="A1181" t="str">
        <f t="shared" si="37"/>
        <v>1003D7</v>
      </c>
      <c r="B1181" t="str">
        <f t="shared" si="36"/>
        <v>1003</v>
      </c>
      <c r="C1181" t="s">
        <v>1991</v>
      </c>
      <c r="D1181" t="s">
        <v>6</v>
      </c>
      <c r="E1181" t="s">
        <v>94</v>
      </c>
      <c r="F1181" t="s">
        <v>111</v>
      </c>
      <c r="G1181" t="s">
        <v>757</v>
      </c>
      <c r="H1181" t="s">
        <v>42</v>
      </c>
      <c r="I1181" t="s">
        <v>67</v>
      </c>
      <c r="J1181" t="s">
        <v>1980</v>
      </c>
      <c r="M1181" t="s">
        <v>106</v>
      </c>
      <c r="P1181" t="s">
        <v>46</v>
      </c>
      <c r="Q1181" t="s">
        <v>47</v>
      </c>
      <c r="R1181" t="s">
        <v>48</v>
      </c>
      <c r="V1181" t="s">
        <v>49</v>
      </c>
      <c r="X1181" t="s">
        <v>49</v>
      </c>
      <c r="Y1181" t="s">
        <v>59</v>
      </c>
      <c r="Z1181" t="s">
        <v>1992</v>
      </c>
      <c r="AA1181" t="s">
        <v>1992</v>
      </c>
    </row>
    <row r="1182" spans="1:27" x14ac:dyDescent="0.35">
      <c r="A1182" t="str">
        <f t="shared" si="37"/>
        <v>1802F3</v>
      </c>
      <c r="B1182" t="str">
        <f t="shared" si="36"/>
        <v>1802</v>
      </c>
      <c r="C1182" t="s">
        <v>1993</v>
      </c>
      <c r="D1182" t="s">
        <v>5</v>
      </c>
      <c r="E1182" t="s">
        <v>40</v>
      </c>
      <c r="F1182" t="s">
        <v>73</v>
      </c>
      <c r="G1182" t="s">
        <v>757</v>
      </c>
      <c r="H1182" t="s">
        <v>42</v>
      </c>
      <c r="I1182" t="s">
        <v>67</v>
      </c>
      <c r="J1182" t="s">
        <v>1984</v>
      </c>
      <c r="M1182" t="s">
        <v>106</v>
      </c>
      <c r="P1182" t="s">
        <v>69</v>
      </c>
      <c r="Q1182" t="s">
        <v>47</v>
      </c>
      <c r="R1182" t="s">
        <v>48</v>
      </c>
      <c r="V1182" t="s">
        <v>49</v>
      </c>
      <c r="X1182" t="s">
        <v>49</v>
      </c>
      <c r="Y1182" t="s">
        <v>74</v>
      </c>
      <c r="Z1182" t="s">
        <v>1994</v>
      </c>
      <c r="AA1182" t="s">
        <v>1994</v>
      </c>
    </row>
    <row r="1183" spans="1:27" x14ac:dyDescent="0.35">
      <c r="A1183" t="str">
        <f t="shared" si="37"/>
        <v>1003D4</v>
      </c>
      <c r="B1183" t="str">
        <f t="shared" si="36"/>
        <v>1003</v>
      </c>
      <c r="C1183" t="s">
        <v>1995</v>
      </c>
      <c r="D1183" t="s">
        <v>3</v>
      </c>
      <c r="E1183" t="s">
        <v>52</v>
      </c>
      <c r="F1183" t="s">
        <v>53</v>
      </c>
      <c r="G1183" t="s">
        <v>757</v>
      </c>
      <c r="H1183" t="s">
        <v>42</v>
      </c>
      <c r="I1183" t="s">
        <v>67</v>
      </c>
      <c r="J1183" t="s">
        <v>1980</v>
      </c>
      <c r="K1183" t="s">
        <v>56</v>
      </c>
      <c r="M1183" t="s">
        <v>106</v>
      </c>
      <c r="P1183" t="s">
        <v>58</v>
      </c>
      <c r="Q1183" t="s">
        <v>47</v>
      </c>
      <c r="R1183" t="s">
        <v>48</v>
      </c>
      <c r="V1183" t="s">
        <v>49</v>
      </c>
      <c r="X1183" t="s">
        <v>49</v>
      </c>
      <c r="Y1183" t="s">
        <v>59</v>
      </c>
      <c r="Z1183" t="s">
        <v>1880</v>
      </c>
      <c r="AA1183" t="s">
        <v>1880</v>
      </c>
    </row>
    <row r="1184" spans="1:27" x14ac:dyDescent="0.35">
      <c r="A1184" t="str">
        <f t="shared" si="37"/>
        <v>1802C2</v>
      </c>
      <c r="B1184" t="str">
        <f t="shared" si="36"/>
        <v>1802</v>
      </c>
      <c r="C1184" t="s">
        <v>1996</v>
      </c>
      <c r="D1184" t="s">
        <v>1</v>
      </c>
      <c r="E1184" t="s">
        <v>65</v>
      </c>
      <c r="F1184" t="s">
        <v>66</v>
      </c>
      <c r="G1184" t="s">
        <v>757</v>
      </c>
      <c r="H1184" t="s">
        <v>42</v>
      </c>
      <c r="I1184" t="s">
        <v>67</v>
      </c>
      <c r="J1184" t="s">
        <v>1984</v>
      </c>
      <c r="M1184" t="s">
        <v>106</v>
      </c>
      <c r="P1184" t="s">
        <v>69</v>
      </c>
      <c r="Q1184" t="s">
        <v>47</v>
      </c>
      <c r="R1184" t="s">
        <v>48</v>
      </c>
      <c r="V1184" t="s">
        <v>49</v>
      </c>
      <c r="X1184" t="s">
        <v>49</v>
      </c>
      <c r="Y1184" t="s">
        <v>70</v>
      </c>
      <c r="Z1184" t="s">
        <v>225</v>
      </c>
      <c r="AA1184" t="s">
        <v>225</v>
      </c>
    </row>
    <row r="1185" spans="1:27" x14ac:dyDescent="0.35">
      <c r="A1185" t="str">
        <f t="shared" si="37"/>
        <v>1002F3</v>
      </c>
      <c r="B1185" t="str">
        <f t="shared" si="36"/>
        <v>1002</v>
      </c>
      <c r="C1185" t="s">
        <v>1997</v>
      </c>
      <c r="D1185" t="s">
        <v>5</v>
      </c>
      <c r="E1185" t="s">
        <v>40</v>
      </c>
      <c r="F1185" t="s">
        <v>73</v>
      </c>
      <c r="G1185" t="s">
        <v>757</v>
      </c>
      <c r="H1185" t="s">
        <v>42</v>
      </c>
      <c r="I1185" t="s">
        <v>67</v>
      </c>
      <c r="J1185" t="s">
        <v>1998</v>
      </c>
      <c r="M1185" t="s">
        <v>106</v>
      </c>
      <c r="P1185" t="s">
        <v>46</v>
      </c>
      <c r="Q1185" t="s">
        <v>47</v>
      </c>
      <c r="R1185" t="s">
        <v>48</v>
      </c>
      <c r="V1185" t="s">
        <v>49</v>
      </c>
      <c r="X1185" t="s">
        <v>49</v>
      </c>
      <c r="Y1185" t="s">
        <v>74</v>
      </c>
      <c r="Z1185" t="s">
        <v>1982</v>
      </c>
      <c r="AA1185" t="s">
        <v>1982</v>
      </c>
    </row>
    <row r="1186" spans="1:27" x14ac:dyDescent="0.35">
      <c r="A1186" t="str">
        <f t="shared" si="37"/>
        <v>1802D7</v>
      </c>
      <c r="B1186" t="str">
        <f t="shared" si="36"/>
        <v>1802</v>
      </c>
      <c r="C1186" t="s">
        <v>1999</v>
      </c>
      <c r="D1186" t="s">
        <v>6</v>
      </c>
      <c r="E1186" t="s">
        <v>94</v>
      </c>
      <c r="F1186" t="s">
        <v>111</v>
      </c>
      <c r="G1186" t="s">
        <v>757</v>
      </c>
      <c r="H1186" t="s">
        <v>42</v>
      </c>
      <c r="I1186" t="s">
        <v>43</v>
      </c>
      <c r="J1186" t="s">
        <v>1984</v>
      </c>
      <c r="M1186" t="s">
        <v>106</v>
      </c>
      <c r="P1186" t="s">
        <v>46</v>
      </c>
      <c r="Q1186" t="s">
        <v>47</v>
      </c>
      <c r="R1186" t="s">
        <v>48</v>
      </c>
      <c r="V1186" t="s">
        <v>49</v>
      </c>
      <c r="X1186" t="s">
        <v>49</v>
      </c>
      <c r="Y1186" t="s">
        <v>59</v>
      </c>
      <c r="Z1186" t="s">
        <v>1943</v>
      </c>
      <c r="AA1186" t="s">
        <v>1943</v>
      </c>
    </row>
    <row r="1187" spans="1:27" x14ac:dyDescent="0.35">
      <c r="A1187" t="str">
        <f t="shared" si="37"/>
        <v>1002F2</v>
      </c>
      <c r="B1187" t="str">
        <f t="shared" si="36"/>
        <v>1002</v>
      </c>
      <c r="C1187" t="s">
        <v>2000</v>
      </c>
      <c r="D1187" t="s">
        <v>4</v>
      </c>
      <c r="E1187" t="s">
        <v>77</v>
      </c>
      <c r="F1187" t="s">
        <v>78</v>
      </c>
      <c r="G1187" t="s">
        <v>757</v>
      </c>
      <c r="H1187" t="s">
        <v>42</v>
      </c>
      <c r="I1187" t="s">
        <v>67</v>
      </c>
      <c r="J1187" t="s">
        <v>1998</v>
      </c>
      <c r="M1187" t="s">
        <v>106</v>
      </c>
      <c r="P1187" t="s">
        <v>91</v>
      </c>
      <c r="Q1187" t="s">
        <v>47</v>
      </c>
      <c r="R1187" t="s">
        <v>48</v>
      </c>
      <c r="V1187" t="s">
        <v>49</v>
      </c>
      <c r="X1187" t="s">
        <v>49</v>
      </c>
      <c r="Y1187" t="s">
        <v>74</v>
      </c>
      <c r="Z1187" t="s">
        <v>2001</v>
      </c>
      <c r="AA1187" t="s">
        <v>2001</v>
      </c>
    </row>
    <row r="1188" spans="1:27" x14ac:dyDescent="0.35">
      <c r="A1188" t="str">
        <f t="shared" si="37"/>
        <v>1002C2</v>
      </c>
      <c r="B1188" t="str">
        <f t="shared" si="36"/>
        <v>1002</v>
      </c>
      <c r="C1188" t="s">
        <v>2002</v>
      </c>
      <c r="D1188" t="s">
        <v>1</v>
      </c>
      <c r="E1188" t="s">
        <v>65</v>
      </c>
      <c r="F1188" t="s">
        <v>66</v>
      </c>
      <c r="G1188" t="s">
        <v>757</v>
      </c>
      <c r="H1188" t="s">
        <v>42</v>
      </c>
      <c r="I1188" t="s">
        <v>67</v>
      </c>
      <c r="J1188" t="s">
        <v>1998</v>
      </c>
      <c r="M1188" t="s">
        <v>106</v>
      </c>
      <c r="P1188" t="s">
        <v>69</v>
      </c>
      <c r="Q1188" t="s">
        <v>47</v>
      </c>
      <c r="R1188" t="s">
        <v>48</v>
      </c>
      <c r="V1188" t="s">
        <v>49</v>
      </c>
      <c r="X1188" t="s">
        <v>49</v>
      </c>
      <c r="Y1188" t="s">
        <v>70</v>
      </c>
      <c r="Z1188" t="s">
        <v>2003</v>
      </c>
      <c r="AA1188" t="s">
        <v>2003</v>
      </c>
    </row>
    <row r="1189" spans="1:27" x14ac:dyDescent="0.35">
      <c r="A1189" t="str">
        <f t="shared" si="37"/>
        <v>1002D2</v>
      </c>
      <c r="B1189" t="str">
        <f t="shared" si="36"/>
        <v>1002</v>
      </c>
      <c r="C1189" t="s">
        <v>2004</v>
      </c>
      <c r="D1189" t="s">
        <v>2</v>
      </c>
      <c r="E1189" t="s">
        <v>62</v>
      </c>
      <c r="F1189" t="s">
        <v>63</v>
      </c>
      <c r="G1189" t="s">
        <v>757</v>
      </c>
      <c r="H1189" t="s">
        <v>42</v>
      </c>
      <c r="I1189" t="s">
        <v>67</v>
      </c>
      <c r="J1189" t="s">
        <v>1998</v>
      </c>
      <c r="K1189" t="s">
        <v>56</v>
      </c>
      <c r="M1189" t="s">
        <v>106</v>
      </c>
      <c r="P1189" t="s">
        <v>58</v>
      </c>
      <c r="Q1189" t="s">
        <v>47</v>
      </c>
      <c r="R1189" t="s">
        <v>48</v>
      </c>
      <c r="V1189" t="s">
        <v>49</v>
      </c>
      <c r="X1189" t="s">
        <v>49</v>
      </c>
      <c r="Y1189" t="s">
        <v>59</v>
      </c>
      <c r="Z1189" t="s">
        <v>1910</v>
      </c>
      <c r="AA1189" t="s">
        <v>1910</v>
      </c>
    </row>
    <row r="1190" spans="1:27" x14ac:dyDescent="0.35">
      <c r="A1190" t="str">
        <f t="shared" si="37"/>
        <v>1002D7</v>
      </c>
      <c r="B1190" t="str">
        <f t="shared" si="36"/>
        <v>1002</v>
      </c>
      <c r="C1190" t="s">
        <v>2005</v>
      </c>
      <c r="D1190" t="s">
        <v>6</v>
      </c>
      <c r="E1190" t="s">
        <v>94</v>
      </c>
      <c r="F1190" t="s">
        <v>111</v>
      </c>
      <c r="G1190" t="s">
        <v>757</v>
      </c>
      <c r="H1190" t="s">
        <v>42</v>
      </c>
      <c r="I1190" t="s">
        <v>67</v>
      </c>
      <c r="J1190" t="s">
        <v>1998</v>
      </c>
      <c r="M1190" t="s">
        <v>106</v>
      </c>
      <c r="P1190" t="s">
        <v>46</v>
      </c>
      <c r="Q1190" t="s">
        <v>47</v>
      </c>
      <c r="R1190" t="s">
        <v>48</v>
      </c>
      <c r="V1190" t="s">
        <v>49</v>
      </c>
      <c r="X1190" t="s">
        <v>49</v>
      </c>
      <c r="Y1190" t="s">
        <v>59</v>
      </c>
      <c r="Z1190" t="s">
        <v>1992</v>
      </c>
      <c r="AA1190" t="s">
        <v>1992</v>
      </c>
    </row>
    <row r="1191" spans="1:27" x14ac:dyDescent="0.35">
      <c r="A1191" t="str">
        <f t="shared" si="37"/>
        <v>1002D4</v>
      </c>
      <c r="B1191" t="str">
        <f t="shared" si="36"/>
        <v>1002</v>
      </c>
      <c r="C1191" t="s">
        <v>2006</v>
      </c>
      <c r="D1191" t="s">
        <v>3</v>
      </c>
      <c r="E1191" t="s">
        <v>52</v>
      </c>
      <c r="F1191" t="s">
        <v>53</v>
      </c>
      <c r="G1191" t="s">
        <v>757</v>
      </c>
      <c r="H1191" t="s">
        <v>42</v>
      </c>
      <c r="I1191" t="s">
        <v>67</v>
      </c>
      <c r="J1191" t="s">
        <v>1998</v>
      </c>
      <c r="K1191" t="s">
        <v>56</v>
      </c>
      <c r="M1191" t="s">
        <v>106</v>
      </c>
      <c r="P1191" t="s">
        <v>58</v>
      </c>
      <c r="Q1191" t="s">
        <v>47</v>
      </c>
      <c r="R1191" t="s">
        <v>48</v>
      </c>
      <c r="V1191" t="s">
        <v>49</v>
      </c>
      <c r="X1191" t="s">
        <v>49</v>
      </c>
      <c r="Y1191" t="s">
        <v>59</v>
      </c>
      <c r="Z1191" t="s">
        <v>2007</v>
      </c>
      <c r="AA1191" t="s">
        <v>2007</v>
      </c>
    </row>
    <row r="1192" spans="1:27" x14ac:dyDescent="0.35">
      <c r="A1192" t="str">
        <f t="shared" si="37"/>
        <v>1001F3</v>
      </c>
      <c r="B1192" t="str">
        <f t="shared" si="36"/>
        <v>1001</v>
      </c>
      <c r="C1192" t="s">
        <v>2008</v>
      </c>
      <c r="D1192" t="s">
        <v>5</v>
      </c>
      <c r="E1192" t="s">
        <v>40</v>
      </c>
      <c r="F1192" t="s">
        <v>73</v>
      </c>
      <c r="G1192" t="s">
        <v>757</v>
      </c>
      <c r="H1192" t="s">
        <v>42</v>
      </c>
      <c r="I1192" t="s">
        <v>67</v>
      </c>
      <c r="J1192" t="s">
        <v>2009</v>
      </c>
      <c r="M1192" t="s">
        <v>106</v>
      </c>
      <c r="P1192" t="s">
        <v>46</v>
      </c>
      <c r="Q1192" t="s">
        <v>47</v>
      </c>
      <c r="R1192" t="s">
        <v>48</v>
      </c>
      <c r="V1192" t="s">
        <v>49</v>
      </c>
      <c r="X1192" t="s">
        <v>49</v>
      </c>
      <c r="Y1192" t="s">
        <v>74</v>
      </c>
      <c r="Z1192" t="s">
        <v>2010</v>
      </c>
      <c r="AA1192" t="s">
        <v>2010</v>
      </c>
    </row>
    <row r="1193" spans="1:27" x14ac:dyDescent="0.35">
      <c r="A1193" t="str">
        <f t="shared" si="37"/>
        <v>1801F2</v>
      </c>
      <c r="B1193" t="str">
        <f t="shared" si="36"/>
        <v>1801</v>
      </c>
      <c r="C1193" t="s">
        <v>2011</v>
      </c>
      <c r="D1193" t="s">
        <v>4</v>
      </c>
      <c r="E1193" t="s">
        <v>77</v>
      </c>
      <c r="F1193" t="s">
        <v>78</v>
      </c>
      <c r="G1193" t="s">
        <v>757</v>
      </c>
      <c r="H1193" t="s">
        <v>42</v>
      </c>
      <c r="I1193" t="s">
        <v>67</v>
      </c>
      <c r="J1193" t="s">
        <v>2012</v>
      </c>
      <c r="M1193" t="s">
        <v>106</v>
      </c>
      <c r="P1193" t="s">
        <v>138</v>
      </c>
      <c r="Q1193" t="s">
        <v>47</v>
      </c>
      <c r="R1193" t="s">
        <v>48</v>
      </c>
      <c r="V1193" t="s">
        <v>49</v>
      </c>
      <c r="X1193" t="s">
        <v>49</v>
      </c>
      <c r="Y1193" t="s">
        <v>74</v>
      </c>
      <c r="Z1193" t="s">
        <v>2013</v>
      </c>
      <c r="AA1193" t="s">
        <v>2013</v>
      </c>
    </row>
    <row r="1194" spans="1:27" x14ac:dyDescent="0.35">
      <c r="A1194" t="str">
        <f t="shared" si="37"/>
        <v>1801D4</v>
      </c>
      <c r="B1194" t="str">
        <f t="shared" si="36"/>
        <v>1801</v>
      </c>
      <c r="C1194" t="s">
        <v>2014</v>
      </c>
      <c r="D1194" t="s">
        <v>3</v>
      </c>
      <c r="E1194" t="s">
        <v>52</v>
      </c>
      <c r="F1194" t="s">
        <v>53</v>
      </c>
      <c r="G1194" t="s">
        <v>757</v>
      </c>
      <c r="H1194" t="s">
        <v>42</v>
      </c>
      <c r="I1194" t="s">
        <v>43</v>
      </c>
      <c r="J1194" t="s">
        <v>2012</v>
      </c>
      <c r="K1194" t="s">
        <v>56</v>
      </c>
      <c r="M1194" t="s">
        <v>106</v>
      </c>
      <c r="P1194" t="s">
        <v>58</v>
      </c>
      <c r="Q1194" t="s">
        <v>47</v>
      </c>
      <c r="R1194" t="s">
        <v>48</v>
      </c>
      <c r="V1194" t="s">
        <v>49</v>
      </c>
      <c r="X1194" t="s">
        <v>49</v>
      </c>
      <c r="Y1194" t="s">
        <v>59</v>
      </c>
      <c r="Z1194" t="s">
        <v>115</v>
      </c>
      <c r="AA1194" t="s">
        <v>115</v>
      </c>
    </row>
    <row r="1195" spans="1:27" x14ac:dyDescent="0.35">
      <c r="A1195" t="str">
        <f t="shared" si="37"/>
        <v>1001F2</v>
      </c>
      <c r="B1195" t="str">
        <f t="shared" si="36"/>
        <v>1001</v>
      </c>
      <c r="C1195" t="s">
        <v>2015</v>
      </c>
      <c r="D1195" t="s">
        <v>4</v>
      </c>
      <c r="E1195" t="s">
        <v>77</v>
      </c>
      <c r="F1195" t="s">
        <v>78</v>
      </c>
      <c r="G1195" t="s">
        <v>757</v>
      </c>
      <c r="H1195" t="s">
        <v>42</v>
      </c>
      <c r="I1195" t="s">
        <v>67</v>
      </c>
      <c r="J1195" t="s">
        <v>2009</v>
      </c>
      <c r="M1195" t="s">
        <v>106</v>
      </c>
      <c r="P1195" t="s">
        <v>138</v>
      </c>
      <c r="Q1195" t="s">
        <v>47</v>
      </c>
      <c r="R1195" t="s">
        <v>48</v>
      </c>
      <c r="V1195" t="s">
        <v>49</v>
      </c>
      <c r="X1195" t="s">
        <v>49</v>
      </c>
      <c r="Y1195" t="s">
        <v>74</v>
      </c>
      <c r="Z1195" t="s">
        <v>2010</v>
      </c>
      <c r="AA1195" t="s">
        <v>2010</v>
      </c>
    </row>
    <row r="1196" spans="1:27" x14ac:dyDescent="0.35">
      <c r="A1196" t="str">
        <f t="shared" si="37"/>
        <v>1001C2</v>
      </c>
      <c r="B1196" t="str">
        <f t="shared" si="36"/>
        <v>1001</v>
      </c>
      <c r="C1196" t="s">
        <v>2016</v>
      </c>
      <c r="D1196" t="s">
        <v>1</v>
      </c>
      <c r="E1196" t="s">
        <v>65</v>
      </c>
      <c r="F1196" t="s">
        <v>66</v>
      </c>
      <c r="G1196" t="s">
        <v>757</v>
      </c>
      <c r="H1196" t="s">
        <v>42</v>
      </c>
      <c r="I1196" t="s">
        <v>67</v>
      </c>
      <c r="J1196" t="s">
        <v>2009</v>
      </c>
      <c r="M1196" t="s">
        <v>106</v>
      </c>
      <c r="P1196" t="s">
        <v>69</v>
      </c>
      <c r="Q1196" t="s">
        <v>47</v>
      </c>
      <c r="R1196" t="s">
        <v>48</v>
      </c>
      <c r="V1196" t="s">
        <v>49</v>
      </c>
      <c r="X1196" t="s">
        <v>49</v>
      </c>
      <c r="Y1196" t="s">
        <v>70</v>
      </c>
      <c r="Z1196" t="s">
        <v>2017</v>
      </c>
      <c r="AA1196" t="s">
        <v>2017</v>
      </c>
    </row>
    <row r="1197" spans="1:27" x14ac:dyDescent="0.35">
      <c r="A1197" t="str">
        <f t="shared" si="37"/>
        <v>1801D2</v>
      </c>
      <c r="B1197" t="str">
        <f t="shared" si="36"/>
        <v>1801</v>
      </c>
      <c r="C1197" t="s">
        <v>2018</v>
      </c>
      <c r="D1197" t="s">
        <v>2</v>
      </c>
      <c r="E1197" t="s">
        <v>62</v>
      </c>
      <c r="F1197" t="s">
        <v>63</v>
      </c>
      <c r="G1197" t="s">
        <v>757</v>
      </c>
      <c r="H1197" t="s">
        <v>42</v>
      </c>
      <c r="I1197" t="s">
        <v>43</v>
      </c>
      <c r="J1197" t="s">
        <v>2012</v>
      </c>
      <c r="K1197" t="s">
        <v>56</v>
      </c>
      <c r="M1197" t="s">
        <v>106</v>
      </c>
      <c r="P1197" t="s">
        <v>58</v>
      </c>
      <c r="Q1197" t="s">
        <v>47</v>
      </c>
      <c r="R1197" t="s">
        <v>48</v>
      </c>
      <c r="V1197" t="s">
        <v>49</v>
      </c>
      <c r="X1197" t="s">
        <v>49</v>
      </c>
      <c r="Y1197" t="s">
        <v>59</v>
      </c>
      <c r="Z1197" t="s">
        <v>121</v>
      </c>
      <c r="AA1197" t="s">
        <v>121</v>
      </c>
    </row>
    <row r="1198" spans="1:27" x14ac:dyDescent="0.35">
      <c r="A1198" t="str">
        <f t="shared" si="37"/>
        <v>1801F3</v>
      </c>
      <c r="B1198" t="str">
        <f t="shared" si="36"/>
        <v>1801</v>
      </c>
      <c r="C1198" t="s">
        <v>2019</v>
      </c>
      <c r="D1198" t="s">
        <v>5</v>
      </c>
      <c r="E1198" t="s">
        <v>40</v>
      </c>
      <c r="F1198" t="s">
        <v>73</v>
      </c>
      <c r="G1198" t="s">
        <v>757</v>
      </c>
      <c r="H1198" t="s">
        <v>42</v>
      </c>
      <c r="I1198" t="s">
        <v>67</v>
      </c>
      <c r="J1198" t="s">
        <v>2012</v>
      </c>
      <c r="M1198" t="s">
        <v>106</v>
      </c>
      <c r="P1198" t="s">
        <v>58</v>
      </c>
      <c r="Q1198" t="s">
        <v>47</v>
      </c>
      <c r="R1198" t="s">
        <v>48</v>
      </c>
      <c r="V1198" t="s">
        <v>49</v>
      </c>
      <c r="X1198" t="s">
        <v>49</v>
      </c>
      <c r="Y1198" t="s">
        <v>74</v>
      </c>
      <c r="Z1198" t="s">
        <v>2020</v>
      </c>
      <c r="AA1198" t="s">
        <v>2020</v>
      </c>
    </row>
    <row r="1199" spans="1:27" x14ac:dyDescent="0.35">
      <c r="A1199" t="str">
        <f t="shared" si="37"/>
        <v>1001D2</v>
      </c>
      <c r="B1199" t="str">
        <f t="shared" si="36"/>
        <v>1001</v>
      </c>
      <c r="C1199" t="s">
        <v>2021</v>
      </c>
      <c r="D1199" t="s">
        <v>2</v>
      </c>
      <c r="E1199" t="s">
        <v>62</v>
      </c>
      <c r="F1199" t="s">
        <v>63</v>
      </c>
      <c r="G1199" t="s">
        <v>757</v>
      </c>
      <c r="H1199" t="s">
        <v>42</v>
      </c>
      <c r="I1199" t="s">
        <v>67</v>
      </c>
      <c r="J1199" t="s">
        <v>2009</v>
      </c>
      <c r="K1199" t="s">
        <v>56</v>
      </c>
      <c r="M1199" t="s">
        <v>106</v>
      </c>
      <c r="P1199" t="s">
        <v>58</v>
      </c>
      <c r="Q1199" t="s">
        <v>47</v>
      </c>
      <c r="R1199" t="s">
        <v>48</v>
      </c>
      <c r="V1199" t="s">
        <v>49</v>
      </c>
      <c r="X1199" t="s">
        <v>49</v>
      </c>
      <c r="Y1199" t="s">
        <v>59</v>
      </c>
      <c r="Z1199" t="s">
        <v>1910</v>
      </c>
      <c r="AA1199" t="s">
        <v>1910</v>
      </c>
    </row>
    <row r="1200" spans="1:27" x14ac:dyDescent="0.35">
      <c r="A1200" t="str">
        <f t="shared" si="37"/>
        <v>1001D7</v>
      </c>
      <c r="B1200" t="str">
        <f t="shared" si="36"/>
        <v>1001</v>
      </c>
      <c r="C1200" t="s">
        <v>2022</v>
      </c>
      <c r="D1200" t="s">
        <v>6</v>
      </c>
      <c r="E1200" t="s">
        <v>94</v>
      </c>
      <c r="F1200" t="s">
        <v>111</v>
      </c>
      <c r="G1200" t="s">
        <v>757</v>
      </c>
      <c r="H1200" t="s">
        <v>42</v>
      </c>
      <c r="I1200" t="s">
        <v>67</v>
      </c>
      <c r="J1200" t="s">
        <v>2009</v>
      </c>
      <c r="M1200" t="s">
        <v>106</v>
      </c>
      <c r="P1200" t="s">
        <v>46</v>
      </c>
      <c r="Q1200" t="s">
        <v>47</v>
      </c>
      <c r="R1200" t="s">
        <v>48</v>
      </c>
      <c r="V1200" t="s">
        <v>49</v>
      </c>
      <c r="X1200" t="s">
        <v>49</v>
      </c>
      <c r="Y1200" t="s">
        <v>59</v>
      </c>
      <c r="Z1200" t="s">
        <v>2023</v>
      </c>
      <c r="AA1200" t="s">
        <v>2023</v>
      </c>
    </row>
    <row r="1201" spans="1:27" x14ac:dyDescent="0.35">
      <c r="A1201" t="str">
        <f t="shared" si="37"/>
        <v>1801C2</v>
      </c>
      <c r="B1201" t="str">
        <f t="shared" si="36"/>
        <v>1801</v>
      </c>
      <c r="C1201" t="s">
        <v>2024</v>
      </c>
      <c r="D1201" t="s">
        <v>1</v>
      </c>
      <c r="E1201" t="s">
        <v>65</v>
      </c>
      <c r="F1201" t="s">
        <v>66</v>
      </c>
      <c r="G1201" t="s">
        <v>757</v>
      </c>
      <c r="H1201" t="s">
        <v>42</v>
      </c>
      <c r="I1201" t="s">
        <v>67</v>
      </c>
      <c r="J1201" t="s">
        <v>2012</v>
      </c>
      <c r="M1201" t="s">
        <v>106</v>
      </c>
      <c r="P1201" t="s">
        <v>69</v>
      </c>
      <c r="Q1201" t="s">
        <v>47</v>
      </c>
      <c r="R1201" t="s">
        <v>48</v>
      </c>
      <c r="V1201" t="s">
        <v>49</v>
      </c>
      <c r="X1201" t="s">
        <v>49</v>
      </c>
      <c r="Y1201" t="s">
        <v>70</v>
      </c>
      <c r="Z1201" t="s">
        <v>225</v>
      </c>
      <c r="AA1201" t="s">
        <v>225</v>
      </c>
    </row>
    <row r="1202" spans="1:27" x14ac:dyDescent="0.35">
      <c r="A1202" t="str">
        <f t="shared" si="37"/>
        <v>1001D4</v>
      </c>
      <c r="B1202" t="str">
        <f t="shared" si="36"/>
        <v>1001</v>
      </c>
      <c r="C1202" t="s">
        <v>2025</v>
      </c>
      <c r="D1202" t="s">
        <v>3</v>
      </c>
      <c r="E1202" t="s">
        <v>52</v>
      </c>
      <c r="F1202" t="s">
        <v>53</v>
      </c>
      <c r="G1202" t="s">
        <v>757</v>
      </c>
      <c r="H1202" t="s">
        <v>42</v>
      </c>
      <c r="I1202" t="s">
        <v>67</v>
      </c>
      <c r="J1202" t="s">
        <v>2009</v>
      </c>
      <c r="K1202" t="s">
        <v>56</v>
      </c>
      <c r="M1202" t="s">
        <v>106</v>
      </c>
      <c r="P1202" t="s">
        <v>69</v>
      </c>
      <c r="Q1202" t="s">
        <v>47</v>
      </c>
      <c r="R1202" t="s">
        <v>48</v>
      </c>
      <c r="V1202" t="s">
        <v>49</v>
      </c>
      <c r="X1202" t="s">
        <v>49</v>
      </c>
      <c r="Y1202" t="s">
        <v>59</v>
      </c>
      <c r="Z1202" t="s">
        <v>841</v>
      </c>
      <c r="AA1202" t="s">
        <v>1880</v>
      </c>
    </row>
    <row r="1203" spans="1:27" x14ac:dyDescent="0.35">
      <c r="A1203" t="str">
        <f t="shared" si="37"/>
        <v>1801D7</v>
      </c>
      <c r="B1203" t="str">
        <f t="shared" si="36"/>
        <v>1801</v>
      </c>
      <c r="C1203" t="s">
        <v>2026</v>
      </c>
      <c r="D1203" t="s">
        <v>6</v>
      </c>
      <c r="E1203" t="s">
        <v>94</v>
      </c>
      <c r="F1203" t="s">
        <v>111</v>
      </c>
      <c r="G1203" t="s">
        <v>757</v>
      </c>
      <c r="H1203" t="s">
        <v>42</v>
      </c>
      <c r="I1203" t="s">
        <v>43</v>
      </c>
      <c r="J1203" t="s">
        <v>2012</v>
      </c>
      <c r="M1203" t="s">
        <v>106</v>
      </c>
      <c r="P1203" t="s">
        <v>46</v>
      </c>
      <c r="Q1203" t="s">
        <v>47</v>
      </c>
      <c r="R1203" t="s">
        <v>48</v>
      </c>
      <c r="V1203" t="s">
        <v>49</v>
      </c>
      <c r="X1203" t="s">
        <v>49</v>
      </c>
      <c r="Y1203" t="s">
        <v>59</v>
      </c>
      <c r="Z1203" t="s">
        <v>2027</v>
      </c>
      <c r="AA1203" t="s">
        <v>2027</v>
      </c>
    </row>
    <row r="1204" spans="1:27" x14ac:dyDescent="0.35">
      <c r="A1204" t="str">
        <f t="shared" si="37"/>
        <v>909_F3</v>
      </c>
      <c r="B1204" t="str">
        <f t="shared" si="36"/>
        <v>909_</v>
      </c>
      <c r="C1204" t="s">
        <v>2028</v>
      </c>
      <c r="D1204" t="s">
        <v>5</v>
      </c>
      <c r="E1204" t="s">
        <v>40</v>
      </c>
      <c r="F1204" t="s">
        <v>73</v>
      </c>
      <c r="G1204" t="s">
        <v>757</v>
      </c>
      <c r="H1204" t="s">
        <v>42</v>
      </c>
      <c r="I1204" t="s">
        <v>67</v>
      </c>
      <c r="J1204" t="s">
        <v>2029</v>
      </c>
      <c r="M1204" t="s">
        <v>106</v>
      </c>
      <c r="P1204" t="s">
        <v>46</v>
      </c>
      <c r="Q1204" t="s">
        <v>47</v>
      </c>
      <c r="R1204" t="s">
        <v>48</v>
      </c>
      <c r="V1204" t="s">
        <v>49</v>
      </c>
      <c r="X1204" t="s">
        <v>49</v>
      </c>
      <c r="Y1204" t="s">
        <v>74</v>
      </c>
      <c r="Z1204" t="s">
        <v>1542</v>
      </c>
      <c r="AA1204" t="s">
        <v>1542</v>
      </c>
    </row>
    <row r="1205" spans="1:27" x14ac:dyDescent="0.35">
      <c r="A1205" t="str">
        <f t="shared" si="37"/>
        <v>909_F2</v>
      </c>
      <c r="B1205" t="str">
        <f t="shared" si="36"/>
        <v>909_</v>
      </c>
      <c r="C1205" t="s">
        <v>2030</v>
      </c>
      <c r="D1205" t="s">
        <v>4</v>
      </c>
      <c r="E1205" t="s">
        <v>77</v>
      </c>
      <c r="F1205" t="s">
        <v>78</v>
      </c>
      <c r="G1205" t="s">
        <v>757</v>
      </c>
      <c r="H1205" t="s">
        <v>42</v>
      </c>
      <c r="I1205" t="s">
        <v>67</v>
      </c>
      <c r="J1205" t="s">
        <v>2029</v>
      </c>
      <c r="M1205" t="s">
        <v>106</v>
      </c>
      <c r="P1205" t="s">
        <v>189</v>
      </c>
      <c r="Q1205" t="s">
        <v>47</v>
      </c>
      <c r="R1205" t="s">
        <v>48</v>
      </c>
      <c r="V1205" t="s">
        <v>49</v>
      </c>
      <c r="X1205" t="s">
        <v>49</v>
      </c>
      <c r="Y1205" t="s">
        <v>74</v>
      </c>
      <c r="Z1205" t="s">
        <v>1528</v>
      </c>
      <c r="AA1205" t="s">
        <v>1528</v>
      </c>
    </row>
    <row r="1206" spans="1:27" x14ac:dyDescent="0.35">
      <c r="A1206" t="str">
        <f t="shared" si="37"/>
        <v>909_C2</v>
      </c>
      <c r="B1206" t="str">
        <f t="shared" si="36"/>
        <v>909_</v>
      </c>
      <c r="C1206" t="s">
        <v>2031</v>
      </c>
      <c r="D1206" t="s">
        <v>1</v>
      </c>
      <c r="E1206" t="s">
        <v>65</v>
      </c>
      <c r="F1206" t="s">
        <v>66</v>
      </c>
      <c r="G1206" t="s">
        <v>757</v>
      </c>
      <c r="H1206" t="s">
        <v>42</v>
      </c>
      <c r="I1206" t="s">
        <v>67</v>
      </c>
      <c r="J1206" t="s">
        <v>2029</v>
      </c>
      <c r="M1206" t="s">
        <v>106</v>
      </c>
      <c r="P1206" t="s">
        <v>69</v>
      </c>
      <c r="Q1206" t="s">
        <v>47</v>
      </c>
      <c r="R1206" t="s">
        <v>48</v>
      </c>
      <c r="V1206" t="s">
        <v>49</v>
      </c>
      <c r="X1206" t="s">
        <v>49</v>
      </c>
      <c r="Y1206" t="s">
        <v>70</v>
      </c>
      <c r="Z1206" t="s">
        <v>2032</v>
      </c>
      <c r="AA1206" t="s">
        <v>2032</v>
      </c>
    </row>
    <row r="1207" spans="1:27" x14ac:dyDescent="0.35">
      <c r="A1207" t="str">
        <f t="shared" si="37"/>
        <v>909_D2</v>
      </c>
      <c r="B1207" t="str">
        <f t="shared" si="36"/>
        <v>909_</v>
      </c>
      <c r="C1207" t="s">
        <v>2033</v>
      </c>
      <c r="D1207" t="s">
        <v>2</v>
      </c>
      <c r="E1207" t="s">
        <v>62</v>
      </c>
      <c r="F1207" t="s">
        <v>63</v>
      </c>
      <c r="G1207" t="s">
        <v>757</v>
      </c>
      <c r="H1207" t="s">
        <v>42</v>
      </c>
      <c r="I1207" t="s">
        <v>67</v>
      </c>
      <c r="J1207" t="s">
        <v>2029</v>
      </c>
      <c r="K1207" t="s">
        <v>56</v>
      </c>
      <c r="M1207" t="s">
        <v>106</v>
      </c>
      <c r="P1207" t="s">
        <v>58</v>
      </c>
      <c r="Q1207" t="s">
        <v>47</v>
      </c>
      <c r="R1207" t="s">
        <v>48</v>
      </c>
      <c r="V1207" t="s">
        <v>49</v>
      </c>
      <c r="X1207" t="s">
        <v>49</v>
      </c>
      <c r="Y1207" t="s">
        <v>59</v>
      </c>
      <c r="Z1207" t="s">
        <v>2034</v>
      </c>
      <c r="AA1207" t="s">
        <v>2034</v>
      </c>
    </row>
    <row r="1208" spans="1:27" x14ac:dyDescent="0.35">
      <c r="A1208" t="str">
        <f t="shared" si="37"/>
        <v>909_D7</v>
      </c>
      <c r="B1208" t="str">
        <f t="shared" si="36"/>
        <v>909_</v>
      </c>
      <c r="C1208" t="s">
        <v>2035</v>
      </c>
      <c r="D1208" t="s">
        <v>6</v>
      </c>
      <c r="E1208" t="s">
        <v>94</v>
      </c>
      <c r="F1208" t="s">
        <v>111</v>
      </c>
      <c r="G1208" t="s">
        <v>757</v>
      </c>
      <c r="H1208" t="s">
        <v>42</v>
      </c>
      <c r="I1208" t="s">
        <v>67</v>
      </c>
      <c r="J1208" t="s">
        <v>2029</v>
      </c>
      <c r="M1208" t="s">
        <v>106</v>
      </c>
      <c r="P1208" t="s">
        <v>46</v>
      </c>
      <c r="Q1208" t="s">
        <v>47</v>
      </c>
      <c r="R1208" t="s">
        <v>48</v>
      </c>
      <c r="V1208" t="s">
        <v>49</v>
      </c>
      <c r="X1208" t="s">
        <v>49</v>
      </c>
      <c r="Y1208" t="s">
        <v>59</v>
      </c>
      <c r="Z1208" t="s">
        <v>2036</v>
      </c>
      <c r="AA1208" t="s">
        <v>2036</v>
      </c>
    </row>
    <row r="1209" spans="1:27" x14ac:dyDescent="0.35">
      <c r="A1209" t="str">
        <f t="shared" si="37"/>
        <v>909_D4</v>
      </c>
      <c r="B1209" t="str">
        <f t="shared" si="36"/>
        <v>909_</v>
      </c>
      <c r="C1209" t="s">
        <v>2037</v>
      </c>
      <c r="D1209" t="s">
        <v>3</v>
      </c>
      <c r="E1209" t="s">
        <v>52</v>
      </c>
      <c r="F1209" t="s">
        <v>53</v>
      </c>
      <c r="G1209" t="s">
        <v>757</v>
      </c>
      <c r="H1209" t="s">
        <v>42</v>
      </c>
      <c r="I1209" t="s">
        <v>67</v>
      </c>
      <c r="J1209" t="s">
        <v>2029</v>
      </c>
      <c r="K1209" t="s">
        <v>56</v>
      </c>
      <c r="M1209" t="s">
        <v>106</v>
      </c>
      <c r="P1209" t="s">
        <v>58</v>
      </c>
      <c r="Q1209" t="s">
        <v>47</v>
      </c>
      <c r="R1209" t="s">
        <v>48</v>
      </c>
      <c r="V1209" t="s">
        <v>49</v>
      </c>
      <c r="X1209" t="s">
        <v>49</v>
      </c>
      <c r="Y1209" t="s">
        <v>59</v>
      </c>
      <c r="Z1209" t="s">
        <v>2034</v>
      </c>
      <c r="AA1209" t="s">
        <v>2034</v>
      </c>
    </row>
    <row r="1210" spans="1:27" x14ac:dyDescent="0.35">
      <c r="A1210" t="str">
        <f t="shared" si="37"/>
        <v>908_F3</v>
      </c>
      <c r="B1210" t="str">
        <f t="shared" si="36"/>
        <v>908_</v>
      </c>
      <c r="C1210" t="s">
        <v>2038</v>
      </c>
      <c r="D1210" t="s">
        <v>5</v>
      </c>
      <c r="E1210" t="s">
        <v>40</v>
      </c>
      <c r="F1210" t="s">
        <v>73</v>
      </c>
      <c r="G1210" t="s">
        <v>757</v>
      </c>
      <c r="H1210" t="s">
        <v>42</v>
      </c>
      <c r="I1210" t="s">
        <v>67</v>
      </c>
      <c r="J1210" t="s">
        <v>2039</v>
      </c>
      <c r="M1210" t="s">
        <v>106</v>
      </c>
      <c r="P1210" t="s">
        <v>46</v>
      </c>
      <c r="Q1210" t="s">
        <v>47</v>
      </c>
      <c r="R1210" t="s">
        <v>48</v>
      </c>
      <c r="V1210" t="s">
        <v>49</v>
      </c>
      <c r="X1210" t="s">
        <v>49</v>
      </c>
      <c r="Y1210" t="s">
        <v>74</v>
      </c>
      <c r="Z1210" t="s">
        <v>1542</v>
      </c>
      <c r="AA1210" t="s">
        <v>1542</v>
      </c>
    </row>
    <row r="1211" spans="1:27" x14ac:dyDescent="0.35">
      <c r="A1211" t="str">
        <f t="shared" si="37"/>
        <v>1709F2</v>
      </c>
      <c r="B1211" t="str">
        <f t="shared" si="36"/>
        <v>1709</v>
      </c>
      <c r="C1211" t="s">
        <v>2040</v>
      </c>
      <c r="D1211" t="s">
        <v>4</v>
      </c>
      <c r="E1211" t="s">
        <v>77</v>
      </c>
      <c r="F1211" t="s">
        <v>78</v>
      </c>
      <c r="G1211" t="s">
        <v>757</v>
      </c>
      <c r="H1211" t="s">
        <v>42</v>
      </c>
      <c r="I1211" t="s">
        <v>67</v>
      </c>
      <c r="J1211" t="s">
        <v>2041</v>
      </c>
      <c r="M1211" t="s">
        <v>106</v>
      </c>
      <c r="P1211" t="s">
        <v>79</v>
      </c>
      <c r="Q1211" t="s">
        <v>47</v>
      </c>
      <c r="R1211" t="s">
        <v>48</v>
      </c>
      <c r="V1211" t="s">
        <v>49</v>
      </c>
      <c r="X1211" t="s">
        <v>49</v>
      </c>
      <c r="Y1211" t="s">
        <v>74</v>
      </c>
      <c r="Z1211" t="s">
        <v>2013</v>
      </c>
      <c r="AA1211" t="s">
        <v>2013</v>
      </c>
    </row>
    <row r="1212" spans="1:27" x14ac:dyDescent="0.35">
      <c r="A1212" t="str">
        <f t="shared" si="37"/>
        <v>1709D4</v>
      </c>
      <c r="B1212" t="str">
        <f t="shared" si="36"/>
        <v>1709</v>
      </c>
      <c r="C1212" t="s">
        <v>2042</v>
      </c>
      <c r="D1212" t="s">
        <v>3</v>
      </c>
      <c r="E1212" t="s">
        <v>52</v>
      </c>
      <c r="F1212" t="s">
        <v>53</v>
      </c>
      <c r="G1212" t="s">
        <v>757</v>
      </c>
      <c r="H1212" t="s">
        <v>42</v>
      </c>
      <c r="I1212" t="s">
        <v>43</v>
      </c>
      <c r="J1212" t="s">
        <v>2041</v>
      </c>
      <c r="K1212" t="s">
        <v>56</v>
      </c>
      <c r="M1212" t="s">
        <v>106</v>
      </c>
      <c r="P1212" t="s">
        <v>58</v>
      </c>
      <c r="Q1212" t="s">
        <v>47</v>
      </c>
      <c r="R1212" t="s">
        <v>48</v>
      </c>
      <c r="V1212" t="s">
        <v>49</v>
      </c>
      <c r="X1212" t="s">
        <v>49</v>
      </c>
      <c r="Y1212" t="s">
        <v>59</v>
      </c>
      <c r="Z1212" t="s">
        <v>2043</v>
      </c>
      <c r="AA1212" t="s">
        <v>2043</v>
      </c>
    </row>
    <row r="1213" spans="1:27" x14ac:dyDescent="0.35">
      <c r="A1213" t="str">
        <f t="shared" si="37"/>
        <v>1709D2</v>
      </c>
      <c r="B1213" t="str">
        <f t="shared" si="36"/>
        <v>1709</v>
      </c>
      <c r="C1213" t="s">
        <v>2044</v>
      </c>
      <c r="D1213" t="s">
        <v>2</v>
      </c>
      <c r="E1213" t="s">
        <v>62</v>
      </c>
      <c r="F1213" t="s">
        <v>63</v>
      </c>
      <c r="G1213" t="s">
        <v>757</v>
      </c>
      <c r="H1213" t="s">
        <v>42</v>
      </c>
      <c r="I1213" t="s">
        <v>43</v>
      </c>
      <c r="J1213" t="s">
        <v>2041</v>
      </c>
      <c r="K1213" t="s">
        <v>56</v>
      </c>
      <c r="M1213" t="s">
        <v>106</v>
      </c>
      <c r="P1213" t="s">
        <v>58</v>
      </c>
      <c r="Q1213" t="s">
        <v>47</v>
      </c>
      <c r="R1213" t="s">
        <v>48</v>
      </c>
      <c r="V1213" t="s">
        <v>49</v>
      </c>
      <c r="X1213" t="s">
        <v>49</v>
      </c>
      <c r="Y1213" t="s">
        <v>59</v>
      </c>
      <c r="Z1213" t="s">
        <v>2045</v>
      </c>
      <c r="AA1213" t="s">
        <v>2045</v>
      </c>
    </row>
    <row r="1214" spans="1:27" x14ac:dyDescent="0.35">
      <c r="A1214" t="str">
        <f t="shared" si="37"/>
        <v>1709F3</v>
      </c>
      <c r="B1214" t="str">
        <f t="shared" si="36"/>
        <v>1709</v>
      </c>
      <c r="C1214" t="s">
        <v>2046</v>
      </c>
      <c r="D1214" t="s">
        <v>5</v>
      </c>
      <c r="E1214" t="s">
        <v>40</v>
      </c>
      <c r="F1214" t="s">
        <v>73</v>
      </c>
      <c r="G1214" t="s">
        <v>757</v>
      </c>
      <c r="H1214" t="s">
        <v>42</v>
      </c>
      <c r="I1214" t="s">
        <v>67</v>
      </c>
      <c r="J1214" t="s">
        <v>2041</v>
      </c>
      <c r="M1214" t="s">
        <v>106</v>
      </c>
      <c r="P1214" t="s">
        <v>58</v>
      </c>
      <c r="Q1214" t="s">
        <v>47</v>
      </c>
      <c r="R1214" t="s">
        <v>48</v>
      </c>
      <c r="V1214" t="s">
        <v>49</v>
      </c>
      <c r="X1214" t="s">
        <v>49</v>
      </c>
      <c r="Y1214" t="s">
        <v>74</v>
      </c>
      <c r="Z1214" t="s">
        <v>2047</v>
      </c>
      <c r="AA1214" t="s">
        <v>2047</v>
      </c>
    </row>
    <row r="1215" spans="1:27" x14ac:dyDescent="0.35">
      <c r="A1215" t="str">
        <f t="shared" si="37"/>
        <v>908_F2</v>
      </c>
      <c r="B1215" t="str">
        <f t="shared" si="36"/>
        <v>908_</v>
      </c>
      <c r="C1215" t="s">
        <v>2048</v>
      </c>
      <c r="D1215" t="s">
        <v>4</v>
      </c>
      <c r="E1215" t="s">
        <v>77</v>
      </c>
      <c r="F1215" t="s">
        <v>78</v>
      </c>
      <c r="G1215" t="s">
        <v>757</v>
      </c>
      <c r="H1215" t="s">
        <v>42</v>
      </c>
      <c r="I1215" t="s">
        <v>67</v>
      </c>
      <c r="J1215" t="s">
        <v>2039</v>
      </c>
      <c r="M1215" t="s">
        <v>106</v>
      </c>
      <c r="P1215" t="s">
        <v>189</v>
      </c>
      <c r="Q1215" t="s">
        <v>47</v>
      </c>
      <c r="R1215" t="s">
        <v>48</v>
      </c>
      <c r="V1215" t="s">
        <v>49</v>
      </c>
      <c r="X1215" t="s">
        <v>49</v>
      </c>
      <c r="Y1215" t="s">
        <v>74</v>
      </c>
      <c r="Z1215" t="s">
        <v>2049</v>
      </c>
      <c r="AA1215" t="s">
        <v>2049</v>
      </c>
    </row>
    <row r="1216" spans="1:27" x14ac:dyDescent="0.35">
      <c r="A1216" t="str">
        <f t="shared" si="37"/>
        <v>908_C2</v>
      </c>
      <c r="B1216" t="str">
        <f t="shared" si="36"/>
        <v>908_</v>
      </c>
      <c r="C1216" t="s">
        <v>2050</v>
      </c>
      <c r="D1216" t="s">
        <v>1</v>
      </c>
      <c r="E1216" t="s">
        <v>65</v>
      </c>
      <c r="F1216" t="s">
        <v>66</v>
      </c>
      <c r="G1216" t="s">
        <v>757</v>
      </c>
      <c r="H1216" t="s">
        <v>42</v>
      </c>
      <c r="I1216" t="s">
        <v>67</v>
      </c>
      <c r="J1216" t="s">
        <v>2039</v>
      </c>
      <c r="M1216" t="s">
        <v>106</v>
      </c>
      <c r="P1216" t="s">
        <v>69</v>
      </c>
      <c r="Q1216" t="s">
        <v>47</v>
      </c>
      <c r="R1216" t="s">
        <v>48</v>
      </c>
      <c r="V1216" t="s">
        <v>49</v>
      </c>
      <c r="X1216" t="s">
        <v>49</v>
      </c>
      <c r="Y1216" t="s">
        <v>70</v>
      </c>
      <c r="Z1216" t="s">
        <v>2051</v>
      </c>
      <c r="AA1216" t="s">
        <v>2052</v>
      </c>
    </row>
    <row r="1217" spans="1:27" x14ac:dyDescent="0.35">
      <c r="A1217" t="str">
        <f t="shared" si="37"/>
        <v>1709C2</v>
      </c>
      <c r="B1217" t="str">
        <f t="shared" si="36"/>
        <v>1709</v>
      </c>
      <c r="C1217" t="s">
        <v>2053</v>
      </c>
      <c r="D1217" t="s">
        <v>1</v>
      </c>
      <c r="E1217" t="s">
        <v>65</v>
      </c>
      <c r="F1217" t="s">
        <v>66</v>
      </c>
      <c r="G1217" t="s">
        <v>757</v>
      </c>
      <c r="H1217" t="s">
        <v>42</v>
      </c>
      <c r="I1217" t="s">
        <v>67</v>
      </c>
      <c r="J1217" t="s">
        <v>2041</v>
      </c>
      <c r="M1217" t="s">
        <v>106</v>
      </c>
      <c r="P1217" t="s">
        <v>69</v>
      </c>
      <c r="Q1217" t="s">
        <v>47</v>
      </c>
      <c r="R1217" t="s">
        <v>48</v>
      </c>
      <c r="V1217" t="s">
        <v>49</v>
      </c>
      <c r="X1217" t="s">
        <v>49</v>
      </c>
      <c r="Y1217" t="s">
        <v>70</v>
      </c>
      <c r="Z1217" t="s">
        <v>2054</v>
      </c>
      <c r="AA1217" t="s">
        <v>2054</v>
      </c>
    </row>
    <row r="1218" spans="1:27" x14ac:dyDescent="0.35">
      <c r="A1218" t="str">
        <f t="shared" si="37"/>
        <v>1709D7</v>
      </c>
      <c r="B1218" t="str">
        <f t="shared" ref="B1218:B1281" si="38">LEFT($J:$J,4)</f>
        <v>1709</v>
      </c>
      <c r="C1218" t="s">
        <v>2055</v>
      </c>
      <c r="D1218" t="s">
        <v>6</v>
      </c>
      <c r="E1218" t="s">
        <v>94</v>
      </c>
      <c r="F1218" t="s">
        <v>111</v>
      </c>
      <c r="G1218" t="s">
        <v>757</v>
      </c>
      <c r="H1218" t="s">
        <v>42</v>
      </c>
      <c r="I1218" t="s">
        <v>43</v>
      </c>
      <c r="J1218" t="s">
        <v>2041</v>
      </c>
      <c r="M1218" t="s">
        <v>106</v>
      </c>
      <c r="P1218" t="s">
        <v>46</v>
      </c>
      <c r="Q1218" t="s">
        <v>47</v>
      </c>
      <c r="R1218" t="s">
        <v>48</v>
      </c>
      <c r="V1218" t="s">
        <v>49</v>
      </c>
      <c r="X1218" t="s">
        <v>49</v>
      </c>
      <c r="Y1218" t="s">
        <v>59</v>
      </c>
      <c r="Z1218" t="s">
        <v>2056</v>
      </c>
      <c r="AA1218" t="s">
        <v>2056</v>
      </c>
    </row>
    <row r="1219" spans="1:27" x14ac:dyDescent="0.35">
      <c r="A1219" t="str">
        <f t="shared" ref="A1219:A1282" si="39">B1219&amp;D1219</f>
        <v>908_D2</v>
      </c>
      <c r="B1219" t="str">
        <f t="shared" si="38"/>
        <v>908_</v>
      </c>
      <c r="C1219" t="s">
        <v>2057</v>
      </c>
      <c r="D1219" t="s">
        <v>2</v>
      </c>
      <c r="E1219" t="s">
        <v>62</v>
      </c>
      <c r="F1219" t="s">
        <v>63</v>
      </c>
      <c r="G1219" t="s">
        <v>757</v>
      </c>
      <c r="H1219" t="s">
        <v>42</v>
      </c>
      <c r="I1219" t="s">
        <v>67</v>
      </c>
      <c r="J1219" t="s">
        <v>2039</v>
      </c>
      <c r="K1219" t="s">
        <v>56</v>
      </c>
      <c r="M1219" t="s">
        <v>106</v>
      </c>
      <c r="P1219" t="s">
        <v>58</v>
      </c>
      <c r="Q1219" t="s">
        <v>47</v>
      </c>
      <c r="R1219" t="s">
        <v>48</v>
      </c>
      <c r="V1219" t="s">
        <v>49</v>
      </c>
      <c r="X1219" t="s">
        <v>49</v>
      </c>
      <c r="Y1219" t="s">
        <v>59</v>
      </c>
      <c r="Z1219" t="s">
        <v>2058</v>
      </c>
      <c r="AA1219" t="s">
        <v>2058</v>
      </c>
    </row>
    <row r="1220" spans="1:27" x14ac:dyDescent="0.35">
      <c r="A1220" t="str">
        <f t="shared" si="39"/>
        <v>908_D7</v>
      </c>
      <c r="B1220" t="str">
        <f t="shared" si="38"/>
        <v>908_</v>
      </c>
      <c r="C1220" t="s">
        <v>2059</v>
      </c>
      <c r="D1220" t="s">
        <v>6</v>
      </c>
      <c r="E1220" t="s">
        <v>94</v>
      </c>
      <c r="F1220" t="s">
        <v>111</v>
      </c>
      <c r="G1220" t="s">
        <v>757</v>
      </c>
      <c r="H1220" t="s">
        <v>42</v>
      </c>
      <c r="I1220" t="s">
        <v>67</v>
      </c>
      <c r="J1220" t="s">
        <v>2039</v>
      </c>
      <c r="M1220" t="s">
        <v>106</v>
      </c>
      <c r="P1220" t="s">
        <v>46</v>
      </c>
      <c r="Q1220" t="s">
        <v>47</v>
      </c>
      <c r="R1220" t="s">
        <v>48</v>
      </c>
      <c r="V1220" t="s">
        <v>49</v>
      </c>
      <c r="X1220" t="s">
        <v>49</v>
      </c>
      <c r="Y1220" t="s">
        <v>59</v>
      </c>
      <c r="Z1220" t="s">
        <v>2036</v>
      </c>
      <c r="AA1220" t="s">
        <v>2036</v>
      </c>
    </row>
    <row r="1221" spans="1:27" x14ac:dyDescent="0.35">
      <c r="A1221" t="str">
        <f t="shared" si="39"/>
        <v>908_D4</v>
      </c>
      <c r="B1221" t="str">
        <f t="shared" si="38"/>
        <v>908_</v>
      </c>
      <c r="C1221" t="s">
        <v>2060</v>
      </c>
      <c r="D1221" t="s">
        <v>3</v>
      </c>
      <c r="E1221" t="s">
        <v>52</v>
      </c>
      <c r="F1221" t="s">
        <v>53</v>
      </c>
      <c r="G1221" t="s">
        <v>757</v>
      </c>
      <c r="H1221" t="s">
        <v>42</v>
      </c>
      <c r="I1221" t="s">
        <v>67</v>
      </c>
      <c r="J1221" t="s">
        <v>2039</v>
      </c>
      <c r="K1221" t="s">
        <v>56</v>
      </c>
      <c r="M1221" t="s">
        <v>106</v>
      </c>
      <c r="P1221" t="s">
        <v>58</v>
      </c>
      <c r="Q1221" t="s">
        <v>47</v>
      </c>
      <c r="R1221" t="s">
        <v>48</v>
      </c>
      <c r="V1221" t="s">
        <v>49</v>
      </c>
      <c r="X1221" t="s">
        <v>49</v>
      </c>
      <c r="Y1221" t="s">
        <v>59</v>
      </c>
      <c r="Z1221" t="s">
        <v>2058</v>
      </c>
      <c r="AA1221" t="s">
        <v>2058</v>
      </c>
    </row>
    <row r="1222" spans="1:27" x14ac:dyDescent="0.35">
      <c r="A1222" t="str">
        <f t="shared" si="39"/>
        <v>907_F3</v>
      </c>
      <c r="B1222" t="str">
        <f t="shared" si="38"/>
        <v>907_</v>
      </c>
      <c r="C1222" t="s">
        <v>2061</v>
      </c>
      <c r="D1222" t="s">
        <v>5</v>
      </c>
      <c r="E1222" t="s">
        <v>40</v>
      </c>
      <c r="F1222" t="s">
        <v>73</v>
      </c>
      <c r="G1222" t="s">
        <v>757</v>
      </c>
      <c r="H1222" t="s">
        <v>42</v>
      </c>
      <c r="I1222" t="s">
        <v>67</v>
      </c>
      <c r="J1222" t="s">
        <v>2062</v>
      </c>
      <c r="M1222" t="s">
        <v>106</v>
      </c>
      <c r="P1222" t="s">
        <v>46</v>
      </c>
      <c r="Q1222" t="s">
        <v>47</v>
      </c>
      <c r="R1222" t="s">
        <v>48</v>
      </c>
      <c r="V1222" t="s">
        <v>49</v>
      </c>
      <c r="X1222" t="s">
        <v>49</v>
      </c>
      <c r="Y1222" t="s">
        <v>74</v>
      </c>
      <c r="Z1222" t="s">
        <v>1542</v>
      </c>
      <c r="AA1222" t="s">
        <v>1542</v>
      </c>
    </row>
    <row r="1223" spans="1:27" x14ac:dyDescent="0.35">
      <c r="A1223" t="str">
        <f t="shared" si="39"/>
        <v>907_F2</v>
      </c>
      <c r="B1223" t="str">
        <f t="shared" si="38"/>
        <v>907_</v>
      </c>
      <c r="C1223" t="s">
        <v>2063</v>
      </c>
      <c r="D1223" t="s">
        <v>4</v>
      </c>
      <c r="E1223" t="s">
        <v>77</v>
      </c>
      <c r="F1223" t="s">
        <v>78</v>
      </c>
      <c r="G1223" t="s">
        <v>757</v>
      </c>
      <c r="H1223" t="s">
        <v>42</v>
      </c>
      <c r="I1223" t="s">
        <v>67</v>
      </c>
      <c r="J1223" t="s">
        <v>2062</v>
      </c>
      <c r="M1223" t="s">
        <v>106</v>
      </c>
      <c r="P1223" t="s">
        <v>79</v>
      </c>
      <c r="Q1223" t="s">
        <v>47</v>
      </c>
      <c r="R1223" t="s">
        <v>48</v>
      </c>
      <c r="V1223" t="s">
        <v>49</v>
      </c>
      <c r="X1223" t="s">
        <v>49</v>
      </c>
      <c r="Y1223" t="s">
        <v>74</v>
      </c>
      <c r="Z1223" t="s">
        <v>2049</v>
      </c>
      <c r="AA1223" t="s">
        <v>2049</v>
      </c>
    </row>
    <row r="1224" spans="1:27" x14ac:dyDescent="0.35">
      <c r="A1224" t="str">
        <f t="shared" si="39"/>
        <v>907_C2</v>
      </c>
      <c r="B1224" t="str">
        <f t="shared" si="38"/>
        <v>907_</v>
      </c>
      <c r="C1224" t="s">
        <v>2064</v>
      </c>
      <c r="D1224" t="s">
        <v>1</v>
      </c>
      <c r="E1224" t="s">
        <v>65</v>
      </c>
      <c r="F1224" t="s">
        <v>66</v>
      </c>
      <c r="G1224" t="s">
        <v>757</v>
      </c>
      <c r="H1224" t="s">
        <v>42</v>
      </c>
      <c r="I1224" t="s">
        <v>67</v>
      </c>
      <c r="J1224" t="s">
        <v>2062</v>
      </c>
      <c r="M1224" t="s">
        <v>106</v>
      </c>
      <c r="P1224" t="s">
        <v>69</v>
      </c>
      <c r="Q1224" t="s">
        <v>47</v>
      </c>
      <c r="R1224" t="s">
        <v>48</v>
      </c>
      <c r="V1224" t="s">
        <v>49</v>
      </c>
      <c r="X1224" t="s">
        <v>49</v>
      </c>
      <c r="Y1224" t="s">
        <v>70</v>
      </c>
      <c r="Z1224" t="s">
        <v>2065</v>
      </c>
      <c r="AA1224" t="s">
        <v>2065</v>
      </c>
    </row>
    <row r="1225" spans="1:27" x14ac:dyDescent="0.35">
      <c r="A1225" t="str">
        <f t="shared" si="39"/>
        <v>907_D2</v>
      </c>
      <c r="B1225" t="str">
        <f t="shared" si="38"/>
        <v>907_</v>
      </c>
      <c r="C1225" t="s">
        <v>2066</v>
      </c>
      <c r="D1225" t="s">
        <v>2</v>
      </c>
      <c r="E1225" t="s">
        <v>62</v>
      </c>
      <c r="F1225" t="s">
        <v>63</v>
      </c>
      <c r="G1225" t="s">
        <v>757</v>
      </c>
      <c r="H1225" t="s">
        <v>42</v>
      </c>
      <c r="I1225" t="s">
        <v>67</v>
      </c>
      <c r="J1225" t="s">
        <v>2062</v>
      </c>
      <c r="K1225" t="s">
        <v>56</v>
      </c>
      <c r="M1225" t="s">
        <v>106</v>
      </c>
      <c r="P1225" t="s">
        <v>58</v>
      </c>
      <c r="Q1225" t="s">
        <v>47</v>
      </c>
      <c r="R1225" t="s">
        <v>48</v>
      </c>
      <c r="V1225" t="s">
        <v>49</v>
      </c>
      <c r="X1225" t="s">
        <v>49</v>
      </c>
      <c r="Y1225" t="s">
        <v>59</v>
      </c>
      <c r="Z1225" t="s">
        <v>2067</v>
      </c>
      <c r="AA1225" t="s">
        <v>2067</v>
      </c>
    </row>
    <row r="1226" spans="1:27" x14ac:dyDescent="0.35">
      <c r="A1226" t="str">
        <f t="shared" si="39"/>
        <v>907_D7</v>
      </c>
      <c r="B1226" t="str">
        <f t="shared" si="38"/>
        <v>907_</v>
      </c>
      <c r="C1226" t="s">
        <v>2068</v>
      </c>
      <c r="D1226" t="s">
        <v>6</v>
      </c>
      <c r="E1226" t="s">
        <v>94</v>
      </c>
      <c r="F1226" t="s">
        <v>111</v>
      </c>
      <c r="G1226" t="s">
        <v>757</v>
      </c>
      <c r="H1226" t="s">
        <v>42</v>
      </c>
      <c r="I1226" t="s">
        <v>67</v>
      </c>
      <c r="J1226" t="s">
        <v>2062</v>
      </c>
      <c r="M1226" t="s">
        <v>106</v>
      </c>
      <c r="P1226" t="s">
        <v>46</v>
      </c>
      <c r="Q1226" t="s">
        <v>47</v>
      </c>
      <c r="R1226" t="s">
        <v>48</v>
      </c>
      <c r="V1226" t="s">
        <v>49</v>
      </c>
      <c r="X1226" t="s">
        <v>49</v>
      </c>
      <c r="Y1226" t="s">
        <v>59</v>
      </c>
      <c r="Z1226" t="s">
        <v>2036</v>
      </c>
      <c r="AA1226" t="s">
        <v>2036</v>
      </c>
    </row>
    <row r="1227" spans="1:27" x14ac:dyDescent="0.35">
      <c r="A1227" t="str">
        <f t="shared" si="39"/>
        <v>1708F2</v>
      </c>
      <c r="B1227" t="str">
        <f t="shared" si="38"/>
        <v>1708</v>
      </c>
      <c r="C1227" t="s">
        <v>2069</v>
      </c>
      <c r="D1227" t="s">
        <v>4</v>
      </c>
      <c r="E1227" t="s">
        <v>77</v>
      </c>
      <c r="F1227" t="s">
        <v>78</v>
      </c>
      <c r="G1227" t="s">
        <v>757</v>
      </c>
      <c r="H1227" t="s">
        <v>42</v>
      </c>
      <c r="I1227" t="s">
        <v>67</v>
      </c>
      <c r="J1227" t="s">
        <v>2070</v>
      </c>
      <c r="M1227" t="s">
        <v>106</v>
      </c>
      <c r="P1227" t="s">
        <v>189</v>
      </c>
      <c r="Q1227" t="s">
        <v>47</v>
      </c>
      <c r="R1227" t="s">
        <v>48</v>
      </c>
      <c r="V1227" t="s">
        <v>49</v>
      </c>
      <c r="X1227" t="s">
        <v>49</v>
      </c>
      <c r="Y1227" t="s">
        <v>74</v>
      </c>
      <c r="Z1227" t="s">
        <v>2013</v>
      </c>
      <c r="AA1227" t="s">
        <v>2013</v>
      </c>
    </row>
    <row r="1228" spans="1:27" x14ac:dyDescent="0.35">
      <c r="A1228" t="str">
        <f t="shared" si="39"/>
        <v>1708D4</v>
      </c>
      <c r="B1228" t="str">
        <f t="shared" si="38"/>
        <v>1708</v>
      </c>
      <c r="C1228" t="s">
        <v>2071</v>
      </c>
      <c r="D1228" t="s">
        <v>3</v>
      </c>
      <c r="E1228" t="s">
        <v>52</v>
      </c>
      <c r="F1228" t="s">
        <v>53</v>
      </c>
      <c r="G1228" t="s">
        <v>757</v>
      </c>
      <c r="H1228" t="s">
        <v>42</v>
      </c>
      <c r="I1228" t="s">
        <v>43</v>
      </c>
      <c r="J1228" t="s">
        <v>2070</v>
      </c>
      <c r="K1228" t="s">
        <v>56</v>
      </c>
      <c r="M1228" t="s">
        <v>106</v>
      </c>
      <c r="P1228" t="s">
        <v>58</v>
      </c>
      <c r="Q1228" t="s">
        <v>47</v>
      </c>
      <c r="R1228" t="s">
        <v>48</v>
      </c>
      <c r="V1228" t="s">
        <v>49</v>
      </c>
      <c r="X1228" t="s">
        <v>49</v>
      </c>
      <c r="Y1228" t="s">
        <v>59</v>
      </c>
      <c r="Z1228" t="s">
        <v>2072</v>
      </c>
      <c r="AA1228" t="s">
        <v>2072</v>
      </c>
    </row>
    <row r="1229" spans="1:27" x14ac:dyDescent="0.35">
      <c r="A1229" t="str">
        <f t="shared" si="39"/>
        <v>1708D2</v>
      </c>
      <c r="B1229" t="str">
        <f t="shared" si="38"/>
        <v>1708</v>
      </c>
      <c r="C1229" t="s">
        <v>2073</v>
      </c>
      <c r="D1229" t="s">
        <v>2</v>
      </c>
      <c r="E1229" t="s">
        <v>62</v>
      </c>
      <c r="F1229" t="s">
        <v>63</v>
      </c>
      <c r="G1229" t="s">
        <v>757</v>
      </c>
      <c r="H1229" t="s">
        <v>42</v>
      </c>
      <c r="I1229" t="s">
        <v>43</v>
      </c>
      <c r="J1229" t="s">
        <v>2070</v>
      </c>
      <c r="K1229" t="s">
        <v>56</v>
      </c>
      <c r="M1229" t="s">
        <v>106</v>
      </c>
      <c r="P1229" t="s">
        <v>58</v>
      </c>
      <c r="Q1229" t="s">
        <v>47</v>
      </c>
      <c r="R1229" t="s">
        <v>48</v>
      </c>
      <c r="V1229" t="s">
        <v>49</v>
      </c>
      <c r="X1229" t="s">
        <v>49</v>
      </c>
      <c r="Y1229" t="s">
        <v>59</v>
      </c>
      <c r="Z1229" t="s">
        <v>2074</v>
      </c>
      <c r="AA1229" t="s">
        <v>2074</v>
      </c>
    </row>
    <row r="1230" spans="1:27" x14ac:dyDescent="0.35">
      <c r="A1230" t="str">
        <f t="shared" si="39"/>
        <v>1708F3</v>
      </c>
      <c r="B1230" t="str">
        <f t="shared" si="38"/>
        <v>1708</v>
      </c>
      <c r="C1230" t="s">
        <v>2075</v>
      </c>
      <c r="D1230" t="s">
        <v>5</v>
      </c>
      <c r="E1230" t="s">
        <v>40</v>
      </c>
      <c r="F1230" t="s">
        <v>73</v>
      </c>
      <c r="G1230" t="s">
        <v>757</v>
      </c>
      <c r="H1230" t="s">
        <v>42</v>
      </c>
      <c r="I1230" t="s">
        <v>67</v>
      </c>
      <c r="J1230" t="s">
        <v>2070</v>
      </c>
      <c r="M1230" t="s">
        <v>106</v>
      </c>
      <c r="P1230" t="s">
        <v>58</v>
      </c>
      <c r="Q1230" t="s">
        <v>47</v>
      </c>
      <c r="R1230" t="s">
        <v>48</v>
      </c>
      <c r="V1230" t="s">
        <v>49</v>
      </c>
      <c r="X1230" t="s">
        <v>49</v>
      </c>
      <c r="Y1230" t="s">
        <v>74</v>
      </c>
      <c r="Z1230" t="s">
        <v>2047</v>
      </c>
      <c r="AA1230" t="s">
        <v>2047</v>
      </c>
    </row>
    <row r="1231" spans="1:27" x14ac:dyDescent="0.35">
      <c r="A1231" t="str">
        <f t="shared" si="39"/>
        <v>1708C2</v>
      </c>
      <c r="B1231" t="str">
        <f t="shared" si="38"/>
        <v>1708</v>
      </c>
      <c r="C1231" t="s">
        <v>2076</v>
      </c>
      <c r="D1231" t="s">
        <v>1</v>
      </c>
      <c r="E1231" t="s">
        <v>65</v>
      </c>
      <c r="F1231" t="s">
        <v>66</v>
      </c>
      <c r="G1231" t="s">
        <v>757</v>
      </c>
      <c r="H1231" t="s">
        <v>42</v>
      </c>
      <c r="I1231" t="s">
        <v>67</v>
      </c>
      <c r="J1231" t="s">
        <v>2070</v>
      </c>
      <c r="M1231" t="s">
        <v>106</v>
      </c>
      <c r="P1231" t="s">
        <v>69</v>
      </c>
      <c r="Q1231" t="s">
        <v>47</v>
      </c>
      <c r="R1231" t="s">
        <v>48</v>
      </c>
      <c r="V1231" t="s">
        <v>49</v>
      </c>
      <c r="X1231" t="s">
        <v>49</v>
      </c>
      <c r="Y1231" t="s">
        <v>70</v>
      </c>
      <c r="Z1231" t="s">
        <v>2077</v>
      </c>
      <c r="AA1231" t="s">
        <v>2078</v>
      </c>
    </row>
    <row r="1232" spans="1:27" x14ac:dyDescent="0.35">
      <c r="A1232" t="str">
        <f t="shared" si="39"/>
        <v>1708D7</v>
      </c>
      <c r="B1232" t="str">
        <f t="shared" si="38"/>
        <v>1708</v>
      </c>
      <c r="C1232" t="s">
        <v>2079</v>
      </c>
      <c r="D1232" t="s">
        <v>6</v>
      </c>
      <c r="E1232" t="s">
        <v>94</v>
      </c>
      <c r="F1232" t="s">
        <v>111</v>
      </c>
      <c r="G1232" t="s">
        <v>757</v>
      </c>
      <c r="H1232" t="s">
        <v>42</v>
      </c>
      <c r="I1232" t="s">
        <v>43</v>
      </c>
      <c r="J1232" t="s">
        <v>2070</v>
      </c>
      <c r="M1232" t="s">
        <v>106</v>
      </c>
      <c r="P1232" t="s">
        <v>46</v>
      </c>
      <c r="Q1232" t="s">
        <v>47</v>
      </c>
      <c r="R1232" t="s">
        <v>48</v>
      </c>
      <c r="V1232" t="s">
        <v>49</v>
      </c>
      <c r="X1232" t="s">
        <v>49</v>
      </c>
      <c r="Y1232" t="s">
        <v>59</v>
      </c>
      <c r="Z1232" t="s">
        <v>2080</v>
      </c>
      <c r="AA1232" t="s">
        <v>2080</v>
      </c>
    </row>
    <row r="1233" spans="1:27" x14ac:dyDescent="0.35">
      <c r="A1233" t="str">
        <f t="shared" si="39"/>
        <v>1707F2</v>
      </c>
      <c r="B1233" t="str">
        <f t="shared" si="38"/>
        <v>1707</v>
      </c>
      <c r="C1233" t="s">
        <v>2081</v>
      </c>
      <c r="D1233" t="s">
        <v>4</v>
      </c>
      <c r="E1233" t="s">
        <v>77</v>
      </c>
      <c r="F1233" t="s">
        <v>78</v>
      </c>
      <c r="G1233" t="s">
        <v>757</v>
      </c>
      <c r="H1233" t="s">
        <v>42</v>
      </c>
      <c r="I1233" t="s">
        <v>67</v>
      </c>
      <c r="J1233" t="s">
        <v>2082</v>
      </c>
      <c r="M1233" t="s">
        <v>106</v>
      </c>
      <c r="P1233" t="s">
        <v>79</v>
      </c>
      <c r="Q1233" t="s">
        <v>47</v>
      </c>
      <c r="R1233" t="s">
        <v>48</v>
      </c>
      <c r="V1233" t="s">
        <v>49</v>
      </c>
      <c r="X1233" t="s">
        <v>49</v>
      </c>
      <c r="Y1233" t="s">
        <v>74</v>
      </c>
      <c r="Z1233" t="s">
        <v>2013</v>
      </c>
      <c r="AA1233" t="s">
        <v>2013</v>
      </c>
    </row>
    <row r="1234" spans="1:27" x14ac:dyDescent="0.35">
      <c r="A1234" t="str">
        <f t="shared" si="39"/>
        <v>1707D4</v>
      </c>
      <c r="B1234" t="str">
        <f t="shared" si="38"/>
        <v>1707</v>
      </c>
      <c r="C1234" t="s">
        <v>2083</v>
      </c>
      <c r="D1234" t="s">
        <v>3</v>
      </c>
      <c r="E1234" t="s">
        <v>52</v>
      </c>
      <c r="F1234" t="s">
        <v>53</v>
      </c>
      <c r="G1234" t="s">
        <v>757</v>
      </c>
      <c r="H1234" t="s">
        <v>42</v>
      </c>
      <c r="I1234" t="s">
        <v>43</v>
      </c>
      <c r="J1234" t="s">
        <v>2082</v>
      </c>
      <c r="K1234" t="s">
        <v>56</v>
      </c>
      <c r="M1234" t="s">
        <v>106</v>
      </c>
      <c r="P1234" t="s">
        <v>58</v>
      </c>
      <c r="Q1234" t="s">
        <v>47</v>
      </c>
      <c r="R1234" t="s">
        <v>48</v>
      </c>
      <c r="V1234" t="s">
        <v>49</v>
      </c>
      <c r="X1234" t="s">
        <v>49</v>
      </c>
      <c r="Y1234" t="s">
        <v>59</v>
      </c>
      <c r="Z1234" t="s">
        <v>2043</v>
      </c>
      <c r="AA1234" t="s">
        <v>2043</v>
      </c>
    </row>
    <row r="1235" spans="1:27" x14ac:dyDescent="0.35">
      <c r="A1235" t="str">
        <f t="shared" si="39"/>
        <v>1707D2</v>
      </c>
      <c r="B1235" t="str">
        <f t="shared" si="38"/>
        <v>1707</v>
      </c>
      <c r="C1235" t="s">
        <v>2084</v>
      </c>
      <c r="D1235" t="s">
        <v>2</v>
      </c>
      <c r="E1235" t="s">
        <v>62</v>
      </c>
      <c r="F1235" t="s">
        <v>63</v>
      </c>
      <c r="G1235" t="s">
        <v>757</v>
      </c>
      <c r="H1235" t="s">
        <v>42</v>
      </c>
      <c r="I1235" t="s">
        <v>43</v>
      </c>
      <c r="J1235" t="s">
        <v>2082</v>
      </c>
      <c r="K1235" t="s">
        <v>56</v>
      </c>
      <c r="M1235" t="s">
        <v>106</v>
      </c>
      <c r="P1235" t="s">
        <v>58</v>
      </c>
      <c r="Q1235" t="s">
        <v>47</v>
      </c>
      <c r="R1235" t="s">
        <v>48</v>
      </c>
      <c r="V1235" t="s">
        <v>49</v>
      </c>
      <c r="X1235" t="s">
        <v>49</v>
      </c>
      <c r="Y1235" t="s">
        <v>59</v>
      </c>
      <c r="Z1235" t="s">
        <v>2085</v>
      </c>
      <c r="AA1235" t="s">
        <v>2085</v>
      </c>
    </row>
    <row r="1236" spans="1:27" x14ac:dyDescent="0.35">
      <c r="A1236" t="str">
        <f t="shared" si="39"/>
        <v>1707F3</v>
      </c>
      <c r="B1236" t="str">
        <f t="shared" si="38"/>
        <v>1707</v>
      </c>
      <c r="C1236" t="s">
        <v>2086</v>
      </c>
      <c r="D1236" t="s">
        <v>5</v>
      </c>
      <c r="E1236" t="s">
        <v>40</v>
      </c>
      <c r="F1236" t="s">
        <v>73</v>
      </c>
      <c r="G1236" t="s">
        <v>757</v>
      </c>
      <c r="H1236" t="s">
        <v>42</v>
      </c>
      <c r="I1236" t="s">
        <v>67</v>
      </c>
      <c r="J1236" t="s">
        <v>2082</v>
      </c>
      <c r="M1236" t="s">
        <v>106</v>
      </c>
      <c r="P1236" t="s">
        <v>58</v>
      </c>
      <c r="Q1236" t="s">
        <v>47</v>
      </c>
      <c r="R1236" t="s">
        <v>48</v>
      </c>
      <c r="V1236" t="s">
        <v>49</v>
      </c>
      <c r="X1236" t="s">
        <v>49</v>
      </c>
      <c r="Y1236" t="s">
        <v>74</v>
      </c>
      <c r="Z1236" t="s">
        <v>2087</v>
      </c>
      <c r="AA1236" t="s">
        <v>2087</v>
      </c>
    </row>
    <row r="1237" spans="1:27" x14ac:dyDescent="0.35">
      <c r="A1237" t="str">
        <f t="shared" si="39"/>
        <v>1707C2</v>
      </c>
      <c r="B1237" t="str">
        <f t="shared" si="38"/>
        <v>1707</v>
      </c>
      <c r="C1237" t="s">
        <v>2088</v>
      </c>
      <c r="D1237" t="s">
        <v>1</v>
      </c>
      <c r="E1237" t="s">
        <v>65</v>
      </c>
      <c r="F1237" t="s">
        <v>66</v>
      </c>
      <c r="G1237" t="s">
        <v>757</v>
      </c>
      <c r="H1237" t="s">
        <v>42</v>
      </c>
      <c r="I1237" t="s">
        <v>67</v>
      </c>
      <c r="J1237" t="s">
        <v>2082</v>
      </c>
      <c r="M1237" t="s">
        <v>106</v>
      </c>
      <c r="P1237" t="s">
        <v>69</v>
      </c>
      <c r="Q1237" t="s">
        <v>47</v>
      </c>
      <c r="R1237" t="s">
        <v>48</v>
      </c>
      <c r="V1237" t="s">
        <v>49</v>
      </c>
      <c r="X1237" t="s">
        <v>49</v>
      </c>
      <c r="Y1237" t="s">
        <v>70</v>
      </c>
      <c r="Z1237" t="s">
        <v>2089</v>
      </c>
      <c r="AA1237" t="s">
        <v>2089</v>
      </c>
    </row>
    <row r="1238" spans="1:27" x14ac:dyDescent="0.35">
      <c r="A1238" t="str">
        <f t="shared" si="39"/>
        <v>1707D7</v>
      </c>
      <c r="B1238" t="str">
        <f t="shared" si="38"/>
        <v>1707</v>
      </c>
      <c r="C1238" t="s">
        <v>2090</v>
      </c>
      <c r="D1238" t="s">
        <v>6</v>
      </c>
      <c r="E1238" t="s">
        <v>94</v>
      </c>
      <c r="F1238" t="s">
        <v>111</v>
      </c>
      <c r="G1238" t="s">
        <v>757</v>
      </c>
      <c r="H1238" t="s">
        <v>42</v>
      </c>
      <c r="I1238" t="s">
        <v>43</v>
      </c>
      <c r="J1238" t="s">
        <v>2082</v>
      </c>
      <c r="M1238" t="s">
        <v>106</v>
      </c>
      <c r="P1238" t="s">
        <v>46</v>
      </c>
      <c r="Q1238" t="s">
        <v>47</v>
      </c>
      <c r="R1238" t="s">
        <v>48</v>
      </c>
      <c r="V1238" t="s">
        <v>49</v>
      </c>
      <c r="X1238" t="s">
        <v>49</v>
      </c>
      <c r="Y1238" t="s">
        <v>59</v>
      </c>
      <c r="Z1238" t="s">
        <v>2027</v>
      </c>
      <c r="AA1238" t="s">
        <v>2080</v>
      </c>
    </row>
    <row r="1239" spans="1:27" x14ac:dyDescent="0.35">
      <c r="A1239" t="str">
        <f t="shared" si="39"/>
        <v>1706F2</v>
      </c>
      <c r="B1239" t="str">
        <f t="shared" si="38"/>
        <v>1706</v>
      </c>
      <c r="C1239" t="s">
        <v>2091</v>
      </c>
      <c r="D1239" t="s">
        <v>4</v>
      </c>
      <c r="E1239" t="s">
        <v>77</v>
      </c>
      <c r="F1239" t="s">
        <v>78</v>
      </c>
      <c r="G1239" t="s">
        <v>757</v>
      </c>
      <c r="H1239" t="s">
        <v>42</v>
      </c>
      <c r="I1239" t="s">
        <v>67</v>
      </c>
      <c r="J1239" t="s">
        <v>2092</v>
      </c>
      <c r="M1239" t="s">
        <v>106</v>
      </c>
      <c r="P1239" t="s">
        <v>273</v>
      </c>
      <c r="Q1239" t="s">
        <v>47</v>
      </c>
      <c r="R1239" t="s">
        <v>48</v>
      </c>
      <c r="V1239" t="s">
        <v>49</v>
      </c>
      <c r="X1239" t="s">
        <v>49</v>
      </c>
      <c r="Y1239" t="s">
        <v>74</v>
      </c>
      <c r="Z1239" t="s">
        <v>2093</v>
      </c>
      <c r="AA1239" t="s">
        <v>2093</v>
      </c>
    </row>
    <row r="1240" spans="1:27" x14ac:dyDescent="0.35">
      <c r="A1240" t="str">
        <f t="shared" si="39"/>
        <v>1706D4</v>
      </c>
      <c r="B1240" t="str">
        <f t="shared" si="38"/>
        <v>1706</v>
      </c>
      <c r="C1240" t="s">
        <v>2094</v>
      </c>
      <c r="D1240" t="s">
        <v>3</v>
      </c>
      <c r="E1240" t="s">
        <v>52</v>
      </c>
      <c r="F1240" t="s">
        <v>53</v>
      </c>
      <c r="G1240" t="s">
        <v>757</v>
      </c>
      <c r="H1240" t="s">
        <v>42</v>
      </c>
      <c r="I1240" t="s">
        <v>43</v>
      </c>
      <c r="J1240" t="s">
        <v>2092</v>
      </c>
      <c r="K1240" t="s">
        <v>56</v>
      </c>
      <c r="M1240" t="s">
        <v>106</v>
      </c>
      <c r="P1240" t="s">
        <v>58</v>
      </c>
      <c r="Q1240" t="s">
        <v>47</v>
      </c>
      <c r="R1240" t="s">
        <v>48</v>
      </c>
      <c r="V1240" t="s">
        <v>49</v>
      </c>
      <c r="X1240" t="s">
        <v>49</v>
      </c>
      <c r="Y1240" t="s">
        <v>59</v>
      </c>
      <c r="Z1240" t="s">
        <v>2095</v>
      </c>
      <c r="AA1240" t="s">
        <v>2095</v>
      </c>
    </row>
    <row r="1241" spans="1:27" x14ac:dyDescent="0.35">
      <c r="A1241" t="str">
        <f t="shared" si="39"/>
        <v>1706D2</v>
      </c>
      <c r="B1241" t="str">
        <f t="shared" si="38"/>
        <v>1706</v>
      </c>
      <c r="C1241" t="s">
        <v>2096</v>
      </c>
      <c r="D1241" t="s">
        <v>2</v>
      </c>
      <c r="E1241" t="s">
        <v>62</v>
      </c>
      <c r="F1241" t="s">
        <v>63</v>
      </c>
      <c r="G1241" t="s">
        <v>757</v>
      </c>
      <c r="H1241" t="s">
        <v>42</v>
      </c>
      <c r="I1241" t="s">
        <v>43</v>
      </c>
      <c r="J1241" t="s">
        <v>2092</v>
      </c>
      <c r="K1241" t="s">
        <v>56</v>
      </c>
      <c r="M1241" t="s">
        <v>106</v>
      </c>
      <c r="P1241" t="s">
        <v>58</v>
      </c>
      <c r="Q1241" t="s">
        <v>47</v>
      </c>
      <c r="R1241" t="s">
        <v>48</v>
      </c>
      <c r="V1241" t="s">
        <v>49</v>
      </c>
      <c r="X1241" t="s">
        <v>49</v>
      </c>
      <c r="Y1241" t="s">
        <v>59</v>
      </c>
      <c r="Z1241" t="s">
        <v>2045</v>
      </c>
      <c r="AA1241" t="s">
        <v>2045</v>
      </c>
    </row>
    <row r="1242" spans="1:27" x14ac:dyDescent="0.35">
      <c r="A1242" t="str">
        <f t="shared" si="39"/>
        <v>1706F3</v>
      </c>
      <c r="B1242" t="str">
        <f t="shared" si="38"/>
        <v>1706</v>
      </c>
      <c r="C1242" t="s">
        <v>2097</v>
      </c>
      <c r="D1242" t="s">
        <v>5</v>
      </c>
      <c r="E1242" t="s">
        <v>40</v>
      </c>
      <c r="F1242" t="s">
        <v>73</v>
      </c>
      <c r="G1242" t="s">
        <v>757</v>
      </c>
      <c r="H1242" t="s">
        <v>42</v>
      </c>
      <c r="I1242" t="s">
        <v>67</v>
      </c>
      <c r="J1242" t="s">
        <v>2092</v>
      </c>
      <c r="M1242" t="s">
        <v>106</v>
      </c>
      <c r="P1242" t="s">
        <v>58</v>
      </c>
      <c r="Q1242" t="s">
        <v>47</v>
      </c>
      <c r="R1242" t="s">
        <v>48</v>
      </c>
      <c r="V1242" t="s">
        <v>49</v>
      </c>
      <c r="X1242" t="s">
        <v>49</v>
      </c>
      <c r="Y1242" t="s">
        <v>74</v>
      </c>
      <c r="Z1242" t="s">
        <v>2087</v>
      </c>
      <c r="AA1242" t="s">
        <v>2087</v>
      </c>
    </row>
    <row r="1243" spans="1:27" x14ac:dyDescent="0.35">
      <c r="A1243" t="str">
        <f t="shared" si="39"/>
        <v>1706C2</v>
      </c>
      <c r="B1243" t="str">
        <f t="shared" si="38"/>
        <v>1706</v>
      </c>
      <c r="C1243" t="s">
        <v>2098</v>
      </c>
      <c r="D1243" t="s">
        <v>1</v>
      </c>
      <c r="E1243" t="s">
        <v>65</v>
      </c>
      <c r="F1243" t="s">
        <v>66</v>
      </c>
      <c r="G1243" t="s">
        <v>757</v>
      </c>
      <c r="H1243" t="s">
        <v>42</v>
      </c>
      <c r="I1243" t="s">
        <v>67</v>
      </c>
      <c r="J1243" t="s">
        <v>2092</v>
      </c>
      <c r="M1243" t="s">
        <v>106</v>
      </c>
      <c r="P1243" t="s">
        <v>69</v>
      </c>
      <c r="Q1243" t="s">
        <v>47</v>
      </c>
      <c r="R1243" t="s">
        <v>48</v>
      </c>
      <c r="V1243" t="s">
        <v>49</v>
      </c>
      <c r="X1243" t="s">
        <v>49</v>
      </c>
      <c r="Y1243" t="s">
        <v>70</v>
      </c>
      <c r="Z1243" t="s">
        <v>225</v>
      </c>
      <c r="AA1243" t="s">
        <v>225</v>
      </c>
    </row>
    <row r="1244" spans="1:27" x14ac:dyDescent="0.35">
      <c r="A1244" t="str">
        <f t="shared" si="39"/>
        <v>1706D7</v>
      </c>
      <c r="B1244" t="str">
        <f t="shared" si="38"/>
        <v>1706</v>
      </c>
      <c r="C1244" t="s">
        <v>2099</v>
      </c>
      <c r="D1244" t="s">
        <v>6</v>
      </c>
      <c r="E1244" t="s">
        <v>94</v>
      </c>
      <c r="F1244" t="s">
        <v>111</v>
      </c>
      <c r="G1244" t="s">
        <v>757</v>
      </c>
      <c r="H1244" t="s">
        <v>42</v>
      </c>
      <c r="I1244" t="s">
        <v>43</v>
      </c>
      <c r="J1244" t="s">
        <v>2092</v>
      </c>
      <c r="M1244" t="s">
        <v>106</v>
      </c>
      <c r="P1244" t="s">
        <v>46</v>
      </c>
      <c r="Q1244" t="s">
        <v>47</v>
      </c>
      <c r="R1244" t="s">
        <v>48</v>
      </c>
      <c r="V1244" t="s">
        <v>49</v>
      </c>
      <c r="X1244" t="s">
        <v>49</v>
      </c>
      <c r="Y1244" t="s">
        <v>59</v>
      </c>
      <c r="Z1244" t="s">
        <v>2100</v>
      </c>
      <c r="AA1244" t="s">
        <v>2100</v>
      </c>
    </row>
    <row r="1245" spans="1:27" x14ac:dyDescent="0.35">
      <c r="A1245" t="str">
        <f t="shared" si="39"/>
        <v>1705F2</v>
      </c>
      <c r="B1245" t="str">
        <f t="shared" si="38"/>
        <v>1705</v>
      </c>
      <c r="C1245" t="s">
        <v>2101</v>
      </c>
      <c r="D1245" t="s">
        <v>4</v>
      </c>
      <c r="E1245" t="s">
        <v>77</v>
      </c>
      <c r="F1245" t="s">
        <v>78</v>
      </c>
      <c r="G1245" t="s">
        <v>757</v>
      </c>
      <c r="H1245" t="s">
        <v>42</v>
      </c>
      <c r="I1245" t="s">
        <v>67</v>
      </c>
      <c r="J1245" t="s">
        <v>2102</v>
      </c>
      <c r="M1245" t="s">
        <v>106</v>
      </c>
      <c r="P1245" t="s">
        <v>178</v>
      </c>
      <c r="Q1245" t="s">
        <v>47</v>
      </c>
      <c r="R1245" t="s">
        <v>48</v>
      </c>
      <c r="V1245" t="s">
        <v>49</v>
      </c>
      <c r="X1245" t="s">
        <v>49</v>
      </c>
      <c r="Y1245" t="s">
        <v>74</v>
      </c>
      <c r="Z1245" t="s">
        <v>2093</v>
      </c>
      <c r="AA1245" t="s">
        <v>2093</v>
      </c>
    </row>
    <row r="1246" spans="1:27" x14ac:dyDescent="0.35">
      <c r="A1246" t="str">
        <f t="shared" si="39"/>
        <v>1705D4</v>
      </c>
      <c r="B1246" t="str">
        <f t="shared" si="38"/>
        <v>1705</v>
      </c>
      <c r="C1246" t="s">
        <v>2103</v>
      </c>
      <c r="D1246" t="s">
        <v>3</v>
      </c>
      <c r="E1246" t="s">
        <v>52</v>
      </c>
      <c r="F1246" t="s">
        <v>53</v>
      </c>
      <c r="G1246" t="s">
        <v>757</v>
      </c>
      <c r="H1246" t="s">
        <v>42</v>
      </c>
      <c r="I1246" t="s">
        <v>43</v>
      </c>
      <c r="J1246" t="s">
        <v>2102</v>
      </c>
      <c r="K1246" t="s">
        <v>56</v>
      </c>
      <c r="M1246" t="s">
        <v>106</v>
      </c>
      <c r="P1246" t="s">
        <v>58</v>
      </c>
      <c r="Q1246" t="s">
        <v>47</v>
      </c>
      <c r="R1246" t="s">
        <v>48</v>
      </c>
      <c r="V1246" t="s">
        <v>49</v>
      </c>
      <c r="X1246" t="s">
        <v>49</v>
      </c>
      <c r="Y1246" t="s">
        <v>59</v>
      </c>
      <c r="Z1246" t="s">
        <v>2104</v>
      </c>
      <c r="AA1246" t="s">
        <v>2104</v>
      </c>
    </row>
    <row r="1247" spans="1:27" x14ac:dyDescent="0.35">
      <c r="A1247" t="str">
        <f t="shared" si="39"/>
        <v>1705D2</v>
      </c>
      <c r="B1247" t="str">
        <f t="shared" si="38"/>
        <v>1705</v>
      </c>
      <c r="C1247" t="s">
        <v>2105</v>
      </c>
      <c r="D1247" t="s">
        <v>2</v>
      </c>
      <c r="E1247" t="s">
        <v>62</v>
      </c>
      <c r="F1247" t="s">
        <v>63</v>
      </c>
      <c r="G1247" t="s">
        <v>757</v>
      </c>
      <c r="H1247" t="s">
        <v>42</v>
      </c>
      <c r="I1247" t="s">
        <v>43</v>
      </c>
      <c r="J1247" t="s">
        <v>2102</v>
      </c>
      <c r="K1247" t="s">
        <v>56</v>
      </c>
      <c r="M1247" t="s">
        <v>106</v>
      </c>
      <c r="P1247" t="s">
        <v>58</v>
      </c>
      <c r="Q1247" t="s">
        <v>47</v>
      </c>
      <c r="R1247" t="s">
        <v>48</v>
      </c>
      <c r="V1247" t="s">
        <v>49</v>
      </c>
      <c r="X1247" t="s">
        <v>49</v>
      </c>
      <c r="Y1247" t="s">
        <v>59</v>
      </c>
      <c r="Z1247" t="s">
        <v>2106</v>
      </c>
      <c r="AA1247" t="s">
        <v>2106</v>
      </c>
    </row>
    <row r="1248" spans="1:27" x14ac:dyDescent="0.35">
      <c r="A1248" t="str">
        <f t="shared" si="39"/>
        <v>1705F3</v>
      </c>
      <c r="B1248" t="str">
        <f t="shared" si="38"/>
        <v>1705</v>
      </c>
      <c r="C1248" t="s">
        <v>2107</v>
      </c>
      <c r="D1248" t="s">
        <v>5</v>
      </c>
      <c r="E1248" t="s">
        <v>40</v>
      </c>
      <c r="F1248" t="s">
        <v>73</v>
      </c>
      <c r="G1248" t="s">
        <v>757</v>
      </c>
      <c r="H1248" t="s">
        <v>42</v>
      </c>
      <c r="I1248" t="s">
        <v>67</v>
      </c>
      <c r="J1248" t="s">
        <v>2102</v>
      </c>
      <c r="M1248" t="s">
        <v>106</v>
      </c>
      <c r="P1248" t="s">
        <v>58</v>
      </c>
      <c r="Q1248" t="s">
        <v>47</v>
      </c>
      <c r="R1248" t="s">
        <v>48</v>
      </c>
      <c r="V1248" t="s">
        <v>49</v>
      </c>
      <c r="X1248" t="s">
        <v>49</v>
      </c>
      <c r="Y1248" t="s">
        <v>74</v>
      </c>
      <c r="Z1248" t="s">
        <v>2087</v>
      </c>
      <c r="AA1248" t="s">
        <v>2087</v>
      </c>
    </row>
    <row r="1249" spans="1:27" x14ac:dyDescent="0.35">
      <c r="A1249" t="str">
        <f t="shared" si="39"/>
        <v>1705C2</v>
      </c>
      <c r="B1249" t="str">
        <f t="shared" si="38"/>
        <v>1705</v>
      </c>
      <c r="C1249" t="s">
        <v>2108</v>
      </c>
      <c r="D1249" t="s">
        <v>1</v>
      </c>
      <c r="E1249" t="s">
        <v>65</v>
      </c>
      <c r="F1249" t="s">
        <v>66</v>
      </c>
      <c r="G1249" t="s">
        <v>757</v>
      </c>
      <c r="H1249" t="s">
        <v>42</v>
      </c>
      <c r="I1249" t="s">
        <v>67</v>
      </c>
      <c r="J1249" t="s">
        <v>2102</v>
      </c>
      <c r="M1249" t="s">
        <v>106</v>
      </c>
      <c r="P1249" t="s">
        <v>69</v>
      </c>
      <c r="Q1249" t="s">
        <v>47</v>
      </c>
      <c r="R1249" t="s">
        <v>48</v>
      </c>
      <c r="V1249" t="s">
        <v>49</v>
      </c>
      <c r="X1249" t="s">
        <v>49</v>
      </c>
      <c r="Y1249" t="s">
        <v>70</v>
      </c>
      <c r="Z1249" t="s">
        <v>2109</v>
      </c>
      <c r="AA1249" t="s">
        <v>2109</v>
      </c>
    </row>
    <row r="1250" spans="1:27" x14ac:dyDescent="0.35">
      <c r="A1250" t="str">
        <f t="shared" si="39"/>
        <v>1705D7</v>
      </c>
      <c r="B1250" t="str">
        <f t="shared" si="38"/>
        <v>1705</v>
      </c>
      <c r="C1250" t="s">
        <v>2110</v>
      </c>
      <c r="D1250" t="s">
        <v>6</v>
      </c>
      <c r="E1250" t="s">
        <v>94</v>
      </c>
      <c r="F1250" t="s">
        <v>111</v>
      </c>
      <c r="G1250" t="s">
        <v>757</v>
      </c>
      <c r="H1250" t="s">
        <v>42</v>
      </c>
      <c r="I1250" t="s">
        <v>43</v>
      </c>
      <c r="J1250" t="s">
        <v>2102</v>
      </c>
      <c r="M1250" t="s">
        <v>106</v>
      </c>
      <c r="P1250" t="s">
        <v>46</v>
      </c>
      <c r="Q1250" t="s">
        <v>47</v>
      </c>
      <c r="R1250" t="s">
        <v>48</v>
      </c>
      <c r="V1250" t="s">
        <v>49</v>
      </c>
      <c r="X1250" t="s">
        <v>49</v>
      </c>
      <c r="Y1250" t="s">
        <v>59</v>
      </c>
      <c r="Z1250" t="s">
        <v>2111</v>
      </c>
      <c r="AA1250" t="s">
        <v>2111</v>
      </c>
    </row>
    <row r="1251" spans="1:27" x14ac:dyDescent="0.35">
      <c r="A1251" t="str">
        <f t="shared" si="39"/>
        <v>907_D4</v>
      </c>
      <c r="B1251" t="str">
        <f t="shared" si="38"/>
        <v>907_</v>
      </c>
      <c r="C1251" t="s">
        <v>2112</v>
      </c>
      <c r="D1251" t="s">
        <v>3</v>
      </c>
      <c r="E1251" t="s">
        <v>52</v>
      </c>
      <c r="F1251" t="s">
        <v>53</v>
      </c>
      <c r="G1251" t="s">
        <v>757</v>
      </c>
      <c r="H1251" t="s">
        <v>42</v>
      </c>
      <c r="I1251" t="s">
        <v>67</v>
      </c>
      <c r="J1251" t="s">
        <v>2062</v>
      </c>
      <c r="K1251" t="s">
        <v>56</v>
      </c>
      <c r="M1251" t="s">
        <v>106</v>
      </c>
      <c r="P1251" t="s">
        <v>58</v>
      </c>
      <c r="Q1251" t="s">
        <v>47</v>
      </c>
      <c r="R1251" t="s">
        <v>48</v>
      </c>
      <c r="V1251" t="s">
        <v>49</v>
      </c>
      <c r="X1251" t="s">
        <v>49</v>
      </c>
      <c r="Y1251" t="s">
        <v>59</v>
      </c>
      <c r="Z1251" t="s">
        <v>2113</v>
      </c>
      <c r="AA1251" t="s">
        <v>2113</v>
      </c>
    </row>
    <row r="1252" spans="1:27" x14ac:dyDescent="0.35">
      <c r="A1252" t="str">
        <f t="shared" si="39"/>
        <v>906_F3</v>
      </c>
      <c r="B1252" t="str">
        <f t="shared" si="38"/>
        <v>906_</v>
      </c>
      <c r="C1252" t="s">
        <v>2114</v>
      </c>
      <c r="D1252" t="s">
        <v>5</v>
      </c>
      <c r="E1252" t="s">
        <v>40</v>
      </c>
      <c r="F1252" t="s">
        <v>73</v>
      </c>
      <c r="G1252" t="s">
        <v>757</v>
      </c>
      <c r="H1252" t="s">
        <v>42</v>
      </c>
      <c r="I1252" t="s">
        <v>67</v>
      </c>
      <c r="J1252" t="s">
        <v>2115</v>
      </c>
      <c r="M1252" t="s">
        <v>106</v>
      </c>
      <c r="P1252" t="s">
        <v>46</v>
      </c>
      <c r="Q1252" t="s">
        <v>47</v>
      </c>
      <c r="R1252" t="s">
        <v>48</v>
      </c>
      <c r="V1252" t="s">
        <v>49</v>
      </c>
      <c r="X1252" t="s">
        <v>49</v>
      </c>
      <c r="Y1252" t="s">
        <v>74</v>
      </c>
      <c r="Z1252" t="s">
        <v>1542</v>
      </c>
      <c r="AA1252" t="s">
        <v>1542</v>
      </c>
    </row>
    <row r="1253" spans="1:27" x14ac:dyDescent="0.35">
      <c r="A1253" t="str">
        <f t="shared" si="39"/>
        <v>906_F2</v>
      </c>
      <c r="B1253" t="str">
        <f t="shared" si="38"/>
        <v>906_</v>
      </c>
      <c r="C1253" t="s">
        <v>2116</v>
      </c>
      <c r="D1253" t="s">
        <v>4</v>
      </c>
      <c r="E1253" t="s">
        <v>77</v>
      </c>
      <c r="F1253" t="s">
        <v>78</v>
      </c>
      <c r="G1253" t="s">
        <v>757</v>
      </c>
      <c r="H1253" t="s">
        <v>42</v>
      </c>
      <c r="I1253" t="s">
        <v>67</v>
      </c>
      <c r="J1253" t="s">
        <v>2115</v>
      </c>
      <c r="M1253" t="s">
        <v>106</v>
      </c>
      <c r="P1253" t="s">
        <v>189</v>
      </c>
      <c r="Q1253" t="s">
        <v>47</v>
      </c>
      <c r="R1253" t="s">
        <v>48</v>
      </c>
      <c r="V1253" t="s">
        <v>49</v>
      </c>
      <c r="X1253" t="s">
        <v>49</v>
      </c>
      <c r="Y1253" t="s">
        <v>74</v>
      </c>
      <c r="Z1253" t="s">
        <v>2049</v>
      </c>
      <c r="AA1253" t="s">
        <v>2049</v>
      </c>
    </row>
    <row r="1254" spans="1:27" x14ac:dyDescent="0.35">
      <c r="A1254" t="str">
        <f t="shared" si="39"/>
        <v>906_C2</v>
      </c>
      <c r="B1254" t="str">
        <f t="shared" si="38"/>
        <v>906_</v>
      </c>
      <c r="C1254" t="s">
        <v>2117</v>
      </c>
      <c r="D1254" t="s">
        <v>1</v>
      </c>
      <c r="E1254" t="s">
        <v>65</v>
      </c>
      <c r="F1254" t="s">
        <v>66</v>
      </c>
      <c r="G1254" t="s">
        <v>757</v>
      </c>
      <c r="H1254" t="s">
        <v>42</v>
      </c>
      <c r="I1254" t="s">
        <v>67</v>
      </c>
      <c r="J1254" t="s">
        <v>2115</v>
      </c>
      <c r="M1254" t="s">
        <v>106</v>
      </c>
      <c r="P1254" t="s">
        <v>69</v>
      </c>
      <c r="Q1254" t="s">
        <v>47</v>
      </c>
      <c r="R1254" t="s">
        <v>48</v>
      </c>
      <c r="V1254" t="s">
        <v>49</v>
      </c>
      <c r="X1254" t="s">
        <v>49</v>
      </c>
      <c r="Y1254" t="s">
        <v>70</v>
      </c>
      <c r="Z1254" t="s">
        <v>2065</v>
      </c>
      <c r="AA1254" t="s">
        <v>2065</v>
      </c>
    </row>
    <row r="1255" spans="1:27" x14ac:dyDescent="0.35">
      <c r="A1255" t="str">
        <f t="shared" si="39"/>
        <v>906_D2</v>
      </c>
      <c r="B1255" t="str">
        <f t="shared" si="38"/>
        <v>906_</v>
      </c>
      <c r="C1255" t="s">
        <v>2118</v>
      </c>
      <c r="D1255" t="s">
        <v>2</v>
      </c>
      <c r="E1255" t="s">
        <v>62</v>
      </c>
      <c r="F1255" t="s">
        <v>63</v>
      </c>
      <c r="G1255" t="s">
        <v>757</v>
      </c>
      <c r="H1255" t="s">
        <v>42</v>
      </c>
      <c r="I1255" t="s">
        <v>67</v>
      </c>
      <c r="J1255" t="s">
        <v>2115</v>
      </c>
      <c r="K1255" t="s">
        <v>56</v>
      </c>
      <c r="M1255" t="s">
        <v>106</v>
      </c>
      <c r="P1255" t="s">
        <v>58</v>
      </c>
      <c r="Q1255" t="s">
        <v>47</v>
      </c>
      <c r="R1255" t="s">
        <v>48</v>
      </c>
      <c r="V1255" t="s">
        <v>49</v>
      </c>
      <c r="X1255" t="s">
        <v>49</v>
      </c>
      <c r="Y1255" t="s">
        <v>59</v>
      </c>
      <c r="Z1255" t="s">
        <v>2067</v>
      </c>
      <c r="AA1255" t="s">
        <v>2067</v>
      </c>
    </row>
    <row r="1256" spans="1:27" x14ac:dyDescent="0.35">
      <c r="A1256" t="str">
        <f t="shared" si="39"/>
        <v>906_D7</v>
      </c>
      <c r="B1256" t="str">
        <f t="shared" si="38"/>
        <v>906_</v>
      </c>
      <c r="C1256" t="s">
        <v>2119</v>
      </c>
      <c r="D1256" t="s">
        <v>6</v>
      </c>
      <c r="E1256" t="s">
        <v>94</v>
      </c>
      <c r="F1256" t="s">
        <v>111</v>
      </c>
      <c r="G1256" t="s">
        <v>757</v>
      </c>
      <c r="H1256" t="s">
        <v>42</v>
      </c>
      <c r="I1256" t="s">
        <v>67</v>
      </c>
      <c r="J1256" t="s">
        <v>2115</v>
      </c>
      <c r="M1256" t="s">
        <v>106</v>
      </c>
      <c r="P1256" t="s">
        <v>46</v>
      </c>
      <c r="Q1256" t="s">
        <v>47</v>
      </c>
      <c r="R1256" t="s">
        <v>48</v>
      </c>
      <c r="V1256" t="s">
        <v>49</v>
      </c>
      <c r="X1256" t="s">
        <v>49</v>
      </c>
      <c r="Y1256" t="s">
        <v>59</v>
      </c>
      <c r="Z1256" t="s">
        <v>2120</v>
      </c>
      <c r="AA1256" t="s">
        <v>2120</v>
      </c>
    </row>
    <row r="1257" spans="1:27" x14ac:dyDescent="0.35">
      <c r="A1257" t="str">
        <f t="shared" si="39"/>
        <v>906_D4</v>
      </c>
      <c r="B1257" t="str">
        <f t="shared" si="38"/>
        <v>906_</v>
      </c>
      <c r="C1257" t="s">
        <v>2121</v>
      </c>
      <c r="D1257" t="s">
        <v>3</v>
      </c>
      <c r="E1257" t="s">
        <v>52</v>
      </c>
      <c r="F1257" t="s">
        <v>53</v>
      </c>
      <c r="G1257" t="s">
        <v>757</v>
      </c>
      <c r="H1257" t="s">
        <v>42</v>
      </c>
      <c r="I1257" t="s">
        <v>67</v>
      </c>
      <c r="J1257" t="s">
        <v>2115</v>
      </c>
      <c r="K1257" t="s">
        <v>56</v>
      </c>
      <c r="M1257" t="s">
        <v>106</v>
      </c>
      <c r="P1257" t="s">
        <v>58</v>
      </c>
      <c r="Q1257" t="s">
        <v>47</v>
      </c>
      <c r="R1257" t="s">
        <v>48</v>
      </c>
      <c r="V1257" t="s">
        <v>49</v>
      </c>
      <c r="X1257" t="s">
        <v>49</v>
      </c>
      <c r="Y1257" t="s">
        <v>59</v>
      </c>
      <c r="Z1257" t="s">
        <v>2113</v>
      </c>
      <c r="AA1257" t="s">
        <v>2113</v>
      </c>
    </row>
    <row r="1258" spans="1:27" x14ac:dyDescent="0.35">
      <c r="A1258" t="str">
        <f t="shared" si="39"/>
        <v>1704F2</v>
      </c>
      <c r="B1258" t="str">
        <f t="shared" si="38"/>
        <v>1704</v>
      </c>
      <c r="C1258" t="s">
        <v>2122</v>
      </c>
      <c r="D1258" t="s">
        <v>4</v>
      </c>
      <c r="E1258" t="s">
        <v>77</v>
      </c>
      <c r="F1258" t="s">
        <v>78</v>
      </c>
      <c r="G1258" t="s">
        <v>757</v>
      </c>
      <c r="H1258" t="s">
        <v>42</v>
      </c>
      <c r="I1258" t="s">
        <v>67</v>
      </c>
      <c r="J1258" t="s">
        <v>2123</v>
      </c>
      <c r="M1258" t="s">
        <v>106</v>
      </c>
      <c r="P1258" t="s">
        <v>710</v>
      </c>
      <c r="Q1258" t="s">
        <v>47</v>
      </c>
      <c r="R1258" t="s">
        <v>48</v>
      </c>
      <c r="V1258" t="s">
        <v>49</v>
      </c>
      <c r="X1258" t="s">
        <v>49</v>
      </c>
      <c r="Y1258" t="s">
        <v>74</v>
      </c>
      <c r="Z1258" t="s">
        <v>2093</v>
      </c>
      <c r="AA1258" t="s">
        <v>2093</v>
      </c>
    </row>
    <row r="1259" spans="1:27" x14ac:dyDescent="0.35">
      <c r="A1259" t="str">
        <f t="shared" si="39"/>
        <v>1704D4</v>
      </c>
      <c r="B1259" t="str">
        <f t="shared" si="38"/>
        <v>1704</v>
      </c>
      <c r="C1259" t="s">
        <v>2124</v>
      </c>
      <c r="D1259" t="s">
        <v>3</v>
      </c>
      <c r="E1259" t="s">
        <v>52</v>
      </c>
      <c r="F1259" t="s">
        <v>53</v>
      </c>
      <c r="G1259" t="s">
        <v>757</v>
      </c>
      <c r="H1259" t="s">
        <v>42</v>
      </c>
      <c r="I1259" t="s">
        <v>43</v>
      </c>
      <c r="J1259" t="s">
        <v>2123</v>
      </c>
      <c r="K1259" t="s">
        <v>56</v>
      </c>
      <c r="M1259" t="s">
        <v>106</v>
      </c>
      <c r="P1259" t="s">
        <v>58</v>
      </c>
      <c r="Q1259" t="s">
        <v>47</v>
      </c>
      <c r="R1259" t="s">
        <v>48</v>
      </c>
      <c r="V1259" t="s">
        <v>49</v>
      </c>
      <c r="X1259" t="s">
        <v>49</v>
      </c>
      <c r="Y1259" t="s">
        <v>59</v>
      </c>
      <c r="Z1259" t="s">
        <v>2125</v>
      </c>
      <c r="AA1259" t="s">
        <v>2125</v>
      </c>
    </row>
    <row r="1260" spans="1:27" x14ac:dyDescent="0.35">
      <c r="A1260" t="str">
        <f t="shared" si="39"/>
        <v>905_F3</v>
      </c>
      <c r="B1260" t="str">
        <f t="shared" si="38"/>
        <v>905_</v>
      </c>
      <c r="C1260" t="s">
        <v>2126</v>
      </c>
      <c r="D1260" t="s">
        <v>5</v>
      </c>
      <c r="E1260" t="s">
        <v>40</v>
      </c>
      <c r="F1260" t="s">
        <v>73</v>
      </c>
      <c r="G1260" t="s">
        <v>757</v>
      </c>
      <c r="H1260" t="s">
        <v>42</v>
      </c>
      <c r="I1260" t="s">
        <v>67</v>
      </c>
      <c r="J1260" t="s">
        <v>2127</v>
      </c>
      <c r="M1260" t="s">
        <v>106</v>
      </c>
      <c r="P1260" t="s">
        <v>46</v>
      </c>
      <c r="Q1260" t="s">
        <v>47</v>
      </c>
      <c r="R1260" t="s">
        <v>48</v>
      </c>
      <c r="V1260" t="s">
        <v>49</v>
      </c>
      <c r="X1260" t="s">
        <v>49</v>
      </c>
      <c r="Y1260" t="s">
        <v>74</v>
      </c>
      <c r="Z1260" t="s">
        <v>1542</v>
      </c>
      <c r="AA1260" t="s">
        <v>1542</v>
      </c>
    </row>
    <row r="1261" spans="1:27" x14ac:dyDescent="0.35">
      <c r="A1261" t="str">
        <f t="shared" si="39"/>
        <v>1704D2</v>
      </c>
      <c r="B1261" t="str">
        <f t="shared" si="38"/>
        <v>1704</v>
      </c>
      <c r="C1261" t="s">
        <v>2128</v>
      </c>
      <c r="D1261" t="s">
        <v>2</v>
      </c>
      <c r="E1261" t="s">
        <v>62</v>
      </c>
      <c r="F1261" t="s">
        <v>63</v>
      </c>
      <c r="G1261" t="s">
        <v>757</v>
      </c>
      <c r="H1261" t="s">
        <v>42</v>
      </c>
      <c r="I1261" t="s">
        <v>43</v>
      </c>
      <c r="J1261" t="s">
        <v>2123</v>
      </c>
      <c r="K1261" t="s">
        <v>56</v>
      </c>
      <c r="M1261" t="s">
        <v>106</v>
      </c>
      <c r="P1261" t="s">
        <v>58</v>
      </c>
      <c r="Q1261" t="s">
        <v>47</v>
      </c>
      <c r="R1261" t="s">
        <v>48</v>
      </c>
      <c r="V1261" t="s">
        <v>49</v>
      </c>
      <c r="X1261" t="s">
        <v>49</v>
      </c>
      <c r="Y1261" t="s">
        <v>59</v>
      </c>
      <c r="Z1261" t="s">
        <v>2125</v>
      </c>
      <c r="AA1261" t="s">
        <v>2125</v>
      </c>
    </row>
    <row r="1262" spans="1:27" x14ac:dyDescent="0.35">
      <c r="A1262" t="str">
        <f t="shared" si="39"/>
        <v>1704F3</v>
      </c>
      <c r="B1262" t="str">
        <f t="shared" si="38"/>
        <v>1704</v>
      </c>
      <c r="C1262" t="s">
        <v>2129</v>
      </c>
      <c r="D1262" t="s">
        <v>5</v>
      </c>
      <c r="E1262" t="s">
        <v>40</v>
      </c>
      <c r="F1262" t="s">
        <v>73</v>
      </c>
      <c r="G1262" t="s">
        <v>757</v>
      </c>
      <c r="H1262" t="s">
        <v>42</v>
      </c>
      <c r="I1262" t="s">
        <v>67</v>
      </c>
      <c r="J1262" t="s">
        <v>2123</v>
      </c>
      <c r="M1262" t="s">
        <v>106</v>
      </c>
      <c r="P1262" t="s">
        <v>69</v>
      </c>
      <c r="Q1262" t="s">
        <v>47</v>
      </c>
      <c r="R1262" t="s">
        <v>48</v>
      </c>
      <c r="V1262" t="s">
        <v>49</v>
      </c>
      <c r="X1262" t="s">
        <v>49</v>
      </c>
      <c r="Y1262" t="s">
        <v>74</v>
      </c>
      <c r="Z1262" t="s">
        <v>2130</v>
      </c>
      <c r="AA1262" t="s">
        <v>2130</v>
      </c>
    </row>
    <row r="1263" spans="1:27" x14ac:dyDescent="0.35">
      <c r="A1263" t="str">
        <f t="shared" si="39"/>
        <v>1704C2</v>
      </c>
      <c r="B1263" t="str">
        <f t="shared" si="38"/>
        <v>1704</v>
      </c>
      <c r="C1263" t="s">
        <v>2131</v>
      </c>
      <c r="D1263" t="s">
        <v>1</v>
      </c>
      <c r="E1263" t="s">
        <v>65</v>
      </c>
      <c r="F1263" t="s">
        <v>66</v>
      </c>
      <c r="G1263" t="s">
        <v>757</v>
      </c>
      <c r="H1263" t="s">
        <v>42</v>
      </c>
      <c r="I1263" t="s">
        <v>67</v>
      </c>
      <c r="J1263" t="s">
        <v>2123</v>
      </c>
      <c r="M1263" t="s">
        <v>106</v>
      </c>
      <c r="P1263" t="s">
        <v>69</v>
      </c>
      <c r="Q1263" t="s">
        <v>47</v>
      </c>
      <c r="R1263" t="s">
        <v>48</v>
      </c>
      <c r="V1263" t="s">
        <v>49</v>
      </c>
      <c r="X1263" t="s">
        <v>49</v>
      </c>
      <c r="Y1263" t="s">
        <v>70</v>
      </c>
      <c r="Z1263" t="s">
        <v>2132</v>
      </c>
      <c r="AA1263" t="s">
        <v>2133</v>
      </c>
    </row>
    <row r="1264" spans="1:27" x14ac:dyDescent="0.35">
      <c r="A1264" t="str">
        <f t="shared" si="39"/>
        <v>1704D7</v>
      </c>
      <c r="B1264" t="str">
        <f t="shared" si="38"/>
        <v>1704</v>
      </c>
      <c r="C1264" t="s">
        <v>2134</v>
      </c>
      <c r="D1264" t="s">
        <v>6</v>
      </c>
      <c r="E1264" t="s">
        <v>94</v>
      </c>
      <c r="F1264" t="s">
        <v>111</v>
      </c>
      <c r="G1264" t="s">
        <v>757</v>
      </c>
      <c r="H1264" t="s">
        <v>42</v>
      </c>
      <c r="I1264" t="s">
        <v>43</v>
      </c>
      <c r="J1264" t="s">
        <v>2123</v>
      </c>
      <c r="M1264" t="s">
        <v>106</v>
      </c>
      <c r="P1264" t="s">
        <v>46</v>
      </c>
      <c r="Q1264" t="s">
        <v>47</v>
      </c>
      <c r="R1264" t="s">
        <v>48</v>
      </c>
      <c r="V1264" t="s">
        <v>49</v>
      </c>
      <c r="X1264" t="s">
        <v>49</v>
      </c>
      <c r="Y1264" t="s">
        <v>59</v>
      </c>
      <c r="Z1264" t="s">
        <v>2135</v>
      </c>
      <c r="AA1264" t="s">
        <v>2135</v>
      </c>
    </row>
    <row r="1265" spans="1:27" x14ac:dyDescent="0.35">
      <c r="A1265" t="str">
        <f t="shared" si="39"/>
        <v>905_F2</v>
      </c>
      <c r="B1265" t="str">
        <f t="shared" si="38"/>
        <v>905_</v>
      </c>
      <c r="C1265" t="s">
        <v>2136</v>
      </c>
      <c r="D1265" t="s">
        <v>4</v>
      </c>
      <c r="E1265" t="s">
        <v>77</v>
      </c>
      <c r="F1265" t="s">
        <v>78</v>
      </c>
      <c r="G1265" t="s">
        <v>757</v>
      </c>
      <c r="H1265" t="s">
        <v>42</v>
      </c>
      <c r="I1265" t="s">
        <v>67</v>
      </c>
      <c r="J1265" t="s">
        <v>2127</v>
      </c>
      <c r="M1265" t="s">
        <v>106</v>
      </c>
      <c r="P1265" t="s">
        <v>178</v>
      </c>
      <c r="Q1265" t="s">
        <v>47</v>
      </c>
      <c r="R1265" t="s">
        <v>48</v>
      </c>
      <c r="V1265" t="s">
        <v>49</v>
      </c>
      <c r="X1265" t="s">
        <v>49</v>
      </c>
      <c r="Y1265" t="s">
        <v>74</v>
      </c>
      <c r="Z1265" t="s">
        <v>2137</v>
      </c>
      <c r="AA1265" t="s">
        <v>2137</v>
      </c>
    </row>
    <row r="1266" spans="1:27" x14ac:dyDescent="0.35">
      <c r="A1266" t="str">
        <f t="shared" si="39"/>
        <v>905_C2</v>
      </c>
      <c r="B1266" t="str">
        <f t="shared" si="38"/>
        <v>905_</v>
      </c>
      <c r="C1266" t="s">
        <v>2138</v>
      </c>
      <c r="D1266" t="s">
        <v>1</v>
      </c>
      <c r="E1266" t="s">
        <v>65</v>
      </c>
      <c r="F1266" t="s">
        <v>66</v>
      </c>
      <c r="G1266" t="s">
        <v>757</v>
      </c>
      <c r="H1266" t="s">
        <v>42</v>
      </c>
      <c r="I1266" t="s">
        <v>67</v>
      </c>
      <c r="J1266" t="s">
        <v>2127</v>
      </c>
      <c r="M1266" t="s">
        <v>106</v>
      </c>
      <c r="P1266" t="s">
        <v>69</v>
      </c>
      <c r="Q1266" t="s">
        <v>47</v>
      </c>
      <c r="R1266" t="s">
        <v>48</v>
      </c>
      <c r="V1266" t="s">
        <v>49</v>
      </c>
      <c r="X1266" t="s">
        <v>49</v>
      </c>
      <c r="Y1266" t="s">
        <v>70</v>
      </c>
      <c r="Z1266" t="s">
        <v>2139</v>
      </c>
      <c r="AA1266" t="s">
        <v>2139</v>
      </c>
    </row>
    <row r="1267" spans="1:27" x14ac:dyDescent="0.35">
      <c r="A1267" t="str">
        <f t="shared" si="39"/>
        <v>905_D2</v>
      </c>
      <c r="B1267" t="str">
        <f t="shared" si="38"/>
        <v>905_</v>
      </c>
      <c r="C1267" t="s">
        <v>2140</v>
      </c>
      <c r="D1267" t="s">
        <v>2</v>
      </c>
      <c r="E1267" t="s">
        <v>62</v>
      </c>
      <c r="F1267" t="s">
        <v>63</v>
      </c>
      <c r="G1267" t="s">
        <v>757</v>
      </c>
      <c r="H1267" t="s">
        <v>42</v>
      </c>
      <c r="I1267" t="s">
        <v>67</v>
      </c>
      <c r="J1267" t="s">
        <v>2127</v>
      </c>
      <c r="K1267" t="s">
        <v>56</v>
      </c>
      <c r="M1267" t="s">
        <v>106</v>
      </c>
      <c r="P1267" t="s">
        <v>58</v>
      </c>
      <c r="Q1267" t="s">
        <v>47</v>
      </c>
      <c r="R1267" t="s">
        <v>48</v>
      </c>
      <c r="V1267" t="s">
        <v>49</v>
      </c>
      <c r="X1267" t="s">
        <v>49</v>
      </c>
      <c r="Y1267" t="s">
        <v>59</v>
      </c>
      <c r="Z1267" t="s">
        <v>2141</v>
      </c>
      <c r="AA1267" t="s">
        <v>2141</v>
      </c>
    </row>
    <row r="1268" spans="1:27" x14ac:dyDescent="0.35">
      <c r="A1268" t="str">
        <f t="shared" si="39"/>
        <v>905_D7</v>
      </c>
      <c r="B1268" t="str">
        <f t="shared" si="38"/>
        <v>905_</v>
      </c>
      <c r="C1268" t="s">
        <v>2142</v>
      </c>
      <c r="D1268" t="s">
        <v>6</v>
      </c>
      <c r="E1268" t="s">
        <v>94</v>
      </c>
      <c r="F1268" t="s">
        <v>111</v>
      </c>
      <c r="G1268" t="s">
        <v>757</v>
      </c>
      <c r="H1268" t="s">
        <v>42</v>
      </c>
      <c r="I1268" t="s">
        <v>67</v>
      </c>
      <c r="J1268" t="s">
        <v>2127</v>
      </c>
      <c r="M1268" t="s">
        <v>106</v>
      </c>
      <c r="P1268" t="s">
        <v>46</v>
      </c>
      <c r="Q1268" t="s">
        <v>47</v>
      </c>
      <c r="R1268" t="s">
        <v>48</v>
      </c>
      <c r="V1268" t="s">
        <v>49</v>
      </c>
      <c r="X1268" t="s">
        <v>49</v>
      </c>
      <c r="Y1268" t="s">
        <v>59</v>
      </c>
      <c r="Z1268" t="s">
        <v>2143</v>
      </c>
      <c r="AA1268" t="s">
        <v>2120</v>
      </c>
    </row>
    <row r="1269" spans="1:27" x14ac:dyDescent="0.35">
      <c r="A1269" t="str">
        <f t="shared" si="39"/>
        <v>905_D4</v>
      </c>
      <c r="B1269" t="str">
        <f t="shared" si="38"/>
        <v>905_</v>
      </c>
      <c r="C1269" t="s">
        <v>2144</v>
      </c>
      <c r="D1269" t="s">
        <v>3</v>
      </c>
      <c r="E1269" t="s">
        <v>52</v>
      </c>
      <c r="F1269" t="s">
        <v>53</v>
      </c>
      <c r="G1269" t="s">
        <v>757</v>
      </c>
      <c r="H1269" t="s">
        <v>42</v>
      </c>
      <c r="I1269" t="s">
        <v>67</v>
      </c>
      <c r="J1269" t="s">
        <v>2127</v>
      </c>
      <c r="K1269" t="s">
        <v>56</v>
      </c>
      <c r="M1269" t="s">
        <v>106</v>
      </c>
      <c r="P1269" t="s">
        <v>58</v>
      </c>
      <c r="Q1269" t="s">
        <v>47</v>
      </c>
      <c r="R1269" t="s">
        <v>48</v>
      </c>
      <c r="V1269" t="s">
        <v>49</v>
      </c>
      <c r="X1269" t="s">
        <v>49</v>
      </c>
      <c r="Y1269" t="s">
        <v>59</v>
      </c>
      <c r="Z1269" t="s">
        <v>2145</v>
      </c>
      <c r="AA1269" t="s">
        <v>2145</v>
      </c>
    </row>
    <row r="1270" spans="1:27" x14ac:dyDescent="0.35">
      <c r="A1270" t="str">
        <f t="shared" si="39"/>
        <v>904_F3</v>
      </c>
      <c r="B1270" t="str">
        <f t="shared" si="38"/>
        <v>904_</v>
      </c>
      <c r="C1270" t="s">
        <v>2146</v>
      </c>
      <c r="D1270" t="s">
        <v>5</v>
      </c>
      <c r="E1270" t="s">
        <v>40</v>
      </c>
      <c r="F1270" t="s">
        <v>73</v>
      </c>
      <c r="G1270" t="s">
        <v>757</v>
      </c>
      <c r="H1270" t="s">
        <v>42</v>
      </c>
      <c r="I1270" t="s">
        <v>67</v>
      </c>
      <c r="J1270" t="s">
        <v>2147</v>
      </c>
      <c r="M1270" t="s">
        <v>106</v>
      </c>
      <c r="P1270" t="s">
        <v>46</v>
      </c>
      <c r="Q1270" t="s">
        <v>47</v>
      </c>
      <c r="R1270" t="s">
        <v>48</v>
      </c>
      <c r="V1270" t="s">
        <v>49</v>
      </c>
      <c r="X1270" t="s">
        <v>49</v>
      </c>
      <c r="Y1270" t="s">
        <v>74</v>
      </c>
      <c r="Z1270" t="s">
        <v>2148</v>
      </c>
      <c r="AA1270" t="s">
        <v>2148</v>
      </c>
    </row>
    <row r="1271" spans="1:27" x14ac:dyDescent="0.35">
      <c r="A1271" t="str">
        <f t="shared" si="39"/>
        <v>904_F2</v>
      </c>
      <c r="B1271" t="str">
        <f t="shared" si="38"/>
        <v>904_</v>
      </c>
      <c r="C1271" t="s">
        <v>2149</v>
      </c>
      <c r="D1271" t="s">
        <v>4</v>
      </c>
      <c r="E1271" t="s">
        <v>77</v>
      </c>
      <c r="F1271" t="s">
        <v>78</v>
      </c>
      <c r="G1271" t="s">
        <v>757</v>
      </c>
      <c r="H1271" t="s">
        <v>42</v>
      </c>
      <c r="I1271" t="s">
        <v>67</v>
      </c>
      <c r="J1271" t="s">
        <v>2147</v>
      </c>
      <c r="M1271" t="s">
        <v>106</v>
      </c>
      <c r="P1271" t="s">
        <v>138</v>
      </c>
      <c r="Q1271" t="s">
        <v>47</v>
      </c>
      <c r="R1271" t="s">
        <v>48</v>
      </c>
      <c r="V1271" t="s">
        <v>49</v>
      </c>
      <c r="X1271" t="s">
        <v>49</v>
      </c>
      <c r="Y1271" t="s">
        <v>74</v>
      </c>
      <c r="Z1271" t="s">
        <v>2137</v>
      </c>
      <c r="AA1271" t="s">
        <v>2137</v>
      </c>
    </row>
    <row r="1272" spans="1:27" x14ac:dyDescent="0.35">
      <c r="A1272" t="str">
        <f t="shared" si="39"/>
        <v>904_C2</v>
      </c>
      <c r="B1272" t="str">
        <f t="shared" si="38"/>
        <v>904_</v>
      </c>
      <c r="C1272" t="s">
        <v>2150</v>
      </c>
      <c r="D1272" t="s">
        <v>1</v>
      </c>
      <c r="E1272" t="s">
        <v>65</v>
      </c>
      <c r="F1272" t="s">
        <v>66</v>
      </c>
      <c r="G1272" t="s">
        <v>757</v>
      </c>
      <c r="H1272" t="s">
        <v>42</v>
      </c>
      <c r="I1272" t="s">
        <v>67</v>
      </c>
      <c r="J1272" t="s">
        <v>2147</v>
      </c>
      <c r="M1272" t="s">
        <v>106</v>
      </c>
      <c r="P1272" t="s">
        <v>69</v>
      </c>
      <c r="Q1272" t="s">
        <v>47</v>
      </c>
      <c r="R1272" t="s">
        <v>48</v>
      </c>
      <c r="V1272" t="s">
        <v>49</v>
      </c>
      <c r="X1272" t="s">
        <v>49</v>
      </c>
      <c r="Y1272" t="s">
        <v>70</v>
      </c>
      <c r="Z1272" t="s">
        <v>2151</v>
      </c>
      <c r="AA1272" t="s">
        <v>2152</v>
      </c>
    </row>
    <row r="1273" spans="1:27" x14ac:dyDescent="0.35">
      <c r="A1273" t="str">
        <f t="shared" si="39"/>
        <v>1703F2</v>
      </c>
      <c r="B1273" t="str">
        <f t="shared" si="38"/>
        <v>1703</v>
      </c>
      <c r="C1273" t="s">
        <v>2153</v>
      </c>
      <c r="D1273" t="s">
        <v>4</v>
      </c>
      <c r="E1273" t="s">
        <v>77</v>
      </c>
      <c r="F1273" t="s">
        <v>78</v>
      </c>
      <c r="G1273" t="s">
        <v>757</v>
      </c>
      <c r="H1273" t="s">
        <v>42</v>
      </c>
      <c r="I1273" t="s">
        <v>67</v>
      </c>
      <c r="J1273" t="s">
        <v>2154</v>
      </c>
      <c r="M1273" t="s">
        <v>106</v>
      </c>
      <c r="P1273" t="s">
        <v>91</v>
      </c>
      <c r="Q1273" t="s">
        <v>47</v>
      </c>
      <c r="R1273" t="s">
        <v>48</v>
      </c>
      <c r="V1273" t="s">
        <v>49</v>
      </c>
      <c r="X1273" t="s">
        <v>49</v>
      </c>
      <c r="Y1273" t="s">
        <v>74</v>
      </c>
      <c r="Z1273" t="s">
        <v>2155</v>
      </c>
      <c r="AA1273" t="s">
        <v>2155</v>
      </c>
    </row>
    <row r="1274" spans="1:27" x14ac:dyDescent="0.35">
      <c r="A1274" t="str">
        <f t="shared" si="39"/>
        <v>904_D2</v>
      </c>
      <c r="B1274" t="str">
        <f t="shared" si="38"/>
        <v>904_</v>
      </c>
      <c r="C1274" t="s">
        <v>2156</v>
      </c>
      <c r="D1274" t="s">
        <v>2</v>
      </c>
      <c r="E1274" t="s">
        <v>62</v>
      </c>
      <c r="F1274" t="s">
        <v>63</v>
      </c>
      <c r="G1274" t="s">
        <v>757</v>
      </c>
      <c r="H1274" t="s">
        <v>42</v>
      </c>
      <c r="I1274" t="s">
        <v>67</v>
      </c>
      <c r="J1274" t="s">
        <v>2147</v>
      </c>
      <c r="K1274" t="s">
        <v>56</v>
      </c>
      <c r="M1274" t="s">
        <v>106</v>
      </c>
      <c r="P1274" t="s">
        <v>58</v>
      </c>
      <c r="Q1274" t="s">
        <v>47</v>
      </c>
      <c r="R1274" t="s">
        <v>48</v>
      </c>
      <c r="V1274" t="s">
        <v>49</v>
      </c>
      <c r="X1274" t="s">
        <v>49</v>
      </c>
      <c r="Y1274" t="s">
        <v>59</v>
      </c>
      <c r="Z1274" t="s">
        <v>2157</v>
      </c>
      <c r="AA1274" t="s">
        <v>2157</v>
      </c>
    </row>
    <row r="1275" spans="1:27" x14ac:dyDescent="0.35">
      <c r="A1275" t="str">
        <f t="shared" si="39"/>
        <v>1703D4</v>
      </c>
      <c r="B1275" t="str">
        <f t="shared" si="38"/>
        <v>1703</v>
      </c>
      <c r="C1275" t="s">
        <v>2158</v>
      </c>
      <c r="D1275" t="s">
        <v>3</v>
      </c>
      <c r="E1275" t="s">
        <v>52</v>
      </c>
      <c r="F1275" t="s">
        <v>53</v>
      </c>
      <c r="G1275" t="s">
        <v>757</v>
      </c>
      <c r="H1275" t="s">
        <v>42</v>
      </c>
      <c r="I1275" t="s">
        <v>43</v>
      </c>
      <c r="J1275" t="s">
        <v>2154</v>
      </c>
      <c r="K1275" t="s">
        <v>56</v>
      </c>
      <c r="M1275" t="s">
        <v>106</v>
      </c>
      <c r="P1275" t="s">
        <v>58</v>
      </c>
      <c r="Q1275" t="s">
        <v>47</v>
      </c>
      <c r="R1275" t="s">
        <v>48</v>
      </c>
      <c r="V1275" t="s">
        <v>49</v>
      </c>
      <c r="X1275" t="s">
        <v>49</v>
      </c>
      <c r="Y1275" t="s">
        <v>59</v>
      </c>
      <c r="Z1275" t="s">
        <v>2159</v>
      </c>
      <c r="AA1275" t="s">
        <v>2159</v>
      </c>
    </row>
    <row r="1276" spans="1:27" x14ac:dyDescent="0.35">
      <c r="A1276" t="str">
        <f t="shared" si="39"/>
        <v>904_D7</v>
      </c>
      <c r="B1276" t="str">
        <f t="shared" si="38"/>
        <v>904_</v>
      </c>
      <c r="C1276" t="s">
        <v>2160</v>
      </c>
      <c r="D1276" t="s">
        <v>6</v>
      </c>
      <c r="E1276" t="s">
        <v>94</v>
      </c>
      <c r="F1276" t="s">
        <v>111</v>
      </c>
      <c r="G1276" t="s">
        <v>757</v>
      </c>
      <c r="H1276" t="s">
        <v>42</v>
      </c>
      <c r="I1276" t="s">
        <v>67</v>
      </c>
      <c r="J1276" t="s">
        <v>2147</v>
      </c>
      <c r="M1276" t="s">
        <v>106</v>
      </c>
      <c r="P1276" t="s">
        <v>46</v>
      </c>
      <c r="Q1276" t="s">
        <v>47</v>
      </c>
      <c r="R1276" t="s">
        <v>48</v>
      </c>
      <c r="V1276" t="s">
        <v>49</v>
      </c>
      <c r="X1276" t="s">
        <v>49</v>
      </c>
      <c r="Y1276" t="s">
        <v>59</v>
      </c>
      <c r="Z1276" t="s">
        <v>2161</v>
      </c>
      <c r="AA1276" t="s">
        <v>2161</v>
      </c>
    </row>
    <row r="1277" spans="1:27" x14ac:dyDescent="0.35">
      <c r="A1277" t="str">
        <f t="shared" si="39"/>
        <v>904_D4</v>
      </c>
      <c r="B1277" t="str">
        <f t="shared" si="38"/>
        <v>904_</v>
      </c>
      <c r="C1277" t="s">
        <v>2162</v>
      </c>
      <c r="D1277" t="s">
        <v>3</v>
      </c>
      <c r="E1277" t="s">
        <v>52</v>
      </c>
      <c r="F1277" t="s">
        <v>53</v>
      </c>
      <c r="G1277" t="s">
        <v>757</v>
      </c>
      <c r="H1277" t="s">
        <v>42</v>
      </c>
      <c r="I1277" t="s">
        <v>67</v>
      </c>
      <c r="J1277" t="s">
        <v>2147</v>
      </c>
      <c r="K1277" t="s">
        <v>56</v>
      </c>
      <c r="M1277" t="s">
        <v>106</v>
      </c>
      <c r="P1277" t="s">
        <v>69</v>
      </c>
      <c r="Q1277" t="s">
        <v>47</v>
      </c>
      <c r="R1277" t="s">
        <v>48</v>
      </c>
      <c r="V1277" t="s">
        <v>49</v>
      </c>
      <c r="X1277" t="s">
        <v>49</v>
      </c>
      <c r="Y1277" t="s">
        <v>59</v>
      </c>
      <c r="Z1277" t="s">
        <v>2163</v>
      </c>
      <c r="AA1277" t="s">
        <v>2157</v>
      </c>
    </row>
    <row r="1278" spans="1:27" x14ac:dyDescent="0.35">
      <c r="A1278" t="str">
        <f t="shared" si="39"/>
        <v>1703D2</v>
      </c>
      <c r="B1278" t="str">
        <f t="shared" si="38"/>
        <v>1703</v>
      </c>
      <c r="C1278" t="s">
        <v>2164</v>
      </c>
      <c r="D1278" t="s">
        <v>2</v>
      </c>
      <c r="E1278" t="s">
        <v>62</v>
      </c>
      <c r="F1278" t="s">
        <v>63</v>
      </c>
      <c r="G1278" t="s">
        <v>757</v>
      </c>
      <c r="H1278" t="s">
        <v>42</v>
      </c>
      <c r="I1278" t="s">
        <v>43</v>
      </c>
      <c r="J1278" t="s">
        <v>2154</v>
      </c>
      <c r="K1278" t="s">
        <v>56</v>
      </c>
      <c r="M1278" t="s">
        <v>106</v>
      </c>
      <c r="P1278" t="s">
        <v>58</v>
      </c>
      <c r="Q1278" t="s">
        <v>47</v>
      </c>
      <c r="R1278" t="s">
        <v>48</v>
      </c>
      <c r="V1278" t="s">
        <v>49</v>
      </c>
      <c r="X1278" t="s">
        <v>49</v>
      </c>
      <c r="Y1278" t="s">
        <v>59</v>
      </c>
      <c r="Z1278" t="s">
        <v>2159</v>
      </c>
      <c r="AA1278" t="s">
        <v>2159</v>
      </c>
    </row>
    <row r="1279" spans="1:27" x14ac:dyDescent="0.35">
      <c r="A1279" t="str">
        <f t="shared" si="39"/>
        <v>1703F3</v>
      </c>
      <c r="B1279" t="str">
        <f t="shared" si="38"/>
        <v>1703</v>
      </c>
      <c r="C1279" t="s">
        <v>2165</v>
      </c>
      <c r="D1279" t="s">
        <v>5</v>
      </c>
      <c r="E1279" t="s">
        <v>40</v>
      </c>
      <c r="F1279" t="s">
        <v>73</v>
      </c>
      <c r="G1279" t="s">
        <v>757</v>
      </c>
      <c r="H1279" t="s">
        <v>42</v>
      </c>
      <c r="I1279" t="s">
        <v>67</v>
      </c>
      <c r="J1279" t="s">
        <v>2154</v>
      </c>
      <c r="M1279" t="s">
        <v>106</v>
      </c>
      <c r="P1279" t="s">
        <v>58</v>
      </c>
      <c r="Q1279" t="s">
        <v>47</v>
      </c>
      <c r="R1279" t="s">
        <v>48</v>
      </c>
      <c r="V1279" t="s">
        <v>49</v>
      </c>
      <c r="X1279" t="s">
        <v>49</v>
      </c>
      <c r="Y1279" t="s">
        <v>74</v>
      </c>
      <c r="Z1279" t="s">
        <v>2166</v>
      </c>
      <c r="AA1279" t="s">
        <v>2166</v>
      </c>
    </row>
    <row r="1280" spans="1:27" x14ac:dyDescent="0.35">
      <c r="A1280" t="str">
        <f t="shared" si="39"/>
        <v>903_F3</v>
      </c>
      <c r="B1280" t="str">
        <f t="shared" si="38"/>
        <v>903_</v>
      </c>
      <c r="C1280" t="s">
        <v>2167</v>
      </c>
      <c r="D1280" t="s">
        <v>5</v>
      </c>
      <c r="E1280" t="s">
        <v>40</v>
      </c>
      <c r="F1280" t="s">
        <v>73</v>
      </c>
      <c r="G1280" t="s">
        <v>757</v>
      </c>
      <c r="H1280" t="s">
        <v>42</v>
      </c>
      <c r="I1280" t="s">
        <v>67</v>
      </c>
      <c r="J1280" t="s">
        <v>2168</v>
      </c>
      <c r="M1280" t="s">
        <v>106</v>
      </c>
      <c r="P1280" t="s">
        <v>46</v>
      </c>
      <c r="Q1280" t="s">
        <v>47</v>
      </c>
      <c r="R1280" t="s">
        <v>48</v>
      </c>
      <c r="V1280" t="s">
        <v>49</v>
      </c>
      <c r="X1280" t="s">
        <v>49</v>
      </c>
      <c r="Y1280" t="s">
        <v>74</v>
      </c>
      <c r="Z1280" t="s">
        <v>2148</v>
      </c>
      <c r="AA1280" t="s">
        <v>2148</v>
      </c>
    </row>
    <row r="1281" spans="1:27" x14ac:dyDescent="0.35">
      <c r="A1281" t="str">
        <f t="shared" si="39"/>
        <v>1703C2</v>
      </c>
      <c r="B1281" t="str">
        <f t="shared" si="38"/>
        <v>1703</v>
      </c>
      <c r="C1281" t="s">
        <v>2169</v>
      </c>
      <c r="D1281" t="s">
        <v>1</v>
      </c>
      <c r="E1281" t="s">
        <v>65</v>
      </c>
      <c r="F1281" t="s">
        <v>66</v>
      </c>
      <c r="G1281" t="s">
        <v>757</v>
      </c>
      <c r="H1281" t="s">
        <v>42</v>
      </c>
      <c r="I1281" t="s">
        <v>67</v>
      </c>
      <c r="J1281" t="s">
        <v>2154</v>
      </c>
      <c r="M1281" t="s">
        <v>106</v>
      </c>
      <c r="P1281" t="s">
        <v>69</v>
      </c>
      <c r="Q1281" t="s">
        <v>47</v>
      </c>
      <c r="R1281" t="s">
        <v>48</v>
      </c>
      <c r="V1281" t="s">
        <v>49</v>
      </c>
      <c r="X1281" t="s">
        <v>49</v>
      </c>
      <c r="Y1281" t="s">
        <v>70</v>
      </c>
      <c r="Z1281" t="s">
        <v>2170</v>
      </c>
      <c r="AA1281" t="s">
        <v>2171</v>
      </c>
    </row>
    <row r="1282" spans="1:27" x14ac:dyDescent="0.35">
      <c r="A1282" t="str">
        <f t="shared" si="39"/>
        <v>1703D7</v>
      </c>
      <c r="B1282" t="str">
        <f t="shared" ref="B1282:B1345" si="40">LEFT($J:$J,4)</f>
        <v>1703</v>
      </c>
      <c r="C1282" t="s">
        <v>2172</v>
      </c>
      <c r="D1282" t="s">
        <v>6</v>
      </c>
      <c r="E1282" t="s">
        <v>94</v>
      </c>
      <c r="F1282" t="s">
        <v>111</v>
      </c>
      <c r="G1282" t="s">
        <v>757</v>
      </c>
      <c r="H1282" t="s">
        <v>42</v>
      </c>
      <c r="I1282" t="s">
        <v>43</v>
      </c>
      <c r="J1282" t="s">
        <v>2154</v>
      </c>
      <c r="M1282" t="s">
        <v>106</v>
      </c>
      <c r="P1282" t="s">
        <v>46</v>
      </c>
      <c r="Q1282" t="s">
        <v>47</v>
      </c>
      <c r="R1282" t="s">
        <v>48</v>
      </c>
      <c r="V1282" t="s">
        <v>49</v>
      </c>
      <c r="X1282" t="s">
        <v>49</v>
      </c>
      <c r="Y1282" t="s">
        <v>59</v>
      </c>
      <c r="Z1282" t="s">
        <v>2173</v>
      </c>
      <c r="AA1282" t="s">
        <v>2173</v>
      </c>
    </row>
    <row r="1283" spans="1:27" x14ac:dyDescent="0.35">
      <c r="A1283" t="str">
        <f t="shared" ref="A1283:A1346" si="41">B1283&amp;D1283</f>
        <v>903_F2</v>
      </c>
      <c r="B1283" t="str">
        <f t="shared" si="40"/>
        <v>903_</v>
      </c>
      <c r="C1283" t="s">
        <v>2174</v>
      </c>
      <c r="D1283" t="s">
        <v>4</v>
      </c>
      <c r="E1283" t="s">
        <v>77</v>
      </c>
      <c r="F1283" t="s">
        <v>78</v>
      </c>
      <c r="G1283" t="s">
        <v>757</v>
      </c>
      <c r="H1283" t="s">
        <v>42</v>
      </c>
      <c r="I1283" t="s">
        <v>67</v>
      </c>
      <c r="J1283" t="s">
        <v>2168</v>
      </c>
      <c r="M1283" t="s">
        <v>106</v>
      </c>
      <c r="P1283" t="s">
        <v>138</v>
      </c>
      <c r="Q1283" t="s">
        <v>47</v>
      </c>
      <c r="R1283" t="s">
        <v>48</v>
      </c>
      <c r="V1283" t="s">
        <v>49</v>
      </c>
      <c r="X1283" t="s">
        <v>49</v>
      </c>
      <c r="Y1283" t="s">
        <v>74</v>
      </c>
      <c r="Z1283" t="s">
        <v>2137</v>
      </c>
      <c r="AA1283" t="s">
        <v>2137</v>
      </c>
    </row>
    <row r="1284" spans="1:27" x14ac:dyDescent="0.35">
      <c r="A1284" t="str">
        <f t="shared" si="41"/>
        <v>903_C2</v>
      </c>
      <c r="B1284" t="str">
        <f t="shared" si="40"/>
        <v>903_</v>
      </c>
      <c r="C1284" t="s">
        <v>2175</v>
      </c>
      <c r="D1284" t="s">
        <v>1</v>
      </c>
      <c r="E1284" t="s">
        <v>65</v>
      </c>
      <c r="F1284" t="s">
        <v>66</v>
      </c>
      <c r="G1284" t="s">
        <v>757</v>
      </c>
      <c r="H1284" t="s">
        <v>42</v>
      </c>
      <c r="I1284" t="s">
        <v>67</v>
      </c>
      <c r="J1284" t="s">
        <v>2168</v>
      </c>
      <c r="M1284" t="s">
        <v>106</v>
      </c>
      <c r="P1284" t="s">
        <v>69</v>
      </c>
      <c r="Q1284" t="s">
        <v>47</v>
      </c>
      <c r="R1284" t="s">
        <v>48</v>
      </c>
      <c r="V1284" t="s">
        <v>49</v>
      </c>
      <c r="X1284" t="s">
        <v>49</v>
      </c>
      <c r="Y1284" t="s">
        <v>70</v>
      </c>
      <c r="Z1284" t="s">
        <v>2065</v>
      </c>
      <c r="AA1284" t="s">
        <v>2065</v>
      </c>
    </row>
    <row r="1285" spans="1:27" x14ac:dyDescent="0.35">
      <c r="A1285" t="str">
        <f t="shared" si="41"/>
        <v>903_D2</v>
      </c>
      <c r="B1285" t="str">
        <f t="shared" si="40"/>
        <v>903_</v>
      </c>
      <c r="C1285" t="s">
        <v>2176</v>
      </c>
      <c r="D1285" t="s">
        <v>2</v>
      </c>
      <c r="E1285" t="s">
        <v>62</v>
      </c>
      <c r="F1285" t="s">
        <v>63</v>
      </c>
      <c r="G1285" t="s">
        <v>757</v>
      </c>
      <c r="H1285" t="s">
        <v>42</v>
      </c>
      <c r="I1285" t="s">
        <v>67</v>
      </c>
      <c r="J1285" t="s">
        <v>2168</v>
      </c>
      <c r="K1285" t="s">
        <v>56</v>
      </c>
      <c r="M1285" t="s">
        <v>106</v>
      </c>
      <c r="P1285" t="s">
        <v>58</v>
      </c>
      <c r="Q1285" t="s">
        <v>47</v>
      </c>
      <c r="R1285" t="s">
        <v>48</v>
      </c>
      <c r="V1285" t="s">
        <v>49</v>
      </c>
      <c r="X1285" t="s">
        <v>49</v>
      </c>
      <c r="Y1285" t="s">
        <v>59</v>
      </c>
      <c r="Z1285" t="s">
        <v>2067</v>
      </c>
      <c r="AA1285" t="s">
        <v>2067</v>
      </c>
    </row>
    <row r="1286" spans="1:27" x14ac:dyDescent="0.35">
      <c r="A1286" t="str">
        <f t="shared" si="41"/>
        <v>903_D7</v>
      </c>
      <c r="B1286" t="str">
        <f t="shared" si="40"/>
        <v>903_</v>
      </c>
      <c r="C1286" t="s">
        <v>2177</v>
      </c>
      <c r="D1286" t="s">
        <v>6</v>
      </c>
      <c r="E1286" t="s">
        <v>94</v>
      </c>
      <c r="F1286" t="s">
        <v>111</v>
      </c>
      <c r="G1286" t="s">
        <v>757</v>
      </c>
      <c r="H1286" t="s">
        <v>42</v>
      </c>
      <c r="I1286" t="s">
        <v>67</v>
      </c>
      <c r="J1286" t="s">
        <v>2168</v>
      </c>
      <c r="M1286" t="s">
        <v>106</v>
      </c>
      <c r="P1286" t="s">
        <v>46</v>
      </c>
      <c r="Q1286" t="s">
        <v>47</v>
      </c>
      <c r="R1286" t="s">
        <v>48</v>
      </c>
      <c r="V1286" t="s">
        <v>49</v>
      </c>
      <c r="X1286" t="s">
        <v>49</v>
      </c>
      <c r="Y1286" t="s">
        <v>59</v>
      </c>
      <c r="Z1286" t="s">
        <v>2161</v>
      </c>
      <c r="AA1286" t="s">
        <v>2161</v>
      </c>
    </row>
    <row r="1287" spans="1:27" x14ac:dyDescent="0.35">
      <c r="A1287" t="str">
        <f t="shared" si="41"/>
        <v>903_D4</v>
      </c>
      <c r="B1287" t="str">
        <f t="shared" si="40"/>
        <v>903_</v>
      </c>
      <c r="C1287" t="s">
        <v>2178</v>
      </c>
      <c r="D1287" t="s">
        <v>3</v>
      </c>
      <c r="E1287" t="s">
        <v>52</v>
      </c>
      <c r="F1287" t="s">
        <v>53</v>
      </c>
      <c r="G1287" t="s">
        <v>757</v>
      </c>
      <c r="H1287" t="s">
        <v>42</v>
      </c>
      <c r="I1287" t="s">
        <v>67</v>
      </c>
      <c r="J1287" t="s">
        <v>2168</v>
      </c>
      <c r="K1287" t="s">
        <v>56</v>
      </c>
      <c r="M1287" t="s">
        <v>106</v>
      </c>
      <c r="P1287" t="s">
        <v>58</v>
      </c>
      <c r="Q1287" t="s">
        <v>47</v>
      </c>
      <c r="R1287" t="s">
        <v>48</v>
      </c>
      <c r="V1287" t="s">
        <v>49</v>
      </c>
      <c r="X1287" t="s">
        <v>49</v>
      </c>
      <c r="Y1287" t="s">
        <v>59</v>
      </c>
      <c r="Z1287" t="s">
        <v>2113</v>
      </c>
      <c r="AA1287" t="s">
        <v>2113</v>
      </c>
    </row>
    <row r="1288" spans="1:27" x14ac:dyDescent="0.35">
      <c r="A1288" t="str">
        <f t="shared" si="41"/>
        <v>902_F3</v>
      </c>
      <c r="B1288" t="str">
        <f t="shared" si="40"/>
        <v>902_</v>
      </c>
      <c r="C1288" t="s">
        <v>2179</v>
      </c>
      <c r="D1288" t="s">
        <v>5</v>
      </c>
      <c r="E1288" t="s">
        <v>40</v>
      </c>
      <c r="F1288" t="s">
        <v>73</v>
      </c>
      <c r="G1288" t="s">
        <v>757</v>
      </c>
      <c r="H1288" t="s">
        <v>42</v>
      </c>
      <c r="I1288" t="s">
        <v>67</v>
      </c>
      <c r="J1288" t="s">
        <v>2180</v>
      </c>
      <c r="M1288" t="s">
        <v>106</v>
      </c>
      <c r="P1288" t="s">
        <v>46</v>
      </c>
      <c r="Q1288" t="s">
        <v>47</v>
      </c>
      <c r="R1288" t="s">
        <v>48</v>
      </c>
      <c r="V1288" t="s">
        <v>49</v>
      </c>
      <c r="X1288" t="s">
        <v>49</v>
      </c>
      <c r="Y1288" t="s">
        <v>74</v>
      </c>
      <c r="Z1288" t="s">
        <v>2148</v>
      </c>
      <c r="AA1288" t="s">
        <v>2148</v>
      </c>
    </row>
    <row r="1289" spans="1:27" x14ac:dyDescent="0.35">
      <c r="A1289" t="str">
        <f t="shared" si="41"/>
        <v>1702F2</v>
      </c>
      <c r="B1289" t="str">
        <f t="shared" si="40"/>
        <v>1702</v>
      </c>
      <c r="C1289" t="s">
        <v>2181</v>
      </c>
      <c r="D1289" t="s">
        <v>4</v>
      </c>
      <c r="E1289" t="s">
        <v>77</v>
      </c>
      <c r="F1289" t="s">
        <v>78</v>
      </c>
      <c r="G1289" t="s">
        <v>757</v>
      </c>
      <c r="H1289" t="s">
        <v>42</v>
      </c>
      <c r="I1289" t="s">
        <v>67</v>
      </c>
      <c r="J1289" t="s">
        <v>2182</v>
      </c>
      <c r="M1289" t="s">
        <v>106</v>
      </c>
      <c r="P1289" t="s">
        <v>91</v>
      </c>
      <c r="Q1289" t="s">
        <v>47</v>
      </c>
      <c r="R1289" t="s">
        <v>48</v>
      </c>
      <c r="V1289" t="s">
        <v>49</v>
      </c>
      <c r="X1289" t="s">
        <v>49</v>
      </c>
      <c r="Y1289" t="s">
        <v>74</v>
      </c>
      <c r="Z1289" t="s">
        <v>2155</v>
      </c>
      <c r="AA1289" t="s">
        <v>2155</v>
      </c>
    </row>
    <row r="1290" spans="1:27" x14ac:dyDescent="0.35">
      <c r="A1290" t="str">
        <f t="shared" si="41"/>
        <v>902_F2</v>
      </c>
      <c r="B1290" t="str">
        <f t="shared" si="40"/>
        <v>902_</v>
      </c>
      <c r="C1290" t="s">
        <v>2183</v>
      </c>
      <c r="D1290" t="s">
        <v>4</v>
      </c>
      <c r="E1290" t="s">
        <v>77</v>
      </c>
      <c r="F1290" t="s">
        <v>78</v>
      </c>
      <c r="G1290" t="s">
        <v>757</v>
      </c>
      <c r="H1290" t="s">
        <v>42</v>
      </c>
      <c r="I1290" t="s">
        <v>67</v>
      </c>
      <c r="J1290" t="s">
        <v>2180</v>
      </c>
      <c r="M1290" t="s">
        <v>106</v>
      </c>
      <c r="P1290" t="s">
        <v>91</v>
      </c>
      <c r="Q1290" t="s">
        <v>47</v>
      </c>
      <c r="R1290" t="s">
        <v>48</v>
      </c>
      <c r="V1290" t="s">
        <v>49</v>
      </c>
      <c r="X1290" t="s">
        <v>49</v>
      </c>
      <c r="Y1290" t="s">
        <v>74</v>
      </c>
      <c r="Z1290" t="s">
        <v>2137</v>
      </c>
      <c r="AA1290" t="s">
        <v>2137</v>
      </c>
    </row>
    <row r="1291" spans="1:27" x14ac:dyDescent="0.35">
      <c r="A1291" t="str">
        <f t="shared" si="41"/>
        <v>1702D4</v>
      </c>
      <c r="B1291" t="str">
        <f t="shared" si="40"/>
        <v>1702</v>
      </c>
      <c r="C1291" t="s">
        <v>2184</v>
      </c>
      <c r="D1291" t="s">
        <v>3</v>
      </c>
      <c r="E1291" t="s">
        <v>52</v>
      </c>
      <c r="F1291" t="s">
        <v>53</v>
      </c>
      <c r="G1291" t="s">
        <v>757</v>
      </c>
      <c r="H1291" t="s">
        <v>42</v>
      </c>
      <c r="I1291" t="s">
        <v>43</v>
      </c>
      <c r="J1291" t="s">
        <v>2182</v>
      </c>
      <c r="K1291" t="s">
        <v>56</v>
      </c>
      <c r="M1291" t="s">
        <v>106</v>
      </c>
      <c r="P1291" t="s">
        <v>58</v>
      </c>
      <c r="Q1291" t="s">
        <v>47</v>
      </c>
      <c r="R1291" t="s">
        <v>48</v>
      </c>
      <c r="V1291" t="s">
        <v>49</v>
      </c>
      <c r="X1291" t="s">
        <v>49</v>
      </c>
      <c r="Y1291" t="s">
        <v>59</v>
      </c>
      <c r="Z1291" t="s">
        <v>2185</v>
      </c>
      <c r="AA1291" t="s">
        <v>2185</v>
      </c>
    </row>
    <row r="1292" spans="1:27" x14ac:dyDescent="0.35">
      <c r="A1292" t="str">
        <f t="shared" si="41"/>
        <v>902_C2</v>
      </c>
      <c r="B1292" t="str">
        <f t="shared" si="40"/>
        <v>902_</v>
      </c>
      <c r="C1292" t="s">
        <v>2186</v>
      </c>
      <c r="D1292" t="s">
        <v>1</v>
      </c>
      <c r="E1292" t="s">
        <v>65</v>
      </c>
      <c r="F1292" t="s">
        <v>66</v>
      </c>
      <c r="G1292" t="s">
        <v>757</v>
      </c>
      <c r="H1292" t="s">
        <v>42</v>
      </c>
      <c r="I1292" t="s">
        <v>67</v>
      </c>
      <c r="J1292" t="s">
        <v>2180</v>
      </c>
      <c r="M1292" t="s">
        <v>106</v>
      </c>
      <c r="P1292" t="s">
        <v>69</v>
      </c>
      <c r="Q1292" t="s">
        <v>47</v>
      </c>
      <c r="R1292" t="s">
        <v>48</v>
      </c>
      <c r="V1292" t="s">
        <v>49</v>
      </c>
      <c r="X1292" t="s">
        <v>49</v>
      </c>
      <c r="Y1292" t="s">
        <v>70</v>
      </c>
      <c r="Z1292" t="s">
        <v>2139</v>
      </c>
      <c r="AA1292" t="s">
        <v>2139</v>
      </c>
    </row>
    <row r="1293" spans="1:27" x14ac:dyDescent="0.35">
      <c r="A1293" t="str">
        <f t="shared" si="41"/>
        <v>1702D2</v>
      </c>
      <c r="B1293" t="str">
        <f t="shared" si="40"/>
        <v>1702</v>
      </c>
      <c r="C1293" t="s">
        <v>2187</v>
      </c>
      <c r="D1293" t="s">
        <v>2</v>
      </c>
      <c r="E1293" t="s">
        <v>62</v>
      </c>
      <c r="F1293" t="s">
        <v>63</v>
      </c>
      <c r="G1293" t="s">
        <v>757</v>
      </c>
      <c r="H1293" t="s">
        <v>42</v>
      </c>
      <c r="I1293" t="s">
        <v>43</v>
      </c>
      <c r="J1293" t="s">
        <v>2182</v>
      </c>
      <c r="K1293" t="s">
        <v>56</v>
      </c>
      <c r="M1293" t="s">
        <v>106</v>
      </c>
      <c r="P1293" t="s">
        <v>58</v>
      </c>
      <c r="Q1293" t="s">
        <v>47</v>
      </c>
      <c r="R1293" t="s">
        <v>48</v>
      </c>
      <c r="V1293" t="s">
        <v>49</v>
      </c>
      <c r="X1293" t="s">
        <v>49</v>
      </c>
      <c r="Y1293" t="s">
        <v>59</v>
      </c>
      <c r="Z1293" t="s">
        <v>2188</v>
      </c>
      <c r="AA1293" t="s">
        <v>2188</v>
      </c>
    </row>
    <row r="1294" spans="1:27" x14ac:dyDescent="0.35">
      <c r="A1294" t="str">
        <f t="shared" si="41"/>
        <v>902_D2</v>
      </c>
      <c r="B1294" t="str">
        <f t="shared" si="40"/>
        <v>902_</v>
      </c>
      <c r="C1294" t="s">
        <v>2189</v>
      </c>
      <c r="D1294" t="s">
        <v>2</v>
      </c>
      <c r="E1294" t="s">
        <v>62</v>
      </c>
      <c r="F1294" t="s">
        <v>63</v>
      </c>
      <c r="G1294" t="s">
        <v>757</v>
      </c>
      <c r="H1294" t="s">
        <v>42</v>
      </c>
      <c r="I1294" t="s">
        <v>67</v>
      </c>
      <c r="J1294" t="s">
        <v>2180</v>
      </c>
      <c r="K1294" t="s">
        <v>56</v>
      </c>
      <c r="M1294" t="s">
        <v>106</v>
      </c>
      <c r="P1294" t="s">
        <v>58</v>
      </c>
      <c r="Q1294" t="s">
        <v>47</v>
      </c>
      <c r="R1294" t="s">
        <v>48</v>
      </c>
      <c r="V1294" t="s">
        <v>49</v>
      </c>
      <c r="X1294" t="s">
        <v>49</v>
      </c>
      <c r="Y1294" t="s">
        <v>59</v>
      </c>
      <c r="Z1294" t="s">
        <v>2067</v>
      </c>
      <c r="AA1294" t="s">
        <v>2067</v>
      </c>
    </row>
    <row r="1295" spans="1:27" x14ac:dyDescent="0.35">
      <c r="A1295" t="str">
        <f t="shared" si="41"/>
        <v>1702F3</v>
      </c>
      <c r="B1295" t="str">
        <f t="shared" si="40"/>
        <v>1702</v>
      </c>
      <c r="C1295" t="s">
        <v>2190</v>
      </c>
      <c r="D1295" t="s">
        <v>5</v>
      </c>
      <c r="E1295" t="s">
        <v>40</v>
      </c>
      <c r="F1295" t="s">
        <v>73</v>
      </c>
      <c r="G1295" t="s">
        <v>757</v>
      </c>
      <c r="H1295" t="s">
        <v>42</v>
      </c>
      <c r="I1295" t="s">
        <v>67</v>
      </c>
      <c r="J1295" t="s">
        <v>2182</v>
      </c>
      <c r="M1295" t="s">
        <v>106</v>
      </c>
      <c r="P1295" t="s">
        <v>58</v>
      </c>
      <c r="Q1295" t="s">
        <v>47</v>
      </c>
      <c r="R1295" t="s">
        <v>48</v>
      </c>
      <c r="V1295" t="s">
        <v>49</v>
      </c>
      <c r="X1295" t="s">
        <v>49</v>
      </c>
      <c r="Y1295" t="s">
        <v>74</v>
      </c>
      <c r="Z1295" t="s">
        <v>2166</v>
      </c>
      <c r="AA1295" t="s">
        <v>2166</v>
      </c>
    </row>
    <row r="1296" spans="1:27" x14ac:dyDescent="0.35">
      <c r="A1296" t="str">
        <f t="shared" si="41"/>
        <v>902_D7</v>
      </c>
      <c r="B1296" t="str">
        <f t="shared" si="40"/>
        <v>902_</v>
      </c>
      <c r="C1296" t="s">
        <v>2191</v>
      </c>
      <c r="D1296" t="s">
        <v>6</v>
      </c>
      <c r="E1296" t="s">
        <v>94</v>
      </c>
      <c r="F1296" t="s">
        <v>111</v>
      </c>
      <c r="G1296" t="s">
        <v>757</v>
      </c>
      <c r="H1296" t="s">
        <v>42</v>
      </c>
      <c r="I1296" t="s">
        <v>67</v>
      </c>
      <c r="J1296" t="s">
        <v>2180</v>
      </c>
      <c r="M1296" t="s">
        <v>106</v>
      </c>
      <c r="P1296" t="s">
        <v>46</v>
      </c>
      <c r="Q1296" t="s">
        <v>47</v>
      </c>
      <c r="R1296" t="s">
        <v>48</v>
      </c>
      <c r="V1296" t="s">
        <v>49</v>
      </c>
      <c r="X1296" t="s">
        <v>49</v>
      </c>
      <c r="Y1296" t="s">
        <v>59</v>
      </c>
      <c r="Z1296" t="s">
        <v>2161</v>
      </c>
      <c r="AA1296" t="s">
        <v>2161</v>
      </c>
    </row>
    <row r="1297" spans="1:27" x14ac:dyDescent="0.35">
      <c r="A1297" t="str">
        <f t="shared" si="41"/>
        <v>902_D4</v>
      </c>
      <c r="B1297" t="str">
        <f t="shared" si="40"/>
        <v>902_</v>
      </c>
      <c r="C1297" t="s">
        <v>2192</v>
      </c>
      <c r="D1297" t="s">
        <v>3</v>
      </c>
      <c r="E1297" t="s">
        <v>52</v>
      </c>
      <c r="F1297" t="s">
        <v>53</v>
      </c>
      <c r="G1297" t="s">
        <v>757</v>
      </c>
      <c r="H1297" t="s">
        <v>42</v>
      </c>
      <c r="I1297" t="s">
        <v>67</v>
      </c>
      <c r="J1297" t="s">
        <v>2180</v>
      </c>
      <c r="K1297" t="s">
        <v>56</v>
      </c>
      <c r="M1297" t="s">
        <v>106</v>
      </c>
      <c r="P1297" t="s">
        <v>58</v>
      </c>
      <c r="Q1297" t="s">
        <v>47</v>
      </c>
      <c r="R1297" t="s">
        <v>48</v>
      </c>
      <c r="V1297" t="s">
        <v>49</v>
      </c>
      <c r="X1297" t="s">
        <v>49</v>
      </c>
      <c r="Y1297" t="s">
        <v>59</v>
      </c>
      <c r="Z1297" t="s">
        <v>2113</v>
      </c>
      <c r="AA1297" t="s">
        <v>2113</v>
      </c>
    </row>
    <row r="1298" spans="1:27" x14ac:dyDescent="0.35">
      <c r="A1298" t="str">
        <f t="shared" si="41"/>
        <v>1702C2</v>
      </c>
      <c r="B1298" t="str">
        <f t="shared" si="40"/>
        <v>1702</v>
      </c>
      <c r="C1298" t="s">
        <v>2193</v>
      </c>
      <c r="D1298" t="s">
        <v>1</v>
      </c>
      <c r="E1298" t="s">
        <v>65</v>
      </c>
      <c r="F1298" t="s">
        <v>66</v>
      </c>
      <c r="G1298" t="s">
        <v>757</v>
      </c>
      <c r="H1298" t="s">
        <v>42</v>
      </c>
      <c r="I1298" t="s">
        <v>67</v>
      </c>
      <c r="J1298" t="s">
        <v>2182</v>
      </c>
      <c r="M1298" t="s">
        <v>106</v>
      </c>
      <c r="P1298" t="s">
        <v>69</v>
      </c>
      <c r="Q1298" t="s">
        <v>47</v>
      </c>
      <c r="R1298" t="s">
        <v>48</v>
      </c>
      <c r="V1298" t="s">
        <v>49</v>
      </c>
      <c r="X1298" t="s">
        <v>49</v>
      </c>
      <c r="Y1298" t="s">
        <v>70</v>
      </c>
      <c r="Z1298" t="s">
        <v>225</v>
      </c>
      <c r="AA1298" t="s">
        <v>225</v>
      </c>
    </row>
    <row r="1299" spans="1:27" x14ac:dyDescent="0.35">
      <c r="A1299" t="str">
        <f t="shared" si="41"/>
        <v>1702D7</v>
      </c>
      <c r="B1299" t="str">
        <f t="shared" si="40"/>
        <v>1702</v>
      </c>
      <c r="C1299" t="s">
        <v>2194</v>
      </c>
      <c r="D1299" t="s">
        <v>6</v>
      </c>
      <c r="E1299" t="s">
        <v>94</v>
      </c>
      <c r="F1299" t="s">
        <v>111</v>
      </c>
      <c r="G1299" t="s">
        <v>757</v>
      </c>
      <c r="H1299" t="s">
        <v>42</v>
      </c>
      <c r="I1299" t="s">
        <v>43</v>
      </c>
      <c r="J1299" t="s">
        <v>2182</v>
      </c>
      <c r="M1299" t="s">
        <v>106</v>
      </c>
      <c r="P1299" t="s">
        <v>46</v>
      </c>
      <c r="Q1299" t="s">
        <v>47</v>
      </c>
      <c r="R1299" t="s">
        <v>48</v>
      </c>
      <c r="V1299" t="s">
        <v>49</v>
      </c>
      <c r="X1299" t="s">
        <v>49</v>
      </c>
      <c r="Y1299" t="s">
        <v>59</v>
      </c>
      <c r="Z1299" t="s">
        <v>2195</v>
      </c>
      <c r="AA1299" t="s">
        <v>2195</v>
      </c>
    </row>
    <row r="1300" spans="1:27" x14ac:dyDescent="0.35">
      <c r="A1300" t="str">
        <f t="shared" si="41"/>
        <v>901_F3</v>
      </c>
      <c r="B1300" t="str">
        <f t="shared" si="40"/>
        <v>901_</v>
      </c>
      <c r="C1300" t="s">
        <v>2196</v>
      </c>
      <c r="D1300" t="s">
        <v>5</v>
      </c>
      <c r="E1300" t="s">
        <v>40</v>
      </c>
      <c r="F1300" t="s">
        <v>73</v>
      </c>
      <c r="G1300" t="s">
        <v>757</v>
      </c>
      <c r="H1300" t="s">
        <v>42</v>
      </c>
      <c r="I1300" t="s">
        <v>67</v>
      </c>
      <c r="J1300" t="s">
        <v>2197</v>
      </c>
      <c r="M1300" t="s">
        <v>106</v>
      </c>
      <c r="P1300" t="s">
        <v>46</v>
      </c>
      <c r="Q1300" t="s">
        <v>47</v>
      </c>
      <c r="R1300" t="s">
        <v>48</v>
      </c>
      <c r="V1300" t="s">
        <v>49</v>
      </c>
      <c r="X1300" t="s">
        <v>49</v>
      </c>
      <c r="Y1300" t="s">
        <v>74</v>
      </c>
      <c r="Z1300" t="s">
        <v>2198</v>
      </c>
      <c r="AA1300" t="s">
        <v>2198</v>
      </c>
    </row>
    <row r="1301" spans="1:27" x14ac:dyDescent="0.35">
      <c r="A1301" t="str">
        <f t="shared" si="41"/>
        <v>901_F2</v>
      </c>
      <c r="B1301" t="str">
        <f t="shared" si="40"/>
        <v>901_</v>
      </c>
      <c r="C1301" t="s">
        <v>2199</v>
      </c>
      <c r="D1301" t="s">
        <v>4</v>
      </c>
      <c r="E1301" t="s">
        <v>77</v>
      </c>
      <c r="F1301" t="s">
        <v>78</v>
      </c>
      <c r="G1301" t="s">
        <v>757</v>
      </c>
      <c r="H1301" t="s">
        <v>42</v>
      </c>
      <c r="I1301" t="s">
        <v>67</v>
      </c>
      <c r="J1301" t="s">
        <v>2197</v>
      </c>
      <c r="M1301" t="s">
        <v>106</v>
      </c>
      <c r="P1301" t="s">
        <v>138</v>
      </c>
      <c r="Q1301" t="s">
        <v>47</v>
      </c>
      <c r="R1301" t="s">
        <v>48</v>
      </c>
      <c r="V1301" t="s">
        <v>49</v>
      </c>
      <c r="X1301" t="s">
        <v>49</v>
      </c>
      <c r="Y1301" t="s">
        <v>74</v>
      </c>
      <c r="Z1301" t="s">
        <v>2198</v>
      </c>
      <c r="AA1301" t="s">
        <v>2198</v>
      </c>
    </row>
    <row r="1302" spans="1:27" x14ac:dyDescent="0.35">
      <c r="A1302" t="str">
        <f t="shared" si="41"/>
        <v>901_C2</v>
      </c>
      <c r="B1302" t="str">
        <f t="shared" si="40"/>
        <v>901_</v>
      </c>
      <c r="C1302" t="s">
        <v>2200</v>
      </c>
      <c r="D1302" t="s">
        <v>1</v>
      </c>
      <c r="E1302" t="s">
        <v>65</v>
      </c>
      <c r="F1302" t="s">
        <v>66</v>
      </c>
      <c r="G1302" t="s">
        <v>757</v>
      </c>
      <c r="H1302" t="s">
        <v>42</v>
      </c>
      <c r="I1302" t="s">
        <v>67</v>
      </c>
      <c r="J1302" t="s">
        <v>2197</v>
      </c>
      <c r="M1302" t="s">
        <v>106</v>
      </c>
      <c r="P1302" t="s">
        <v>69</v>
      </c>
      <c r="Q1302" t="s">
        <v>47</v>
      </c>
      <c r="R1302" t="s">
        <v>48</v>
      </c>
      <c r="V1302" t="s">
        <v>49</v>
      </c>
      <c r="X1302" t="s">
        <v>49</v>
      </c>
      <c r="Y1302" t="s">
        <v>70</v>
      </c>
      <c r="Z1302" t="s">
        <v>2007</v>
      </c>
      <c r="AA1302" t="s">
        <v>2007</v>
      </c>
    </row>
    <row r="1303" spans="1:27" x14ac:dyDescent="0.35">
      <c r="A1303" t="str">
        <f t="shared" si="41"/>
        <v>901_D2</v>
      </c>
      <c r="B1303" t="str">
        <f t="shared" si="40"/>
        <v>901_</v>
      </c>
      <c r="C1303" t="s">
        <v>2201</v>
      </c>
      <c r="D1303" t="s">
        <v>2</v>
      </c>
      <c r="E1303" t="s">
        <v>62</v>
      </c>
      <c r="F1303" t="s">
        <v>63</v>
      </c>
      <c r="G1303" t="s">
        <v>757</v>
      </c>
      <c r="H1303" t="s">
        <v>42</v>
      </c>
      <c r="I1303" t="s">
        <v>67</v>
      </c>
      <c r="J1303" t="s">
        <v>2197</v>
      </c>
      <c r="K1303" t="s">
        <v>56</v>
      </c>
      <c r="M1303" t="s">
        <v>106</v>
      </c>
      <c r="P1303" t="s">
        <v>58</v>
      </c>
      <c r="Q1303" t="s">
        <v>47</v>
      </c>
      <c r="R1303" t="s">
        <v>48</v>
      </c>
      <c r="V1303" t="s">
        <v>49</v>
      </c>
      <c r="X1303" t="s">
        <v>49</v>
      </c>
      <c r="Y1303" t="s">
        <v>59</v>
      </c>
      <c r="Z1303" t="s">
        <v>2067</v>
      </c>
      <c r="AA1303" t="s">
        <v>2067</v>
      </c>
    </row>
    <row r="1304" spans="1:27" x14ac:dyDescent="0.35">
      <c r="A1304" t="str">
        <f t="shared" si="41"/>
        <v>901_D7</v>
      </c>
      <c r="B1304" t="str">
        <f t="shared" si="40"/>
        <v>901_</v>
      </c>
      <c r="C1304" t="s">
        <v>2202</v>
      </c>
      <c r="D1304" t="s">
        <v>6</v>
      </c>
      <c r="E1304" t="s">
        <v>94</v>
      </c>
      <c r="F1304" t="s">
        <v>111</v>
      </c>
      <c r="G1304" t="s">
        <v>757</v>
      </c>
      <c r="H1304" t="s">
        <v>42</v>
      </c>
      <c r="I1304" t="s">
        <v>67</v>
      </c>
      <c r="J1304" t="s">
        <v>2197</v>
      </c>
      <c r="M1304" t="s">
        <v>106</v>
      </c>
      <c r="P1304" t="s">
        <v>46</v>
      </c>
      <c r="Q1304" t="s">
        <v>47</v>
      </c>
      <c r="R1304" t="s">
        <v>48</v>
      </c>
      <c r="V1304" t="s">
        <v>49</v>
      </c>
      <c r="X1304" t="s">
        <v>49</v>
      </c>
      <c r="Y1304" t="s">
        <v>59</v>
      </c>
      <c r="Z1304" t="s">
        <v>2203</v>
      </c>
      <c r="AA1304" t="s">
        <v>2203</v>
      </c>
    </row>
    <row r="1305" spans="1:27" x14ac:dyDescent="0.35">
      <c r="A1305" t="str">
        <f t="shared" si="41"/>
        <v>901_D4</v>
      </c>
      <c r="B1305" t="str">
        <f t="shared" si="40"/>
        <v>901_</v>
      </c>
      <c r="C1305" t="s">
        <v>2204</v>
      </c>
      <c r="D1305" t="s">
        <v>3</v>
      </c>
      <c r="E1305" t="s">
        <v>52</v>
      </c>
      <c r="F1305" t="s">
        <v>53</v>
      </c>
      <c r="G1305" t="s">
        <v>757</v>
      </c>
      <c r="H1305" t="s">
        <v>42</v>
      </c>
      <c r="I1305" t="s">
        <v>67</v>
      </c>
      <c r="J1305" t="s">
        <v>2197</v>
      </c>
      <c r="K1305" t="s">
        <v>56</v>
      </c>
      <c r="M1305" t="s">
        <v>106</v>
      </c>
      <c r="P1305" t="s">
        <v>58</v>
      </c>
      <c r="Q1305" t="s">
        <v>47</v>
      </c>
      <c r="R1305" t="s">
        <v>48</v>
      </c>
      <c r="V1305" t="s">
        <v>49</v>
      </c>
      <c r="X1305" t="s">
        <v>49</v>
      </c>
      <c r="Y1305" t="s">
        <v>59</v>
      </c>
      <c r="Z1305" t="s">
        <v>2113</v>
      </c>
      <c r="AA1305" t="s">
        <v>2113</v>
      </c>
    </row>
    <row r="1306" spans="1:27" x14ac:dyDescent="0.35">
      <c r="A1306" t="str">
        <f t="shared" si="41"/>
        <v>810_F3</v>
      </c>
      <c r="B1306" t="str">
        <f t="shared" si="40"/>
        <v>810_</v>
      </c>
      <c r="C1306" t="s">
        <v>2205</v>
      </c>
      <c r="D1306" t="s">
        <v>5</v>
      </c>
      <c r="E1306" t="s">
        <v>40</v>
      </c>
      <c r="F1306" t="s">
        <v>73</v>
      </c>
      <c r="G1306" t="s">
        <v>757</v>
      </c>
      <c r="H1306" t="s">
        <v>42</v>
      </c>
      <c r="I1306" t="s">
        <v>67</v>
      </c>
      <c r="J1306" t="s">
        <v>2206</v>
      </c>
      <c r="M1306" t="s">
        <v>106</v>
      </c>
      <c r="P1306" t="s">
        <v>46</v>
      </c>
      <c r="Q1306" t="s">
        <v>47</v>
      </c>
      <c r="R1306" t="s">
        <v>48</v>
      </c>
      <c r="V1306" t="s">
        <v>49</v>
      </c>
      <c r="X1306" t="s">
        <v>49</v>
      </c>
      <c r="Y1306" t="s">
        <v>74</v>
      </c>
      <c r="Z1306" t="s">
        <v>2198</v>
      </c>
      <c r="AA1306" t="s">
        <v>2198</v>
      </c>
    </row>
    <row r="1307" spans="1:27" x14ac:dyDescent="0.35">
      <c r="A1307" t="str">
        <f t="shared" si="41"/>
        <v>1701F2</v>
      </c>
      <c r="B1307" t="str">
        <f t="shared" si="40"/>
        <v>1701</v>
      </c>
      <c r="C1307" t="s">
        <v>2207</v>
      </c>
      <c r="D1307" t="s">
        <v>4</v>
      </c>
      <c r="E1307" t="s">
        <v>77</v>
      </c>
      <c r="F1307" t="s">
        <v>78</v>
      </c>
      <c r="G1307" t="s">
        <v>757</v>
      </c>
      <c r="H1307" t="s">
        <v>42</v>
      </c>
      <c r="I1307" t="s">
        <v>67</v>
      </c>
      <c r="J1307" t="s">
        <v>2208</v>
      </c>
      <c r="M1307" t="s">
        <v>106</v>
      </c>
      <c r="P1307" t="s">
        <v>138</v>
      </c>
      <c r="Q1307" t="s">
        <v>47</v>
      </c>
      <c r="R1307" t="s">
        <v>48</v>
      </c>
      <c r="V1307" t="s">
        <v>49</v>
      </c>
      <c r="X1307" t="s">
        <v>49</v>
      </c>
      <c r="Y1307" t="s">
        <v>74</v>
      </c>
      <c r="Z1307" t="s">
        <v>2155</v>
      </c>
      <c r="AA1307" t="s">
        <v>2155</v>
      </c>
    </row>
    <row r="1308" spans="1:27" x14ac:dyDescent="0.35">
      <c r="A1308" t="str">
        <f t="shared" si="41"/>
        <v>1701D4</v>
      </c>
      <c r="B1308" t="str">
        <f t="shared" si="40"/>
        <v>1701</v>
      </c>
      <c r="C1308" t="s">
        <v>2209</v>
      </c>
      <c r="D1308" t="s">
        <v>3</v>
      </c>
      <c r="E1308" t="s">
        <v>52</v>
      </c>
      <c r="F1308" t="s">
        <v>53</v>
      </c>
      <c r="G1308" t="s">
        <v>757</v>
      </c>
      <c r="H1308" t="s">
        <v>42</v>
      </c>
      <c r="I1308" t="s">
        <v>43</v>
      </c>
      <c r="J1308" t="s">
        <v>2208</v>
      </c>
      <c r="K1308" t="s">
        <v>56</v>
      </c>
      <c r="M1308" t="s">
        <v>106</v>
      </c>
      <c r="P1308" t="s">
        <v>58</v>
      </c>
      <c r="Q1308" t="s">
        <v>47</v>
      </c>
      <c r="R1308" t="s">
        <v>48</v>
      </c>
      <c r="V1308" t="s">
        <v>49</v>
      </c>
      <c r="X1308" t="s">
        <v>49</v>
      </c>
      <c r="Y1308" t="s">
        <v>59</v>
      </c>
      <c r="Z1308" t="s">
        <v>2185</v>
      </c>
      <c r="AA1308" t="s">
        <v>2185</v>
      </c>
    </row>
    <row r="1309" spans="1:27" x14ac:dyDescent="0.35">
      <c r="A1309" t="str">
        <f t="shared" si="41"/>
        <v>1701D2</v>
      </c>
      <c r="B1309" t="str">
        <f t="shared" si="40"/>
        <v>1701</v>
      </c>
      <c r="C1309" t="s">
        <v>2210</v>
      </c>
      <c r="D1309" t="s">
        <v>2</v>
      </c>
      <c r="E1309" t="s">
        <v>62</v>
      </c>
      <c r="F1309" t="s">
        <v>63</v>
      </c>
      <c r="G1309" t="s">
        <v>757</v>
      </c>
      <c r="H1309" t="s">
        <v>42</v>
      </c>
      <c r="I1309" t="s">
        <v>43</v>
      </c>
      <c r="J1309" t="s">
        <v>2208</v>
      </c>
      <c r="K1309" t="s">
        <v>56</v>
      </c>
      <c r="M1309" t="s">
        <v>106</v>
      </c>
      <c r="P1309" t="s">
        <v>58</v>
      </c>
      <c r="Q1309" t="s">
        <v>47</v>
      </c>
      <c r="R1309" t="s">
        <v>48</v>
      </c>
      <c r="V1309" t="s">
        <v>49</v>
      </c>
      <c r="X1309" t="s">
        <v>49</v>
      </c>
      <c r="Y1309" t="s">
        <v>59</v>
      </c>
      <c r="Z1309" t="s">
        <v>2188</v>
      </c>
      <c r="AA1309" t="s">
        <v>2188</v>
      </c>
    </row>
    <row r="1310" spans="1:27" x14ac:dyDescent="0.35">
      <c r="A1310" t="str">
        <f t="shared" si="41"/>
        <v>810_F2</v>
      </c>
      <c r="B1310" t="str">
        <f t="shared" si="40"/>
        <v>810_</v>
      </c>
      <c r="C1310" t="s">
        <v>2211</v>
      </c>
      <c r="D1310" t="s">
        <v>4</v>
      </c>
      <c r="E1310" t="s">
        <v>77</v>
      </c>
      <c r="F1310" t="s">
        <v>78</v>
      </c>
      <c r="G1310" t="s">
        <v>757</v>
      </c>
      <c r="H1310" t="s">
        <v>42</v>
      </c>
      <c r="I1310" t="s">
        <v>67</v>
      </c>
      <c r="J1310" t="s">
        <v>2206</v>
      </c>
      <c r="M1310" t="s">
        <v>106</v>
      </c>
      <c r="P1310" t="s">
        <v>273</v>
      </c>
      <c r="Q1310" t="s">
        <v>47</v>
      </c>
      <c r="R1310" t="s">
        <v>48</v>
      </c>
      <c r="V1310" t="s">
        <v>49</v>
      </c>
      <c r="X1310" t="s">
        <v>49</v>
      </c>
      <c r="Y1310" t="s">
        <v>74</v>
      </c>
      <c r="Z1310" t="s">
        <v>2212</v>
      </c>
      <c r="AA1310" t="s">
        <v>2212</v>
      </c>
    </row>
    <row r="1311" spans="1:27" x14ac:dyDescent="0.35">
      <c r="A1311" t="str">
        <f t="shared" si="41"/>
        <v>810_C2</v>
      </c>
      <c r="B1311" t="str">
        <f t="shared" si="40"/>
        <v>810_</v>
      </c>
      <c r="C1311" t="s">
        <v>2213</v>
      </c>
      <c r="D1311" t="s">
        <v>1</v>
      </c>
      <c r="E1311" t="s">
        <v>65</v>
      </c>
      <c r="F1311" t="s">
        <v>66</v>
      </c>
      <c r="G1311" t="s">
        <v>757</v>
      </c>
      <c r="H1311" t="s">
        <v>42</v>
      </c>
      <c r="I1311" t="s">
        <v>67</v>
      </c>
      <c r="J1311" t="s">
        <v>2206</v>
      </c>
      <c r="M1311" t="s">
        <v>106</v>
      </c>
      <c r="P1311" t="s">
        <v>69</v>
      </c>
      <c r="Q1311" t="s">
        <v>47</v>
      </c>
      <c r="R1311" t="s">
        <v>48</v>
      </c>
      <c r="V1311" t="s">
        <v>49</v>
      </c>
      <c r="X1311" t="s">
        <v>49</v>
      </c>
      <c r="Y1311" t="s">
        <v>70</v>
      </c>
      <c r="Z1311" t="s">
        <v>2214</v>
      </c>
      <c r="AA1311" t="s">
        <v>2214</v>
      </c>
    </row>
    <row r="1312" spans="1:27" x14ac:dyDescent="0.35">
      <c r="A1312" t="str">
        <f t="shared" si="41"/>
        <v>1701F3</v>
      </c>
      <c r="B1312" t="str">
        <f t="shared" si="40"/>
        <v>1701</v>
      </c>
      <c r="C1312" t="s">
        <v>2215</v>
      </c>
      <c r="D1312" t="s">
        <v>5</v>
      </c>
      <c r="E1312" t="s">
        <v>40</v>
      </c>
      <c r="F1312" t="s">
        <v>73</v>
      </c>
      <c r="G1312" t="s">
        <v>757</v>
      </c>
      <c r="H1312" t="s">
        <v>42</v>
      </c>
      <c r="I1312" t="s">
        <v>67</v>
      </c>
      <c r="J1312" t="s">
        <v>2208</v>
      </c>
      <c r="M1312" t="s">
        <v>106</v>
      </c>
      <c r="P1312" t="s">
        <v>69</v>
      </c>
      <c r="Q1312" t="s">
        <v>47</v>
      </c>
      <c r="R1312" t="s">
        <v>48</v>
      </c>
      <c r="V1312" t="s">
        <v>49</v>
      </c>
      <c r="X1312" t="s">
        <v>49</v>
      </c>
      <c r="Y1312" t="s">
        <v>74</v>
      </c>
      <c r="Z1312" t="s">
        <v>2216</v>
      </c>
      <c r="AA1312" t="s">
        <v>2216</v>
      </c>
    </row>
    <row r="1313" spans="1:27" x14ac:dyDescent="0.35">
      <c r="A1313" t="str">
        <f t="shared" si="41"/>
        <v>810_D2</v>
      </c>
      <c r="B1313" t="str">
        <f t="shared" si="40"/>
        <v>810_</v>
      </c>
      <c r="C1313" t="s">
        <v>2217</v>
      </c>
      <c r="D1313" t="s">
        <v>2</v>
      </c>
      <c r="E1313" t="s">
        <v>62</v>
      </c>
      <c r="F1313" t="s">
        <v>63</v>
      </c>
      <c r="G1313" t="s">
        <v>757</v>
      </c>
      <c r="H1313" t="s">
        <v>42</v>
      </c>
      <c r="I1313" t="s">
        <v>67</v>
      </c>
      <c r="J1313" t="s">
        <v>2206</v>
      </c>
      <c r="K1313" t="s">
        <v>56</v>
      </c>
      <c r="M1313" t="s">
        <v>106</v>
      </c>
      <c r="P1313" t="s">
        <v>58</v>
      </c>
      <c r="Q1313" t="s">
        <v>47</v>
      </c>
      <c r="R1313" t="s">
        <v>48</v>
      </c>
      <c r="V1313" t="s">
        <v>49</v>
      </c>
      <c r="X1313" t="s">
        <v>49</v>
      </c>
      <c r="Y1313" t="s">
        <v>59</v>
      </c>
      <c r="Z1313" t="s">
        <v>2218</v>
      </c>
      <c r="AA1313" t="s">
        <v>2218</v>
      </c>
    </row>
    <row r="1314" spans="1:27" x14ac:dyDescent="0.35">
      <c r="A1314" t="str">
        <f t="shared" si="41"/>
        <v>1701C2</v>
      </c>
      <c r="B1314" t="str">
        <f t="shared" si="40"/>
        <v>1701</v>
      </c>
      <c r="C1314" t="s">
        <v>2219</v>
      </c>
      <c r="D1314" t="s">
        <v>1</v>
      </c>
      <c r="E1314" t="s">
        <v>65</v>
      </c>
      <c r="F1314" t="s">
        <v>66</v>
      </c>
      <c r="G1314" t="s">
        <v>757</v>
      </c>
      <c r="H1314" t="s">
        <v>42</v>
      </c>
      <c r="I1314" t="s">
        <v>67</v>
      </c>
      <c r="J1314" t="s">
        <v>2208</v>
      </c>
      <c r="M1314" t="s">
        <v>106</v>
      </c>
      <c r="P1314" t="s">
        <v>69</v>
      </c>
      <c r="Q1314" t="s">
        <v>47</v>
      </c>
      <c r="R1314" t="s">
        <v>48</v>
      </c>
      <c r="V1314" t="s">
        <v>49</v>
      </c>
      <c r="X1314" t="s">
        <v>49</v>
      </c>
      <c r="Y1314" t="s">
        <v>70</v>
      </c>
      <c r="Z1314" t="s">
        <v>225</v>
      </c>
      <c r="AA1314" t="s">
        <v>225</v>
      </c>
    </row>
    <row r="1315" spans="1:27" x14ac:dyDescent="0.35">
      <c r="A1315" t="str">
        <f t="shared" si="41"/>
        <v>810_D7</v>
      </c>
      <c r="B1315" t="str">
        <f t="shared" si="40"/>
        <v>810_</v>
      </c>
      <c r="C1315" t="s">
        <v>2220</v>
      </c>
      <c r="D1315" t="s">
        <v>6</v>
      </c>
      <c r="E1315" t="s">
        <v>94</v>
      </c>
      <c r="F1315" t="s">
        <v>111</v>
      </c>
      <c r="G1315" t="s">
        <v>757</v>
      </c>
      <c r="H1315" t="s">
        <v>42</v>
      </c>
      <c r="I1315" t="s">
        <v>67</v>
      </c>
      <c r="J1315" t="s">
        <v>2206</v>
      </c>
      <c r="M1315" t="s">
        <v>106</v>
      </c>
      <c r="P1315" t="s">
        <v>46</v>
      </c>
      <c r="Q1315" t="s">
        <v>47</v>
      </c>
      <c r="R1315" t="s">
        <v>48</v>
      </c>
      <c r="V1315" t="s">
        <v>49</v>
      </c>
      <c r="X1315" t="s">
        <v>49</v>
      </c>
      <c r="Y1315" t="s">
        <v>59</v>
      </c>
      <c r="Z1315" t="s">
        <v>2203</v>
      </c>
      <c r="AA1315" t="s">
        <v>2203</v>
      </c>
    </row>
    <row r="1316" spans="1:27" x14ac:dyDescent="0.35">
      <c r="A1316" t="str">
        <f t="shared" si="41"/>
        <v>1701D7</v>
      </c>
      <c r="B1316" t="str">
        <f t="shared" si="40"/>
        <v>1701</v>
      </c>
      <c r="C1316" t="s">
        <v>2221</v>
      </c>
      <c r="D1316" t="s">
        <v>6</v>
      </c>
      <c r="E1316" t="s">
        <v>94</v>
      </c>
      <c r="F1316" t="s">
        <v>111</v>
      </c>
      <c r="G1316" t="s">
        <v>757</v>
      </c>
      <c r="H1316" t="s">
        <v>42</v>
      </c>
      <c r="I1316" t="s">
        <v>43</v>
      </c>
      <c r="J1316" t="s">
        <v>2208</v>
      </c>
      <c r="M1316" t="s">
        <v>106</v>
      </c>
      <c r="P1316" t="s">
        <v>46</v>
      </c>
      <c r="Q1316" t="s">
        <v>47</v>
      </c>
      <c r="R1316" t="s">
        <v>48</v>
      </c>
      <c r="V1316" t="s">
        <v>49</v>
      </c>
      <c r="X1316" t="s">
        <v>49</v>
      </c>
      <c r="Y1316" t="s">
        <v>59</v>
      </c>
      <c r="Z1316" t="s">
        <v>2222</v>
      </c>
      <c r="AA1316" t="s">
        <v>2222</v>
      </c>
    </row>
    <row r="1317" spans="1:27" x14ac:dyDescent="0.35">
      <c r="A1317" t="str">
        <f t="shared" si="41"/>
        <v>810_D4</v>
      </c>
      <c r="B1317" t="str">
        <f t="shared" si="40"/>
        <v>810_</v>
      </c>
      <c r="C1317" t="s">
        <v>2223</v>
      </c>
      <c r="D1317" t="s">
        <v>3</v>
      </c>
      <c r="E1317" t="s">
        <v>52</v>
      </c>
      <c r="F1317" t="s">
        <v>53</v>
      </c>
      <c r="G1317" t="s">
        <v>757</v>
      </c>
      <c r="H1317" t="s">
        <v>42</v>
      </c>
      <c r="I1317" t="s">
        <v>67</v>
      </c>
      <c r="J1317" t="s">
        <v>2206</v>
      </c>
      <c r="K1317" t="s">
        <v>56</v>
      </c>
      <c r="M1317" t="s">
        <v>106</v>
      </c>
      <c r="P1317" t="s">
        <v>58</v>
      </c>
      <c r="Q1317" t="s">
        <v>47</v>
      </c>
      <c r="R1317" t="s">
        <v>48</v>
      </c>
      <c r="V1317" t="s">
        <v>49</v>
      </c>
      <c r="X1317" t="s">
        <v>49</v>
      </c>
      <c r="Y1317" t="s">
        <v>59</v>
      </c>
      <c r="Z1317" t="s">
        <v>2113</v>
      </c>
      <c r="AA1317" t="s">
        <v>2113</v>
      </c>
    </row>
    <row r="1318" spans="1:27" x14ac:dyDescent="0.35">
      <c r="A1318" t="str">
        <f t="shared" si="41"/>
        <v>809_F3</v>
      </c>
      <c r="B1318" t="str">
        <f t="shared" si="40"/>
        <v>809_</v>
      </c>
      <c r="C1318" t="s">
        <v>2224</v>
      </c>
      <c r="D1318" t="s">
        <v>5</v>
      </c>
      <c r="E1318" t="s">
        <v>40</v>
      </c>
      <c r="F1318" t="s">
        <v>73</v>
      </c>
      <c r="G1318" t="s">
        <v>757</v>
      </c>
      <c r="H1318" t="s">
        <v>42</v>
      </c>
      <c r="I1318" t="s">
        <v>67</v>
      </c>
      <c r="J1318" t="s">
        <v>2225</v>
      </c>
      <c r="M1318" t="s">
        <v>106</v>
      </c>
      <c r="P1318" t="s">
        <v>46</v>
      </c>
      <c r="Q1318" t="s">
        <v>47</v>
      </c>
      <c r="R1318" t="s">
        <v>48</v>
      </c>
      <c r="V1318" t="s">
        <v>49</v>
      </c>
      <c r="X1318" t="s">
        <v>49</v>
      </c>
      <c r="Y1318" t="s">
        <v>74</v>
      </c>
      <c r="Z1318" t="s">
        <v>2226</v>
      </c>
      <c r="AA1318" t="s">
        <v>2226</v>
      </c>
    </row>
    <row r="1319" spans="1:27" x14ac:dyDescent="0.35">
      <c r="A1319" t="str">
        <f t="shared" si="41"/>
        <v>809_F2</v>
      </c>
      <c r="B1319" t="str">
        <f t="shared" si="40"/>
        <v>809_</v>
      </c>
      <c r="C1319" t="s">
        <v>2227</v>
      </c>
      <c r="D1319" t="s">
        <v>4</v>
      </c>
      <c r="E1319" t="s">
        <v>77</v>
      </c>
      <c r="F1319" t="s">
        <v>78</v>
      </c>
      <c r="G1319" t="s">
        <v>757</v>
      </c>
      <c r="H1319" t="s">
        <v>42</v>
      </c>
      <c r="I1319" t="s">
        <v>67</v>
      </c>
      <c r="J1319" t="s">
        <v>2225</v>
      </c>
      <c r="M1319" t="s">
        <v>106</v>
      </c>
      <c r="P1319" t="s">
        <v>438</v>
      </c>
      <c r="Q1319" t="s">
        <v>47</v>
      </c>
      <c r="R1319" t="s">
        <v>48</v>
      </c>
      <c r="V1319" t="s">
        <v>49</v>
      </c>
      <c r="X1319" t="s">
        <v>49</v>
      </c>
      <c r="Y1319" t="s">
        <v>74</v>
      </c>
      <c r="Z1319" t="s">
        <v>2228</v>
      </c>
      <c r="AA1319" t="s">
        <v>2228</v>
      </c>
    </row>
    <row r="1320" spans="1:27" x14ac:dyDescent="0.35">
      <c r="A1320" t="str">
        <f t="shared" si="41"/>
        <v>809_C2</v>
      </c>
      <c r="B1320" t="str">
        <f t="shared" si="40"/>
        <v>809_</v>
      </c>
      <c r="C1320" t="s">
        <v>2229</v>
      </c>
      <c r="D1320" t="s">
        <v>1</v>
      </c>
      <c r="E1320" t="s">
        <v>65</v>
      </c>
      <c r="F1320" t="s">
        <v>66</v>
      </c>
      <c r="G1320" t="s">
        <v>757</v>
      </c>
      <c r="H1320" t="s">
        <v>42</v>
      </c>
      <c r="I1320" t="s">
        <v>67</v>
      </c>
      <c r="J1320" t="s">
        <v>2225</v>
      </c>
      <c r="M1320" t="s">
        <v>106</v>
      </c>
      <c r="P1320" t="s">
        <v>69</v>
      </c>
      <c r="Q1320" t="s">
        <v>47</v>
      </c>
      <c r="R1320" t="s">
        <v>48</v>
      </c>
      <c r="V1320" t="s">
        <v>49</v>
      </c>
      <c r="X1320" t="s">
        <v>49</v>
      </c>
      <c r="Y1320" t="s">
        <v>70</v>
      </c>
      <c r="Z1320" t="s">
        <v>2230</v>
      </c>
      <c r="AA1320" t="s">
        <v>2230</v>
      </c>
    </row>
    <row r="1321" spans="1:27" x14ac:dyDescent="0.35">
      <c r="A1321" t="str">
        <f t="shared" si="41"/>
        <v>809_D2</v>
      </c>
      <c r="B1321" t="str">
        <f t="shared" si="40"/>
        <v>809_</v>
      </c>
      <c r="C1321" t="s">
        <v>2231</v>
      </c>
      <c r="D1321" t="s">
        <v>2</v>
      </c>
      <c r="E1321" t="s">
        <v>62</v>
      </c>
      <c r="F1321" t="s">
        <v>63</v>
      </c>
      <c r="G1321" t="s">
        <v>757</v>
      </c>
      <c r="H1321" t="s">
        <v>98</v>
      </c>
      <c r="I1321" t="s">
        <v>67</v>
      </c>
      <c r="J1321" t="s">
        <v>2225</v>
      </c>
      <c r="K1321" t="s">
        <v>56</v>
      </c>
      <c r="M1321" t="s">
        <v>106</v>
      </c>
      <c r="P1321" t="s">
        <v>46</v>
      </c>
      <c r="Q1321" t="s">
        <v>47</v>
      </c>
      <c r="R1321" t="s">
        <v>48</v>
      </c>
      <c r="V1321" t="s">
        <v>49</v>
      </c>
      <c r="X1321" t="s">
        <v>49</v>
      </c>
      <c r="Y1321" t="s">
        <v>59</v>
      </c>
      <c r="Z1321" t="s">
        <v>2232</v>
      </c>
    </row>
    <row r="1322" spans="1:27" x14ac:dyDescent="0.35">
      <c r="A1322" t="str">
        <f t="shared" si="41"/>
        <v>809_D7</v>
      </c>
      <c r="B1322" t="str">
        <f t="shared" si="40"/>
        <v>809_</v>
      </c>
      <c r="C1322" t="s">
        <v>2233</v>
      </c>
      <c r="D1322" t="s">
        <v>6</v>
      </c>
      <c r="E1322" t="s">
        <v>94</v>
      </c>
      <c r="F1322" t="s">
        <v>111</v>
      </c>
      <c r="G1322" t="s">
        <v>757</v>
      </c>
      <c r="H1322" t="s">
        <v>42</v>
      </c>
      <c r="I1322" t="s">
        <v>67</v>
      </c>
      <c r="J1322" t="s">
        <v>2225</v>
      </c>
      <c r="M1322" t="s">
        <v>106</v>
      </c>
      <c r="P1322" t="s">
        <v>273</v>
      </c>
      <c r="Q1322" t="s">
        <v>47</v>
      </c>
      <c r="R1322" t="s">
        <v>48</v>
      </c>
      <c r="V1322" t="s">
        <v>49</v>
      </c>
      <c r="X1322" t="s">
        <v>49</v>
      </c>
      <c r="Y1322" t="s">
        <v>59</v>
      </c>
      <c r="Z1322" t="s">
        <v>2234</v>
      </c>
      <c r="AA1322" t="s">
        <v>2234</v>
      </c>
    </row>
    <row r="1323" spans="1:27" x14ac:dyDescent="0.35">
      <c r="A1323" t="str">
        <f t="shared" si="41"/>
        <v>809_D4</v>
      </c>
      <c r="B1323" t="str">
        <f t="shared" si="40"/>
        <v>809_</v>
      </c>
      <c r="C1323" t="s">
        <v>2235</v>
      </c>
      <c r="D1323" t="s">
        <v>3</v>
      </c>
      <c r="E1323" t="s">
        <v>52</v>
      </c>
      <c r="F1323" t="s">
        <v>53</v>
      </c>
      <c r="G1323" t="s">
        <v>757</v>
      </c>
      <c r="H1323" t="s">
        <v>42</v>
      </c>
      <c r="I1323" t="s">
        <v>67</v>
      </c>
      <c r="J1323" t="s">
        <v>2225</v>
      </c>
      <c r="K1323" t="s">
        <v>56</v>
      </c>
      <c r="M1323" t="s">
        <v>106</v>
      </c>
      <c r="P1323" t="s">
        <v>58</v>
      </c>
      <c r="Q1323" t="s">
        <v>47</v>
      </c>
      <c r="R1323" t="s">
        <v>48</v>
      </c>
      <c r="V1323" t="s">
        <v>49</v>
      </c>
      <c r="X1323" t="s">
        <v>49</v>
      </c>
      <c r="Y1323" t="s">
        <v>59</v>
      </c>
      <c r="Z1323" t="s">
        <v>2113</v>
      </c>
      <c r="AA1323" t="s">
        <v>2113</v>
      </c>
    </row>
    <row r="1324" spans="1:27" x14ac:dyDescent="0.35">
      <c r="A1324" t="str">
        <f t="shared" si="41"/>
        <v>808_F3</v>
      </c>
      <c r="B1324" t="str">
        <f t="shared" si="40"/>
        <v>808_</v>
      </c>
      <c r="C1324" t="s">
        <v>2236</v>
      </c>
      <c r="D1324" t="s">
        <v>5</v>
      </c>
      <c r="E1324" t="s">
        <v>40</v>
      </c>
      <c r="F1324" t="s">
        <v>73</v>
      </c>
      <c r="G1324" t="s">
        <v>757</v>
      </c>
      <c r="H1324" t="s">
        <v>42</v>
      </c>
      <c r="I1324" t="s">
        <v>67</v>
      </c>
      <c r="J1324" t="s">
        <v>2237</v>
      </c>
      <c r="M1324" t="s">
        <v>106</v>
      </c>
      <c r="P1324" t="s">
        <v>46</v>
      </c>
      <c r="Q1324" t="s">
        <v>47</v>
      </c>
      <c r="R1324" t="s">
        <v>48</v>
      </c>
      <c r="V1324" t="s">
        <v>49</v>
      </c>
      <c r="X1324" t="s">
        <v>49</v>
      </c>
      <c r="Y1324" t="s">
        <v>74</v>
      </c>
      <c r="Z1324" t="s">
        <v>2238</v>
      </c>
      <c r="AA1324" t="s">
        <v>2238</v>
      </c>
    </row>
    <row r="1325" spans="1:27" x14ac:dyDescent="0.35">
      <c r="A1325" t="str">
        <f t="shared" si="41"/>
        <v>1610F2</v>
      </c>
      <c r="B1325" t="str">
        <f t="shared" si="40"/>
        <v>1610</v>
      </c>
      <c r="C1325" t="s">
        <v>2239</v>
      </c>
      <c r="D1325" t="s">
        <v>4</v>
      </c>
      <c r="E1325" t="s">
        <v>77</v>
      </c>
      <c r="F1325" t="s">
        <v>78</v>
      </c>
      <c r="G1325" t="s">
        <v>757</v>
      </c>
      <c r="H1325" t="s">
        <v>42</v>
      </c>
      <c r="I1325" t="s">
        <v>67</v>
      </c>
      <c r="J1325" t="s">
        <v>2240</v>
      </c>
      <c r="M1325" t="s">
        <v>106</v>
      </c>
      <c r="P1325" t="s">
        <v>79</v>
      </c>
      <c r="Q1325" t="s">
        <v>47</v>
      </c>
      <c r="R1325" t="s">
        <v>48</v>
      </c>
      <c r="V1325" t="s">
        <v>49</v>
      </c>
      <c r="X1325" t="s">
        <v>49</v>
      </c>
      <c r="Y1325" t="s">
        <v>74</v>
      </c>
      <c r="Z1325" t="s">
        <v>2241</v>
      </c>
      <c r="AA1325" t="s">
        <v>2241</v>
      </c>
    </row>
    <row r="1326" spans="1:27" x14ac:dyDescent="0.35">
      <c r="A1326" t="str">
        <f t="shared" si="41"/>
        <v>1610D4</v>
      </c>
      <c r="B1326" t="str">
        <f t="shared" si="40"/>
        <v>1610</v>
      </c>
      <c r="C1326" t="s">
        <v>2242</v>
      </c>
      <c r="D1326" t="s">
        <v>3</v>
      </c>
      <c r="E1326" t="s">
        <v>52</v>
      </c>
      <c r="F1326" t="s">
        <v>53</v>
      </c>
      <c r="G1326" t="s">
        <v>757</v>
      </c>
      <c r="H1326" t="s">
        <v>42</v>
      </c>
      <c r="I1326" t="s">
        <v>43</v>
      </c>
      <c r="J1326" t="s">
        <v>2240</v>
      </c>
      <c r="K1326" t="s">
        <v>56</v>
      </c>
      <c r="M1326" t="s">
        <v>106</v>
      </c>
      <c r="P1326" t="s">
        <v>58</v>
      </c>
      <c r="Q1326" t="s">
        <v>47</v>
      </c>
      <c r="R1326" t="s">
        <v>48</v>
      </c>
      <c r="V1326" t="s">
        <v>49</v>
      </c>
      <c r="X1326" t="s">
        <v>49</v>
      </c>
      <c r="Y1326" t="s">
        <v>59</v>
      </c>
      <c r="Z1326" t="s">
        <v>2243</v>
      </c>
      <c r="AA1326" t="s">
        <v>2243</v>
      </c>
    </row>
    <row r="1327" spans="1:27" x14ac:dyDescent="0.35">
      <c r="A1327" t="str">
        <f t="shared" si="41"/>
        <v>1610D2</v>
      </c>
      <c r="B1327" t="str">
        <f t="shared" si="40"/>
        <v>1610</v>
      </c>
      <c r="C1327" t="s">
        <v>2244</v>
      </c>
      <c r="D1327" t="s">
        <v>2</v>
      </c>
      <c r="E1327" t="s">
        <v>62</v>
      </c>
      <c r="F1327" t="s">
        <v>63</v>
      </c>
      <c r="G1327" t="s">
        <v>757</v>
      </c>
      <c r="H1327" t="s">
        <v>42</v>
      </c>
      <c r="I1327" t="s">
        <v>43</v>
      </c>
      <c r="J1327" t="s">
        <v>2240</v>
      </c>
      <c r="K1327" t="s">
        <v>56</v>
      </c>
      <c r="M1327" t="s">
        <v>106</v>
      </c>
      <c r="P1327" t="s">
        <v>58</v>
      </c>
      <c r="Q1327" t="s">
        <v>47</v>
      </c>
      <c r="R1327" t="s">
        <v>48</v>
      </c>
      <c r="V1327" t="s">
        <v>49</v>
      </c>
      <c r="X1327" t="s">
        <v>49</v>
      </c>
      <c r="Y1327" t="s">
        <v>59</v>
      </c>
      <c r="Z1327" t="s">
        <v>2243</v>
      </c>
      <c r="AA1327" t="s">
        <v>2243</v>
      </c>
    </row>
    <row r="1328" spans="1:27" x14ac:dyDescent="0.35">
      <c r="A1328" t="str">
        <f t="shared" si="41"/>
        <v>1610F3</v>
      </c>
      <c r="B1328" t="str">
        <f t="shared" si="40"/>
        <v>1610</v>
      </c>
      <c r="C1328" t="s">
        <v>2245</v>
      </c>
      <c r="D1328" t="s">
        <v>5</v>
      </c>
      <c r="E1328" t="s">
        <v>40</v>
      </c>
      <c r="F1328" t="s">
        <v>73</v>
      </c>
      <c r="G1328" t="s">
        <v>757</v>
      </c>
      <c r="H1328" t="s">
        <v>42</v>
      </c>
      <c r="I1328" t="s">
        <v>67</v>
      </c>
      <c r="J1328" t="s">
        <v>2240</v>
      </c>
      <c r="M1328" t="s">
        <v>106</v>
      </c>
      <c r="P1328" t="s">
        <v>58</v>
      </c>
      <c r="Q1328" t="s">
        <v>47</v>
      </c>
      <c r="R1328" t="s">
        <v>48</v>
      </c>
      <c r="V1328" t="s">
        <v>49</v>
      </c>
      <c r="X1328" t="s">
        <v>49</v>
      </c>
      <c r="Y1328" t="s">
        <v>74</v>
      </c>
      <c r="Z1328" t="s">
        <v>2246</v>
      </c>
      <c r="AA1328" t="s">
        <v>2246</v>
      </c>
    </row>
    <row r="1329" spans="1:27" x14ac:dyDescent="0.35">
      <c r="A1329" t="str">
        <f t="shared" si="41"/>
        <v>808_F2</v>
      </c>
      <c r="B1329" t="str">
        <f t="shared" si="40"/>
        <v>808_</v>
      </c>
      <c r="C1329" t="s">
        <v>2247</v>
      </c>
      <c r="D1329" t="s">
        <v>4</v>
      </c>
      <c r="E1329" t="s">
        <v>77</v>
      </c>
      <c r="F1329" t="s">
        <v>78</v>
      </c>
      <c r="G1329" t="s">
        <v>757</v>
      </c>
      <c r="H1329" t="s">
        <v>42</v>
      </c>
      <c r="I1329" t="s">
        <v>67</v>
      </c>
      <c r="J1329" t="s">
        <v>2237</v>
      </c>
      <c r="M1329" t="s">
        <v>106</v>
      </c>
      <c r="P1329" t="s">
        <v>273</v>
      </c>
      <c r="Q1329" t="s">
        <v>47</v>
      </c>
      <c r="R1329" t="s">
        <v>48</v>
      </c>
      <c r="V1329" t="s">
        <v>49</v>
      </c>
      <c r="X1329" t="s">
        <v>49</v>
      </c>
      <c r="Y1329" t="s">
        <v>74</v>
      </c>
      <c r="Z1329" t="s">
        <v>2212</v>
      </c>
      <c r="AA1329" t="s">
        <v>2212</v>
      </c>
    </row>
    <row r="1330" spans="1:27" x14ac:dyDescent="0.35">
      <c r="A1330" t="str">
        <f t="shared" si="41"/>
        <v>808_C2</v>
      </c>
      <c r="B1330" t="str">
        <f t="shared" si="40"/>
        <v>808_</v>
      </c>
      <c r="C1330" t="s">
        <v>2248</v>
      </c>
      <c r="D1330" t="s">
        <v>1</v>
      </c>
      <c r="E1330" t="s">
        <v>65</v>
      </c>
      <c r="F1330" t="s">
        <v>66</v>
      </c>
      <c r="G1330" t="s">
        <v>757</v>
      </c>
      <c r="H1330" t="s">
        <v>42</v>
      </c>
      <c r="I1330" t="s">
        <v>67</v>
      </c>
      <c r="J1330" t="s">
        <v>2237</v>
      </c>
      <c r="M1330" t="s">
        <v>106</v>
      </c>
      <c r="P1330" t="s">
        <v>69</v>
      </c>
      <c r="Q1330" t="s">
        <v>47</v>
      </c>
      <c r="R1330" t="s">
        <v>48</v>
      </c>
      <c r="V1330" t="s">
        <v>49</v>
      </c>
      <c r="X1330" t="s">
        <v>49</v>
      </c>
      <c r="Y1330" t="s">
        <v>70</v>
      </c>
      <c r="Z1330" t="s">
        <v>2249</v>
      </c>
      <c r="AA1330" t="s">
        <v>2249</v>
      </c>
    </row>
    <row r="1331" spans="1:27" x14ac:dyDescent="0.35">
      <c r="A1331" t="str">
        <f t="shared" si="41"/>
        <v>1610C2</v>
      </c>
      <c r="B1331" t="str">
        <f t="shared" si="40"/>
        <v>1610</v>
      </c>
      <c r="C1331" t="s">
        <v>2250</v>
      </c>
      <c r="D1331" t="s">
        <v>1</v>
      </c>
      <c r="E1331" t="s">
        <v>65</v>
      </c>
      <c r="F1331" t="s">
        <v>66</v>
      </c>
      <c r="G1331" t="s">
        <v>757</v>
      </c>
      <c r="H1331" t="s">
        <v>42</v>
      </c>
      <c r="I1331" t="s">
        <v>67</v>
      </c>
      <c r="J1331" t="s">
        <v>2240</v>
      </c>
      <c r="M1331" t="s">
        <v>106</v>
      </c>
      <c r="P1331" t="s">
        <v>69</v>
      </c>
      <c r="Q1331" t="s">
        <v>47</v>
      </c>
      <c r="R1331" t="s">
        <v>48</v>
      </c>
      <c r="V1331" t="s">
        <v>49</v>
      </c>
      <c r="X1331" t="s">
        <v>49</v>
      </c>
      <c r="Y1331" t="s">
        <v>70</v>
      </c>
      <c r="Z1331" t="s">
        <v>2251</v>
      </c>
      <c r="AA1331" t="s">
        <v>2252</v>
      </c>
    </row>
    <row r="1332" spans="1:27" x14ac:dyDescent="0.35">
      <c r="A1332" t="str">
        <f t="shared" si="41"/>
        <v>1610D7</v>
      </c>
      <c r="B1332" t="str">
        <f t="shared" si="40"/>
        <v>1610</v>
      </c>
      <c r="C1332" t="s">
        <v>2253</v>
      </c>
      <c r="D1332" t="s">
        <v>6</v>
      </c>
      <c r="E1332" t="s">
        <v>94</v>
      </c>
      <c r="F1332" t="s">
        <v>111</v>
      </c>
      <c r="G1332" t="s">
        <v>757</v>
      </c>
      <c r="H1332" t="s">
        <v>42</v>
      </c>
      <c r="I1332" t="s">
        <v>43</v>
      </c>
      <c r="J1332" t="s">
        <v>2240</v>
      </c>
      <c r="M1332" t="s">
        <v>106</v>
      </c>
      <c r="P1332" t="s">
        <v>46</v>
      </c>
      <c r="Q1332" t="s">
        <v>47</v>
      </c>
      <c r="R1332" t="s">
        <v>48</v>
      </c>
      <c r="V1332" t="s">
        <v>49</v>
      </c>
      <c r="X1332" t="s">
        <v>49</v>
      </c>
      <c r="Y1332" t="s">
        <v>59</v>
      </c>
      <c r="Z1332" t="s">
        <v>2254</v>
      </c>
      <c r="AA1332" t="s">
        <v>2254</v>
      </c>
    </row>
    <row r="1333" spans="1:27" x14ac:dyDescent="0.35">
      <c r="A1333" t="str">
        <f t="shared" si="41"/>
        <v>808_D2</v>
      </c>
      <c r="B1333" t="str">
        <f t="shared" si="40"/>
        <v>808_</v>
      </c>
      <c r="C1333" t="s">
        <v>2255</v>
      </c>
      <c r="D1333" t="s">
        <v>2</v>
      </c>
      <c r="E1333" t="s">
        <v>62</v>
      </c>
      <c r="F1333" t="s">
        <v>63</v>
      </c>
      <c r="G1333" t="s">
        <v>757</v>
      </c>
      <c r="H1333" t="s">
        <v>42</v>
      </c>
      <c r="I1333" t="s">
        <v>67</v>
      </c>
      <c r="J1333" t="s">
        <v>2237</v>
      </c>
      <c r="K1333" t="s">
        <v>56</v>
      </c>
      <c r="M1333" t="s">
        <v>106</v>
      </c>
      <c r="P1333" t="s">
        <v>58</v>
      </c>
      <c r="Q1333" t="s">
        <v>47</v>
      </c>
      <c r="R1333" t="s">
        <v>48</v>
      </c>
      <c r="V1333" t="s">
        <v>49</v>
      </c>
      <c r="X1333" t="s">
        <v>49</v>
      </c>
      <c r="Y1333" t="s">
        <v>59</v>
      </c>
      <c r="Z1333" t="s">
        <v>2256</v>
      </c>
      <c r="AA1333" t="s">
        <v>2256</v>
      </c>
    </row>
    <row r="1334" spans="1:27" x14ac:dyDescent="0.35">
      <c r="A1334" t="str">
        <f t="shared" si="41"/>
        <v>808_D7</v>
      </c>
      <c r="B1334" t="str">
        <f t="shared" si="40"/>
        <v>808_</v>
      </c>
      <c r="C1334" t="s">
        <v>2257</v>
      </c>
      <c r="D1334" t="s">
        <v>6</v>
      </c>
      <c r="E1334" t="s">
        <v>94</v>
      </c>
      <c r="F1334" t="s">
        <v>111</v>
      </c>
      <c r="G1334" t="s">
        <v>757</v>
      </c>
      <c r="H1334" t="s">
        <v>42</v>
      </c>
      <c r="I1334" t="s">
        <v>67</v>
      </c>
      <c r="J1334" t="s">
        <v>2237</v>
      </c>
      <c r="M1334" t="s">
        <v>106</v>
      </c>
      <c r="P1334" t="s">
        <v>46</v>
      </c>
      <c r="Q1334" t="s">
        <v>47</v>
      </c>
      <c r="R1334" t="s">
        <v>48</v>
      </c>
      <c r="V1334" t="s">
        <v>49</v>
      </c>
      <c r="X1334" t="s">
        <v>49</v>
      </c>
      <c r="Y1334" t="s">
        <v>59</v>
      </c>
      <c r="Z1334" t="s">
        <v>2258</v>
      </c>
      <c r="AA1334" t="s">
        <v>2258</v>
      </c>
    </row>
    <row r="1335" spans="1:27" x14ac:dyDescent="0.35">
      <c r="A1335" t="str">
        <f t="shared" si="41"/>
        <v>808_D4</v>
      </c>
      <c r="B1335" t="str">
        <f t="shared" si="40"/>
        <v>808_</v>
      </c>
      <c r="C1335" t="s">
        <v>2259</v>
      </c>
      <c r="D1335" t="s">
        <v>3</v>
      </c>
      <c r="E1335" t="s">
        <v>52</v>
      </c>
      <c r="F1335" t="s">
        <v>53</v>
      </c>
      <c r="G1335" t="s">
        <v>757</v>
      </c>
      <c r="H1335" t="s">
        <v>42</v>
      </c>
      <c r="I1335" t="s">
        <v>67</v>
      </c>
      <c r="J1335" t="s">
        <v>2237</v>
      </c>
      <c r="K1335" t="s">
        <v>56</v>
      </c>
      <c r="M1335" t="s">
        <v>106</v>
      </c>
      <c r="P1335" t="s">
        <v>58</v>
      </c>
      <c r="Q1335" t="s">
        <v>47</v>
      </c>
      <c r="R1335" t="s">
        <v>48</v>
      </c>
      <c r="V1335" t="s">
        <v>49</v>
      </c>
      <c r="X1335" t="s">
        <v>49</v>
      </c>
      <c r="Y1335" t="s">
        <v>59</v>
      </c>
      <c r="Z1335" t="s">
        <v>2113</v>
      </c>
      <c r="AA1335" t="s">
        <v>2113</v>
      </c>
    </row>
    <row r="1336" spans="1:27" x14ac:dyDescent="0.35">
      <c r="A1336" t="str">
        <f t="shared" si="41"/>
        <v>807_F3</v>
      </c>
      <c r="B1336" t="str">
        <f t="shared" si="40"/>
        <v>807_</v>
      </c>
      <c r="C1336" t="s">
        <v>2260</v>
      </c>
      <c r="D1336" t="s">
        <v>5</v>
      </c>
      <c r="E1336" t="s">
        <v>40</v>
      </c>
      <c r="F1336" t="s">
        <v>73</v>
      </c>
      <c r="G1336" t="s">
        <v>757</v>
      </c>
      <c r="H1336" t="s">
        <v>42</v>
      </c>
      <c r="I1336" t="s">
        <v>67</v>
      </c>
      <c r="J1336" t="s">
        <v>2261</v>
      </c>
      <c r="M1336" t="s">
        <v>106</v>
      </c>
      <c r="P1336" t="s">
        <v>46</v>
      </c>
      <c r="Q1336" t="s">
        <v>47</v>
      </c>
      <c r="R1336" t="s">
        <v>48</v>
      </c>
      <c r="V1336" t="s">
        <v>49</v>
      </c>
      <c r="X1336" t="s">
        <v>49</v>
      </c>
      <c r="Y1336" t="s">
        <v>74</v>
      </c>
      <c r="Z1336" t="s">
        <v>2238</v>
      </c>
      <c r="AA1336" t="s">
        <v>2238</v>
      </c>
    </row>
    <row r="1337" spans="1:27" x14ac:dyDescent="0.35">
      <c r="A1337" t="str">
        <f t="shared" si="41"/>
        <v>807_F2</v>
      </c>
      <c r="B1337" t="str">
        <f t="shared" si="40"/>
        <v>807_</v>
      </c>
      <c r="C1337" t="s">
        <v>2262</v>
      </c>
      <c r="D1337" t="s">
        <v>4</v>
      </c>
      <c r="E1337" t="s">
        <v>77</v>
      </c>
      <c r="F1337" t="s">
        <v>78</v>
      </c>
      <c r="G1337" t="s">
        <v>757</v>
      </c>
      <c r="H1337" t="s">
        <v>42</v>
      </c>
      <c r="I1337" t="s">
        <v>67</v>
      </c>
      <c r="J1337" t="s">
        <v>2261</v>
      </c>
      <c r="M1337" t="s">
        <v>106</v>
      </c>
      <c r="P1337" t="s">
        <v>189</v>
      </c>
      <c r="Q1337" t="s">
        <v>47</v>
      </c>
      <c r="R1337" t="s">
        <v>48</v>
      </c>
      <c r="V1337" t="s">
        <v>49</v>
      </c>
      <c r="X1337" t="s">
        <v>49</v>
      </c>
      <c r="Y1337" t="s">
        <v>74</v>
      </c>
      <c r="Z1337" t="s">
        <v>2263</v>
      </c>
      <c r="AA1337" t="s">
        <v>2263</v>
      </c>
    </row>
    <row r="1338" spans="1:27" x14ac:dyDescent="0.35">
      <c r="A1338" t="str">
        <f t="shared" si="41"/>
        <v>807_C2</v>
      </c>
      <c r="B1338" t="str">
        <f t="shared" si="40"/>
        <v>807_</v>
      </c>
      <c r="C1338" t="s">
        <v>2264</v>
      </c>
      <c r="D1338" t="s">
        <v>1</v>
      </c>
      <c r="E1338" t="s">
        <v>65</v>
      </c>
      <c r="F1338" t="s">
        <v>66</v>
      </c>
      <c r="G1338" t="s">
        <v>757</v>
      </c>
      <c r="H1338" t="s">
        <v>42</v>
      </c>
      <c r="I1338" t="s">
        <v>67</v>
      </c>
      <c r="J1338" t="s">
        <v>2261</v>
      </c>
      <c r="M1338" t="s">
        <v>106</v>
      </c>
      <c r="P1338" t="s">
        <v>69</v>
      </c>
      <c r="Q1338" t="s">
        <v>47</v>
      </c>
      <c r="R1338" t="s">
        <v>48</v>
      </c>
      <c r="V1338" t="s">
        <v>49</v>
      </c>
      <c r="X1338" t="s">
        <v>49</v>
      </c>
      <c r="Y1338" t="s">
        <v>70</v>
      </c>
      <c r="Z1338" t="s">
        <v>2265</v>
      </c>
      <c r="AA1338" t="s">
        <v>2265</v>
      </c>
    </row>
    <row r="1339" spans="1:27" x14ac:dyDescent="0.35">
      <c r="A1339" t="str">
        <f t="shared" si="41"/>
        <v>807_D2</v>
      </c>
      <c r="B1339" t="str">
        <f t="shared" si="40"/>
        <v>807_</v>
      </c>
      <c r="C1339" t="s">
        <v>2266</v>
      </c>
      <c r="D1339" t="s">
        <v>2</v>
      </c>
      <c r="E1339" t="s">
        <v>62</v>
      </c>
      <c r="F1339" t="s">
        <v>63</v>
      </c>
      <c r="G1339" t="s">
        <v>757</v>
      </c>
      <c r="H1339" t="s">
        <v>42</v>
      </c>
      <c r="I1339" t="s">
        <v>67</v>
      </c>
      <c r="J1339" t="s">
        <v>2261</v>
      </c>
      <c r="K1339" t="s">
        <v>56</v>
      </c>
      <c r="M1339" t="s">
        <v>106</v>
      </c>
      <c r="P1339" t="s">
        <v>58</v>
      </c>
      <c r="Q1339" t="s">
        <v>47</v>
      </c>
      <c r="R1339" t="s">
        <v>48</v>
      </c>
      <c r="V1339" t="s">
        <v>49</v>
      </c>
      <c r="X1339" t="s">
        <v>49</v>
      </c>
      <c r="Y1339" t="s">
        <v>59</v>
      </c>
      <c r="Z1339" t="s">
        <v>2267</v>
      </c>
      <c r="AA1339" t="s">
        <v>2267</v>
      </c>
    </row>
    <row r="1340" spans="1:27" x14ac:dyDescent="0.35">
      <c r="A1340" t="str">
        <f t="shared" si="41"/>
        <v>807_D7</v>
      </c>
      <c r="B1340" t="str">
        <f t="shared" si="40"/>
        <v>807_</v>
      </c>
      <c r="C1340" t="s">
        <v>2268</v>
      </c>
      <c r="D1340" t="s">
        <v>6</v>
      </c>
      <c r="E1340" t="s">
        <v>94</v>
      </c>
      <c r="F1340" t="s">
        <v>111</v>
      </c>
      <c r="G1340" t="s">
        <v>757</v>
      </c>
      <c r="H1340" t="s">
        <v>42</v>
      </c>
      <c r="I1340" t="s">
        <v>67</v>
      </c>
      <c r="J1340" t="s">
        <v>2261</v>
      </c>
      <c r="M1340" t="s">
        <v>106</v>
      </c>
      <c r="P1340" t="s">
        <v>46</v>
      </c>
      <c r="Q1340" t="s">
        <v>47</v>
      </c>
      <c r="R1340" t="s">
        <v>48</v>
      </c>
      <c r="V1340" t="s">
        <v>49</v>
      </c>
      <c r="X1340" t="s">
        <v>49</v>
      </c>
      <c r="Y1340" t="s">
        <v>59</v>
      </c>
      <c r="Z1340" t="s">
        <v>2258</v>
      </c>
      <c r="AA1340" t="s">
        <v>2258</v>
      </c>
    </row>
    <row r="1341" spans="1:27" x14ac:dyDescent="0.35">
      <c r="A1341" t="str">
        <f t="shared" si="41"/>
        <v>807_D4</v>
      </c>
      <c r="B1341" t="str">
        <f t="shared" si="40"/>
        <v>807_</v>
      </c>
      <c r="C1341" t="s">
        <v>2269</v>
      </c>
      <c r="D1341" t="s">
        <v>3</v>
      </c>
      <c r="E1341" t="s">
        <v>52</v>
      </c>
      <c r="F1341" t="s">
        <v>53</v>
      </c>
      <c r="G1341" t="s">
        <v>757</v>
      </c>
      <c r="H1341" t="s">
        <v>42</v>
      </c>
      <c r="I1341" t="s">
        <v>67</v>
      </c>
      <c r="J1341" t="s">
        <v>2261</v>
      </c>
      <c r="K1341" t="s">
        <v>56</v>
      </c>
      <c r="M1341" t="s">
        <v>106</v>
      </c>
      <c r="P1341" t="s">
        <v>58</v>
      </c>
      <c r="Q1341" t="s">
        <v>47</v>
      </c>
      <c r="R1341" t="s">
        <v>48</v>
      </c>
      <c r="V1341" t="s">
        <v>49</v>
      </c>
      <c r="X1341" t="s">
        <v>49</v>
      </c>
      <c r="Y1341" t="s">
        <v>59</v>
      </c>
      <c r="Z1341" t="s">
        <v>2113</v>
      </c>
      <c r="AA1341" t="s">
        <v>2113</v>
      </c>
    </row>
    <row r="1342" spans="1:27" x14ac:dyDescent="0.35">
      <c r="A1342" t="str">
        <f t="shared" si="41"/>
        <v>1609F2</v>
      </c>
      <c r="B1342" t="str">
        <f t="shared" si="40"/>
        <v>1609</v>
      </c>
      <c r="C1342" t="s">
        <v>2270</v>
      </c>
      <c r="D1342" t="s">
        <v>4</v>
      </c>
      <c r="E1342" t="s">
        <v>77</v>
      </c>
      <c r="F1342" t="s">
        <v>78</v>
      </c>
      <c r="G1342" t="s">
        <v>757</v>
      </c>
      <c r="H1342" t="s">
        <v>42</v>
      </c>
      <c r="I1342" t="s">
        <v>67</v>
      </c>
      <c r="J1342" t="s">
        <v>2271</v>
      </c>
      <c r="M1342" t="s">
        <v>106</v>
      </c>
      <c r="P1342" t="s">
        <v>304</v>
      </c>
      <c r="Q1342" t="s">
        <v>47</v>
      </c>
      <c r="R1342" t="s">
        <v>48</v>
      </c>
      <c r="V1342" t="s">
        <v>49</v>
      </c>
      <c r="X1342" t="s">
        <v>49</v>
      </c>
      <c r="Y1342" t="s">
        <v>74</v>
      </c>
      <c r="Z1342" t="s">
        <v>2272</v>
      </c>
      <c r="AA1342" t="s">
        <v>2273</v>
      </c>
    </row>
    <row r="1343" spans="1:27" x14ac:dyDescent="0.35">
      <c r="A1343" t="str">
        <f t="shared" si="41"/>
        <v>806_F3</v>
      </c>
      <c r="B1343" t="str">
        <f t="shared" si="40"/>
        <v>806_</v>
      </c>
      <c r="C1343" t="s">
        <v>2274</v>
      </c>
      <c r="D1343" t="s">
        <v>5</v>
      </c>
      <c r="E1343" t="s">
        <v>40</v>
      </c>
      <c r="F1343" t="s">
        <v>73</v>
      </c>
      <c r="G1343" t="s">
        <v>757</v>
      </c>
      <c r="H1343" t="s">
        <v>42</v>
      </c>
      <c r="I1343" t="s">
        <v>67</v>
      </c>
      <c r="J1343" t="s">
        <v>2275</v>
      </c>
      <c r="M1343" t="s">
        <v>106</v>
      </c>
      <c r="P1343" t="s">
        <v>46</v>
      </c>
      <c r="Q1343" t="s">
        <v>47</v>
      </c>
      <c r="R1343" t="s">
        <v>48</v>
      </c>
      <c r="V1343" t="s">
        <v>49</v>
      </c>
      <c r="X1343" t="s">
        <v>49</v>
      </c>
      <c r="Y1343" t="s">
        <v>74</v>
      </c>
      <c r="Z1343" t="s">
        <v>2238</v>
      </c>
      <c r="AA1343" t="s">
        <v>2238</v>
      </c>
    </row>
    <row r="1344" spans="1:27" x14ac:dyDescent="0.35">
      <c r="A1344" t="str">
        <f t="shared" si="41"/>
        <v>1609D4</v>
      </c>
      <c r="B1344" t="str">
        <f t="shared" si="40"/>
        <v>1609</v>
      </c>
      <c r="C1344" t="s">
        <v>2276</v>
      </c>
      <c r="D1344" t="s">
        <v>3</v>
      </c>
      <c r="E1344" t="s">
        <v>52</v>
      </c>
      <c r="F1344" t="s">
        <v>53</v>
      </c>
      <c r="G1344" t="s">
        <v>757</v>
      </c>
      <c r="H1344" t="s">
        <v>42</v>
      </c>
      <c r="I1344" t="s">
        <v>43</v>
      </c>
      <c r="J1344" t="s">
        <v>2271</v>
      </c>
      <c r="K1344" t="s">
        <v>56</v>
      </c>
      <c r="M1344" t="s">
        <v>106</v>
      </c>
      <c r="P1344" t="s">
        <v>58</v>
      </c>
      <c r="Q1344" t="s">
        <v>47</v>
      </c>
      <c r="R1344" t="s">
        <v>48</v>
      </c>
      <c r="V1344" t="s">
        <v>49</v>
      </c>
      <c r="X1344" t="s">
        <v>49</v>
      </c>
      <c r="Y1344" t="s">
        <v>59</v>
      </c>
      <c r="Z1344" t="s">
        <v>2218</v>
      </c>
      <c r="AA1344" t="s">
        <v>2218</v>
      </c>
    </row>
    <row r="1345" spans="1:27" x14ac:dyDescent="0.35">
      <c r="A1345" t="str">
        <f t="shared" si="41"/>
        <v>1609D2</v>
      </c>
      <c r="B1345" t="str">
        <f t="shared" si="40"/>
        <v>1609</v>
      </c>
      <c r="C1345" t="s">
        <v>2277</v>
      </c>
      <c r="D1345" t="s">
        <v>2</v>
      </c>
      <c r="E1345" t="s">
        <v>62</v>
      </c>
      <c r="F1345" t="s">
        <v>63</v>
      </c>
      <c r="G1345" t="s">
        <v>757</v>
      </c>
      <c r="H1345" t="s">
        <v>98</v>
      </c>
      <c r="I1345" t="s">
        <v>43</v>
      </c>
      <c r="J1345" t="s">
        <v>2271</v>
      </c>
      <c r="K1345" t="s">
        <v>56</v>
      </c>
      <c r="M1345" t="s">
        <v>106</v>
      </c>
      <c r="P1345" t="s">
        <v>46</v>
      </c>
      <c r="Q1345" t="s">
        <v>47</v>
      </c>
      <c r="R1345" t="s">
        <v>48</v>
      </c>
      <c r="V1345" t="s">
        <v>49</v>
      </c>
      <c r="X1345" t="s">
        <v>49</v>
      </c>
      <c r="Y1345" t="s">
        <v>59</v>
      </c>
      <c r="Z1345" t="s">
        <v>2278</v>
      </c>
    </row>
    <row r="1346" spans="1:27" x14ac:dyDescent="0.35">
      <c r="A1346" t="str">
        <f t="shared" si="41"/>
        <v>1609F3</v>
      </c>
      <c r="B1346" t="str">
        <f t="shared" ref="B1346:B1409" si="42">LEFT($J:$J,4)</f>
        <v>1609</v>
      </c>
      <c r="C1346" t="s">
        <v>2279</v>
      </c>
      <c r="D1346" t="s">
        <v>5</v>
      </c>
      <c r="E1346" t="s">
        <v>40</v>
      </c>
      <c r="F1346" t="s">
        <v>73</v>
      </c>
      <c r="G1346" t="s">
        <v>757</v>
      </c>
      <c r="H1346" t="s">
        <v>42</v>
      </c>
      <c r="I1346" t="s">
        <v>67</v>
      </c>
      <c r="J1346" t="s">
        <v>2271</v>
      </c>
      <c r="M1346" t="s">
        <v>106</v>
      </c>
      <c r="P1346" t="s">
        <v>58</v>
      </c>
      <c r="Q1346" t="s">
        <v>47</v>
      </c>
      <c r="R1346" t="s">
        <v>48</v>
      </c>
      <c r="V1346" t="s">
        <v>49</v>
      </c>
      <c r="X1346" t="s">
        <v>49</v>
      </c>
      <c r="Y1346" t="s">
        <v>74</v>
      </c>
      <c r="Z1346" t="s">
        <v>2246</v>
      </c>
      <c r="AA1346" t="s">
        <v>2246</v>
      </c>
    </row>
    <row r="1347" spans="1:27" x14ac:dyDescent="0.35">
      <c r="A1347" t="str">
        <f t="shared" ref="A1347:A1410" si="43">B1347&amp;D1347</f>
        <v>1609C2</v>
      </c>
      <c r="B1347" t="str">
        <f t="shared" si="42"/>
        <v>1609</v>
      </c>
      <c r="C1347" t="s">
        <v>2280</v>
      </c>
      <c r="D1347" t="s">
        <v>1</v>
      </c>
      <c r="E1347" t="s">
        <v>65</v>
      </c>
      <c r="F1347" t="s">
        <v>66</v>
      </c>
      <c r="G1347" t="s">
        <v>757</v>
      </c>
      <c r="H1347" t="s">
        <v>42</v>
      </c>
      <c r="I1347" t="s">
        <v>67</v>
      </c>
      <c r="J1347" t="s">
        <v>2271</v>
      </c>
      <c r="M1347" t="s">
        <v>106</v>
      </c>
      <c r="P1347" t="s">
        <v>69</v>
      </c>
      <c r="Q1347" t="s">
        <v>47</v>
      </c>
      <c r="R1347" t="s">
        <v>48</v>
      </c>
      <c r="V1347" t="s">
        <v>49</v>
      </c>
      <c r="X1347" t="s">
        <v>49</v>
      </c>
      <c r="Y1347" t="s">
        <v>70</v>
      </c>
      <c r="Z1347" t="s">
        <v>2230</v>
      </c>
      <c r="AA1347" t="s">
        <v>2230</v>
      </c>
    </row>
    <row r="1348" spans="1:27" x14ac:dyDescent="0.35">
      <c r="A1348" t="str">
        <f t="shared" si="43"/>
        <v>806_F2</v>
      </c>
      <c r="B1348" t="str">
        <f t="shared" si="42"/>
        <v>806_</v>
      </c>
      <c r="C1348" t="s">
        <v>2281</v>
      </c>
      <c r="D1348" t="s">
        <v>4</v>
      </c>
      <c r="E1348" t="s">
        <v>77</v>
      </c>
      <c r="F1348" t="s">
        <v>78</v>
      </c>
      <c r="G1348" t="s">
        <v>757</v>
      </c>
      <c r="H1348" t="s">
        <v>42</v>
      </c>
      <c r="I1348" t="s">
        <v>67</v>
      </c>
      <c r="J1348" t="s">
        <v>2275</v>
      </c>
      <c r="M1348" t="s">
        <v>106</v>
      </c>
      <c r="P1348" t="s">
        <v>189</v>
      </c>
      <c r="Q1348" t="s">
        <v>47</v>
      </c>
      <c r="R1348" t="s">
        <v>48</v>
      </c>
      <c r="V1348" t="s">
        <v>49</v>
      </c>
      <c r="X1348" t="s">
        <v>49</v>
      </c>
      <c r="Y1348" t="s">
        <v>74</v>
      </c>
      <c r="Z1348" t="s">
        <v>2263</v>
      </c>
      <c r="AA1348" t="s">
        <v>2263</v>
      </c>
    </row>
    <row r="1349" spans="1:27" x14ac:dyDescent="0.35">
      <c r="A1349" t="str">
        <f t="shared" si="43"/>
        <v>1609D7</v>
      </c>
      <c r="B1349" t="str">
        <f t="shared" si="42"/>
        <v>1609</v>
      </c>
      <c r="C1349" t="s">
        <v>2282</v>
      </c>
      <c r="D1349" t="s">
        <v>6</v>
      </c>
      <c r="E1349" t="s">
        <v>94</v>
      </c>
      <c r="F1349" t="s">
        <v>111</v>
      </c>
      <c r="G1349" t="s">
        <v>757</v>
      </c>
      <c r="H1349" t="s">
        <v>42</v>
      </c>
      <c r="I1349" t="s">
        <v>43</v>
      </c>
      <c r="J1349" t="s">
        <v>2271</v>
      </c>
      <c r="M1349" t="s">
        <v>106</v>
      </c>
      <c r="P1349" t="s">
        <v>273</v>
      </c>
      <c r="Q1349" t="s">
        <v>47</v>
      </c>
      <c r="R1349" t="s">
        <v>48</v>
      </c>
      <c r="V1349" t="s">
        <v>49</v>
      </c>
      <c r="X1349" t="s">
        <v>49</v>
      </c>
      <c r="Y1349" t="s">
        <v>59</v>
      </c>
      <c r="Z1349" t="s">
        <v>2283</v>
      </c>
      <c r="AA1349" t="s">
        <v>2283</v>
      </c>
    </row>
    <row r="1350" spans="1:27" x14ac:dyDescent="0.35">
      <c r="A1350" t="str">
        <f t="shared" si="43"/>
        <v>806_C2</v>
      </c>
      <c r="B1350" t="str">
        <f t="shared" si="42"/>
        <v>806_</v>
      </c>
      <c r="C1350" t="s">
        <v>2284</v>
      </c>
      <c r="D1350" t="s">
        <v>1</v>
      </c>
      <c r="E1350" t="s">
        <v>65</v>
      </c>
      <c r="F1350" t="s">
        <v>66</v>
      </c>
      <c r="G1350" t="s">
        <v>757</v>
      </c>
      <c r="H1350" t="s">
        <v>42</v>
      </c>
      <c r="I1350" t="s">
        <v>67</v>
      </c>
      <c r="J1350" t="s">
        <v>2275</v>
      </c>
      <c r="M1350" t="s">
        <v>106</v>
      </c>
      <c r="P1350" t="s">
        <v>69</v>
      </c>
      <c r="Q1350" t="s">
        <v>47</v>
      </c>
      <c r="R1350" t="s">
        <v>48</v>
      </c>
      <c r="V1350" t="s">
        <v>49</v>
      </c>
      <c r="X1350" t="s">
        <v>49</v>
      </c>
      <c r="Y1350" t="s">
        <v>70</v>
      </c>
      <c r="Z1350" t="s">
        <v>2285</v>
      </c>
      <c r="AA1350" t="s">
        <v>2285</v>
      </c>
    </row>
    <row r="1351" spans="1:27" x14ac:dyDescent="0.35">
      <c r="A1351" t="str">
        <f t="shared" si="43"/>
        <v>806_D2</v>
      </c>
      <c r="B1351" t="str">
        <f t="shared" si="42"/>
        <v>806_</v>
      </c>
      <c r="C1351" t="s">
        <v>2286</v>
      </c>
      <c r="D1351" t="s">
        <v>2</v>
      </c>
      <c r="E1351" t="s">
        <v>62</v>
      </c>
      <c r="F1351" t="s">
        <v>63</v>
      </c>
      <c r="G1351" t="s">
        <v>757</v>
      </c>
      <c r="H1351" t="s">
        <v>42</v>
      </c>
      <c r="I1351" t="s">
        <v>67</v>
      </c>
      <c r="J1351" t="s">
        <v>2275</v>
      </c>
      <c r="K1351" t="s">
        <v>56</v>
      </c>
      <c r="M1351" t="s">
        <v>106</v>
      </c>
      <c r="P1351" t="s">
        <v>58</v>
      </c>
      <c r="Q1351" t="s">
        <v>47</v>
      </c>
      <c r="R1351" t="s">
        <v>48</v>
      </c>
      <c r="V1351" t="s">
        <v>49</v>
      </c>
      <c r="X1351" t="s">
        <v>49</v>
      </c>
      <c r="Y1351" t="s">
        <v>59</v>
      </c>
      <c r="Z1351" t="s">
        <v>2287</v>
      </c>
      <c r="AA1351" t="s">
        <v>2287</v>
      </c>
    </row>
    <row r="1352" spans="1:27" x14ac:dyDescent="0.35">
      <c r="A1352" t="str">
        <f t="shared" si="43"/>
        <v>806_D7</v>
      </c>
      <c r="B1352" t="str">
        <f t="shared" si="42"/>
        <v>806_</v>
      </c>
      <c r="C1352" t="s">
        <v>2288</v>
      </c>
      <c r="D1352" t="s">
        <v>6</v>
      </c>
      <c r="E1352" t="s">
        <v>94</v>
      </c>
      <c r="F1352" t="s">
        <v>111</v>
      </c>
      <c r="G1352" t="s">
        <v>757</v>
      </c>
      <c r="H1352" t="s">
        <v>42</v>
      </c>
      <c r="I1352" t="s">
        <v>67</v>
      </c>
      <c r="J1352" t="s">
        <v>2275</v>
      </c>
      <c r="M1352" t="s">
        <v>106</v>
      </c>
      <c r="P1352" t="s">
        <v>46</v>
      </c>
      <c r="Q1352" t="s">
        <v>47</v>
      </c>
      <c r="R1352" t="s">
        <v>48</v>
      </c>
      <c r="V1352" t="s">
        <v>49</v>
      </c>
      <c r="X1352" t="s">
        <v>49</v>
      </c>
      <c r="Y1352" t="s">
        <v>59</v>
      </c>
      <c r="Z1352" t="s">
        <v>2289</v>
      </c>
      <c r="AA1352" t="s">
        <v>2289</v>
      </c>
    </row>
    <row r="1353" spans="1:27" x14ac:dyDescent="0.35">
      <c r="A1353" t="str">
        <f t="shared" si="43"/>
        <v>806_D4</v>
      </c>
      <c r="B1353" t="str">
        <f t="shared" si="42"/>
        <v>806_</v>
      </c>
      <c r="C1353" t="s">
        <v>2290</v>
      </c>
      <c r="D1353" t="s">
        <v>3</v>
      </c>
      <c r="E1353" t="s">
        <v>52</v>
      </c>
      <c r="F1353" t="s">
        <v>53</v>
      </c>
      <c r="G1353" t="s">
        <v>757</v>
      </c>
      <c r="H1353" t="s">
        <v>42</v>
      </c>
      <c r="I1353" t="s">
        <v>67</v>
      </c>
      <c r="J1353" t="s">
        <v>2275</v>
      </c>
      <c r="K1353" t="s">
        <v>56</v>
      </c>
      <c r="M1353" t="s">
        <v>106</v>
      </c>
      <c r="P1353" t="s">
        <v>58</v>
      </c>
      <c r="Q1353" t="s">
        <v>47</v>
      </c>
      <c r="R1353" t="s">
        <v>48</v>
      </c>
      <c r="V1353" t="s">
        <v>49</v>
      </c>
      <c r="X1353" t="s">
        <v>49</v>
      </c>
      <c r="Y1353" t="s">
        <v>59</v>
      </c>
      <c r="Z1353" t="s">
        <v>2113</v>
      </c>
      <c r="AA1353" t="s">
        <v>2113</v>
      </c>
    </row>
    <row r="1354" spans="1:27" x14ac:dyDescent="0.35">
      <c r="A1354" t="str">
        <f t="shared" si="43"/>
        <v>805_F3</v>
      </c>
      <c r="B1354" t="str">
        <f t="shared" si="42"/>
        <v>805_</v>
      </c>
      <c r="C1354" t="s">
        <v>2291</v>
      </c>
      <c r="D1354" t="s">
        <v>5</v>
      </c>
      <c r="E1354" t="s">
        <v>40</v>
      </c>
      <c r="F1354" t="s">
        <v>73</v>
      </c>
      <c r="G1354" t="s">
        <v>757</v>
      </c>
      <c r="H1354" t="s">
        <v>42</v>
      </c>
      <c r="I1354" t="s">
        <v>67</v>
      </c>
      <c r="J1354" t="s">
        <v>2292</v>
      </c>
      <c r="M1354" t="s">
        <v>106</v>
      </c>
      <c r="P1354" t="s">
        <v>46</v>
      </c>
      <c r="Q1354" t="s">
        <v>47</v>
      </c>
      <c r="R1354" t="s">
        <v>48</v>
      </c>
      <c r="V1354" t="s">
        <v>49</v>
      </c>
      <c r="X1354" t="s">
        <v>49</v>
      </c>
      <c r="Y1354" t="s">
        <v>74</v>
      </c>
      <c r="Z1354" t="s">
        <v>2238</v>
      </c>
      <c r="AA1354" t="s">
        <v>2238</v>
      </c>
    </row>
    <row r="1355" spans="1:27" x14ac:dyDescent="0.35">
      <c r="A1355" t="str">
        <f t="shared" si="43"/>
        <v>805_F2</v>
      </c>
      <c r="B1355" t="str">
        <f t="shared" si="42"/>
        <v>805_</v>
      </c>
      <c r="C1355" t="s">
        <v>2293</v>
      </c>
      <c r="D1355" t="s">
        <v>4</v>
      </c>
      <c r="E1355" t="s">
        <v>77</v>
      </c>
      <c r="F1355" t="s">
        <v>78</v>
      </c>
      <c r="G1355" t="s">
        <v>757</v>
      </c>
      <c r="H1355" t="s">
        <v>42</v>
      </c>
      <c r="I1355" t="s">
        <v>67</v>
      </c>
      <c r="J1355" t="s">
        <v>2292</v>
      </c>
      <c r="M1355" t="s">
        <v>106</v>
      </c>
      <c r="P1355" t="s">
        <v>138</v>
      </c>
      <c r="Q1355" t="s">
        <v>47</v>
      </c>
      <c r="R1355" t="s">
        <v>48</v>
      </c>
      <c r="V1355" t="s">
        <v>49</v>
      </c>
      <c r="X1355" t="s">
        <v>49</v>
      </c>
      <c r="Y1355" t="s">
        <v>74</v>
      </c>
      <c r="Z1355" t="s">
        <v>2294</v>
      </c>
      <c r="AA1355" t="s">
        <v>2294</v>
      </c>
    </row>
    <row r="1356" spans="1:27" x14ac:dyDescent="0.35">
      <c r="A1356" t="str">
        <f t="shared" si="43"/>
        <v>805_C2</v>
      </c>
      <c r="B1356" t="str">
        <f t="shared" si="42"/>
        <v>805_</v>
      </c>
      <c r="C1356" t="s">
        <v>2295</v>
      </c>
      <c r="D1356" t="s">
        <v>1</v>
      </c>
      <c r="E1356" t="s">
        <v>65</v>
      </c>
      <c r="F1356" t="s">
        <v>66</v>
      </c>
      <c r="G1356" t="s">
        <v>757</v>
      </c>
      <c r="H1356" t="s">
        <v>42</v>
      </c>
      <c r="I1356" t="s">
        <v>67</v>
      </c>
      <c r="J1356" t="s">
        <v>2292</v>
      </c>
      <c r="M1356" t="s">
        <v>106</v>
      </c>
      <c r="P1356" t="s">
        <v>69</v>
      </c>
      <c r="Q1356" t="s">
        <v>47</v>
      </c>
      <c r="R1356" t="s">
        <v>48</v>
      </c>
      <c r="V1356" t="s">
        <v>49</v>
      </c>
      <c r="X1356" t="s">
        <v>49</v>
      </c>
      <c r="Y1356" t="s">
        <v>70</v>
      </c>
      <c r="Z1356" t="s">
        <v>2230</v>
      </c>
      <c r="AA1356" t="s">
        <v>2230</v>
      </c>
    </row>
    <row r="1357" spans="1:27" x14ac:dyDescent="0.35">
      <c r="A1357" t="str">
        <f t="shared" si="43"/>
        <v>805_D2</v>
      </c>
      <c r="B1357" t="str">
        <f t="shared" si="42"/>
        <v>805_</v>
      </c>
      <c r="C1357" t="s">
        <v>2296</v>
      </c>
      <c r="D1357" t="s">
        <v>2</v>
      </c>
      <c r="E1357" t="s">
        <v>62</v>
      </c>
      <c r="F1357" t="s">
        <v>63</v>
      </c>
      <c r="G1357" t="s">
        <v>757</v>
      </c>
      <c r="H1357" t="s">
        <v>42</v>
      </c>
      <c r="I1357" t="s">
        <v>67</v>
      </c>
      <c r="J1357" t="s">
        <v>2292</v>
      </c>
      <c r="K1357" t="s">
        <v>56</v>
      </c>
      <c r="M1357" t="s">
        <v>106</v>
      </c>
      <c r="P1357" t="s">
        <v>58</v>
      </c>
      <c r="Q1357" t="s">
        <v>47</v>
      </c>
      <c r="R1357" t="s">
        <v>48</v>
      </c>
      <c r="V1357" t="s">
        <v>49</v>
      </c>
      <c r="X1357" t="s">
        <v>49</v>
      </c>
      <c r="Y1357" t="s">
        <v>59</v>
      </c>
      <c r="Z1357" t="s">
        <v>2141</v>
      </c>
      <c r="AA1357" t="s">
        <v>2141</v>
      </c>
    </row>
    <row r="1358" spans="1:27" x14ac:dyDescent="0.35">
      <c r="A1358" t="str">
        <f t="shared" si="43"/>
        <v>1608F2</v>
      </c>
      <c r="B1358" t="str">
        <f t="shared" si="42"/>
        <v>1608</v>
      </c>
      <c r="C1358" t="s">
        <v>2297</v>
      </c>
      <c r="D1358" t="s">
        <v>4</v>
      </c>
      <c r="E1358" t="s">
        <v>77</v>
      </c>
      <c r="F1358" t="s">
        <v>78</v>
      </c>
      <c r="G1358" t="s">
        <v>757</v>
      </c>
      <c r="H1358" t="s">
        <v>42</v>
      </c>
      <c r="I1358" t="s">
        <v>67</v>
      </c>
      <c r="J1358" t="s">
        <v>2298</v>
      </c>
      <c r="M1358" t="s">
        <v>106</v>
      </c>
      <c r="P1358" t="s">
        <v>189</v>
      </c>
      <c r="Q1358" t="s">
        <v>47</v>
      </c>
      <c r="R1358" t="s">
        <v>48</v>
      </c>
      <c r="V1358" t="s">
        <v>49</v>
      </c>
      <c r="X1358" t="s">
        <v>49</v>
      </c>
      <c r="Y1358" t="s">
        <v>74</v>
      </c>
      <c r="Z1358" t="s">
        <v>2241</v>
      </c>
      <c r="AA1358" t="s">
        <v>2241</v>
      </c>
    </row>
    <row r="1359" spans="1:27" x14ac:dyDescent="0.35">
      <c r="A1359" t="str">
        <f t="shared" si="43"/>
        <v>805_D7</v>
      </c>
      <c r="B1359" t="str">
        <f t="shared" si="42"/>
        <v>805_</v>
      </c>
      <c r="C1359" t="s">
        <v>2299</v>
      </c>
      <c r="D1359" t="s">
        <v>6</v>
      </c>
      <c r="E1359" t="s">
        <v>94</v>
      </c>
      <c r="F1359" t="s">
        <v>111</v>
      </c>
      <c r="G1359" t="s">
        <v>757</v>
      </c>
      <c r="H1359" t="s">
        <v>42</v>
      </c>
      <c r="I1359" t="s">
        <v>67</v>
      </c>
      <c r="J1359" t="s">
        <v>2292</v>
      </c>
      <c r="M1359" t="s">
        <v>106</v>
      </c>
      <c r="P1359" t="s">
        <v>46</v>
      </c>
      <c r="Q1359" t="s">
        <v>47</v>
      </c>
      <c r="R1359" t="s">
        <v>48</v>
      </c>
      <c r="V1359" t="s">
        <v>49</v>
      </c>
      <c r="X1359" t="s">
        <v>49</v>
      </c>
      <c r="Y1359" t="s">
        <v>59</v>
      </c>
      <c r="Z1359" t="s">
        <v>2300</v>
      </c>
      <c r="AA1359" t="s">
        <v>2300</v>
      </c>
    </row>
    <row r="1360" spans="1:27" x14ac:dyDescent="0.35">
      <c r="A1360" t="str">
        <f t="shared" si="43"/>
        <v>1608D4</v>
      </c>
      <c r="B1360" t="str">
        <f t="shared" si="42"/>
        <v>1608</v>
      </c>
      <c r="C1360" t="s">
        <v>2301</v>
      </c>
      <c r="D1360" t="s">
        <v>3</v>
      </c>
      <c r="E1360" t="s">
        <v>52</v>
      </c>
      <c r="F1360" t="s">
        <v>53</v>
      </c>
      <c r="G1360" t="s">
        <v>757</v>
      </c>
      <c r="H1360" t="s">
        <v>42</v>
      </c>
      <c r="I1360" t="s">
        <v>43</v>
      </c>
      <c r="J1360" t="s">
        <v>2298</v>
      </c>
      <c r="K1360" t="s">
        <v>56</v>
      </c>
      <c r="M1360" t="s">
        <v>106</v>
      </c>
      <c r="P1360" t="s">
        <v>58</v>
      </c>
      <c r="Q1360" t="s">
        <v>47</v>
      </c>
      <c r="R1360" t="s">
        <v>48</v>
      </c>
      <c r="V1360" t="s">
        <v>49</v>
      </c>
      <c r="X1360" t="s">
        <v>49</v>
      </c>
      <c r="Y1360" t="s">
        <v>59</v>
      </c>
      <c r="Z1360" t="s">
        <v>2302</v>
      </c>
      <c r="AA1360" t="s">
        <v>2302</v>
      </c>
    </row>
    <row r="1361" spans="1:27" x14ac:dyDescent="0.35">
      <c r="A1361" t="str">
        <f t="shared" si="43"/>
        <v>805_D4</v>
      </c>
      <c r="B1361" t="str">
        <f t="shared" si="42"/>
        <v>805_</v>
      </c>
      <c r="C1361" t="s">
        <v>2303</v>
      </c>
      <c r="D1361" t="s">
        <v>3</v>
      </c>
      <c r="E1361" t="s">
        <v>52</v>
      </c>
      <c r="F1361" t="s">
        <v>53</v>
      </c>
      <c r="G1361" t="s">
        <v>757</v>
      </c>
      <c r="H1361" t="s">
        <v>42</v>
      </c>
      <c r="I1361" t="s">
        <v>67</v>
      </c>
      <c r="J1361" t="s">
        <v>2292</v>
      </c>
      <c r="K1361" t="s">
        <v>56</v>
      </c>
      <c r="M1361" t="s">
        <v>106</v>
      </c>
      <c r="P1361" t="s">
        <v>58</v>
      </c>
      <c r="Q1361" t="s">
        <v>47</v>
      </c>
      <c r="R1361" t="s">
        <v>48</v>
      </c>
      <c r="V1361" t="s">
        <v>49</v>
      </c>
      <c r="X1361" t="s">
        <v>49</v>
      </c>
      <c r="Y1361" t="s">
        <v>59</v>
      </c>
      <c r="Z1361" t="s">
        <v>2113</v>
      </c>
      <c r="AA1361" t="s">
        <v>2113</v>
      </c>
    </row>
    <row r="1362" spans="1:27" x14ac:dyDescent="0.35">
      <c r="A1362" t="str">
        <f t="shared" si="43"/>
        <v>1608D2</v>
      </c>
      <c r="B1362" t="str">
        <f t="shared" si="42"/>
        <v>1608</v>
      </c>
      <c r="C1362" t="s">
        <v>2304</v>
      </c>
      <c r="D1362" t="s">
        <v>2</v>
      </c>
      <c r="E1362" t="s">
        <v>62</v>
      </c>
      <c r="F1362" t="s">
        <v>63</v>
      </c>
      <c r="G1362" t="s">
        <v>757</v>
      </c>
      <c r="H1362" t="s">
        <v>42</v>
      </c>
      <c r="I1362" t="s">
        <v>43</v>
      </c>
      <c r="J1362" t="s">
        <v>2298</v>
      </c>
      <c r="K1362" t="s">
        <v>56</v>
      </c>
      <c r="M1362" t="s">
        <v>106</v>
      </c>
      <c r="P1362" t="s">
        <v>58</v>
      </c>
      <c r="Q1362" t="s">
        <v>47</v>
      </c>
      <c r="R1362" t="s">
        <v>48</v>
      </c>
      <c r="V1362" t="s">
        <v>49</v>
      </c>
      <c r="X1362" t="s">
        <v>49</v>
      </c>
      <c r="Y1362" t="s">
        <v>59</v>
      </c>
      <c r="Z1362" t="s">
        <v>2305</v>
      </c>
      <c r="AA1362" t="s">
        <v>2305</v>
      </c>
    </row>
    <row r="1363" spans="1:27" x14ac:dyDescent="0.35">
      <c r="A1363" t="str">
        <f t="shared" si="43"/>
        <v>804_F3</v>
      </c>
      <c r="B1363" t="str">
        <f t="shared" si="42"/>
        <v>804_</v>
      </c>
      <c r="C1363" t="s">
        <v>2306</v>
      </c>
      <c r="D1363" t="s">
        <v>5</v>
      </c>
      <c r="E1363" t="s">
        <v>40</v>
      </c>
      <c r="F1363" t="s">
        <v>73</v>
      </c>
      <c r="G1363" t="s">
        <v>757</v>
      </c>
      <c r="H1363" t="s">
        <v>42</v>
      </c>
      <c r="I1363" t="s">
        <v>67</v>
      </c>
      <c r="J1363" t="s">
        <v>2307</v>
      </c>
      <c r="M1363" t="s">
        <v>106</v>
      </c>
      <c r="P1363" t="s">
        <v>46</v>
      </c>
      <c r="Q1363" t="s">
        <v>47</v>
      </c>
      <c r="R1363" t="s">
        <v>48</v>
      </c>
      <c r="V1363" t="s">
        <v>49</v>
      </c>
      <c r="X1363" t="s">
        <v>49</v>
      </c>
      <c r="Y1363" t="s">
        <v>74</v>
      </c>
      <c r="Z1363" t="s">
        <v>2238</v>
      </c>
      <c r="AA1363" t="s">
        <v>2238</v>
      </c>
    </row>
    <row r="1364" spans="1:27" x14ac:dyDescent="0.35">
      <c r="A1364" t="str">
        <f t="shared" si="43"/>
        <v>1608F3</v>
      </c>
      <c r="B1364" t="str">
        <f t="shared" si="42"/>
        <v>1608</v>
      </c>
      <c r="C1364" t="s">
        <v>2308</v>
      </c>
      <c r="D1364" t="s">
        <v>5</v>
      </c>
      <c r="E1364" t="s">
        <v>40</v>
      </c>
      <c r="F1364" t="s">
        <v>73</v>
      </c>
      <c r="G1364" t="s">
        <v>757</v>
      </c>
      <c r="H1364" t="s">
        <v>42</v>
      </c>
      <c r="I1364" t="s">
        <v>67</v>
      </c>
      <c r="J1364" t="s">
        <v>2298</v>
      </c>
      <c r="M1364" t="s">
        <v>106</v>
      </c>
      <c r="P1364" t="s">
        <v>69</v>
      </c>
      <c r="Q1364" t="s">
        <v>47</v>
      </c>
      <c r="R1364" t="s">
        <v>48</v>
      </c>
      <c r="V1364" t="s">
        <v>49</v>
      </c>
      <c r="X1364" t="s">
        <v>49</v>
      </c>
      <c r="Y1364" t="s">
        <v>74</v>
      </c>
      <c r="Z1364" t="s">
        <v>2309</v>
      </c>
      <c r="AA1364" t="s">
        <v>2309</v>
      </c>
    </row>
    <row r="1365" spans="1:27" x14ac:dyDescent="0.35">
      <c r="A1365" t="str">
        <f t="shared" si="43"/>
        <v>1608C2</v>
      </c>
      <c r="B1365" t="str">
        <f t="shared" si="42"/>
        <v>1608</v>
      </c>
      <c r="C1365" t="s">
        <v>2310</v>
      </c>
      <c r="D1365" t="s">
        <v>1</v>
      </c>
      <c r="E1365" t="s">
        <v>65</v>
      </c>
      <c r="F1365" t="s">
        <v>66</v>
      </c>
      <c r="G1365" t="s">
        <v>757</v>
      </c>
      <c r="H1365" t="s">
        <v>42</v>
      </c>
      <c r="I1365" t="s">
        <v>67</v>
      </c>
      <c r="J1365" t="s">
        <v>2298</v>
      </c>
      <c r="M1365" t="s">
        <v>106</v>
      </c>
      <c r="P1365" t="s">
        <v>69</v>
      </c>
      <c r="Q1365" t="s">
        <v>47</v>
      </c>
      <c r="R1365" t="s">
        <v>48</v>
      </c>
      <c r="V1365" t="s">
        <v>49</v>
      </c>
      <c r="X1365" t="s">
        <v>49</v>
      </c>
      <c r="Y1365" t="s">
        <v>70</v>
      </c>
      <c r="Z1365" t="s">
        <v>2311</v>
      </c>
      <c r="AA1365" t="s">
        <v>2311</v>
      </c>
    </row>
    <row r="1366" spans="1:27" x14ac:dyDescent="0.35">
      <c r="A1366" t="str">
        <f t="shared" si="43"/>
        <v>1608D7</v>
      </c>
      <c r="B1366" t="str">
        <f t="shared" si="42"/>
        <v>1608</v>
      </c>
      <c r="C1366" t="s">
        <v>2312</v>
      </c>
      <c r="D1366" t="s">
        <v>6</v>
      </c>
      <c r="E1366" t="s">
        <v>94</v>
      </c>
      <c r="F1366" t="s">
        <v>111</v>
      </c>
      <c r="G1366" t="s">
        <v>757</v>
      </c>
      <c r="H1366" t="s">
        <v>42</v>
      </c>
      <c r="I1366" t="s">
        <v>43</v>
      </c>
      <c r="J1366" t="s">
        <v>2298</v>
      </c>
      <c r="M1366" t="s">
        <v>106</v>
      </c>
      <c r="P1366" t="s">
        <v>46</v>
      </c>
      <c r="Q1366" t="s">
        <v>47</v>
      </c>
      <c r="R1366" t="s">
        <v>48</v>
      </c>
      <c r="V1366" t="s">
        <v>49</v>
      </c>
      <c r="X1366" t="s">
        <v>49</v>
      </c>
      <c r="Y1366" t="s">
        <v>59</v>
      </c>
      <c r="Z1366" t="s">
        <v>2313</v>
      </c>
      <c r="AA1366" t="s">
        <v>2313</v>
      </c>
    </row>
    <row r="1367" spans="1:27" x14ac:dyDescent="0.35">
      <c r="A1367" t="str">
        <f t="shared" si="43"/>
        <v>804_F2</v>
      </c>
      <c r="B1367" t="str">
        <f t="shared" si="42"/>
        <v>804_</v>
      </c>
      <c r="C1367" t="s">
        <v>2314</v>
      </c>
      <c r="D1367" t="s">
        <v>4</v>
      </c>
      <c r="E1367" t="s">
        <v>77</v>
      </c>
      <c r="F1367" t="s">
        <v>78</v>
      </c>
      <c r="G1367" t="s">
        <v>757</v>
      </c>
      <c r="H1367" t="s">
        <v>42</v>
      </c>
      <c r="I1367" t="s">
        <v>67</v>
      </c>
      <c r="J1367" t="s">
        <v>2307</v>
      </c>
      <c r="M1367" t="s">
        <v>106</v>
      </c>
      <c r="P1367" t="s">
        <v>138</v>
      </c>
      <c r="Q1367" t="s">
        <v>47</v>
      </c>
      <c r="R1367" t="s">
        <v>48</v>
      </c>
      <c r="V1367" t="s">
        <v>49</v>
      </c>
      <c r="X1367" t="s">
        <v>49</v>
      </c>
      <c r="Y1367" t="s">
        <v>74</v>
      </c>
      <c r="Z1367" t="s">
        <v>2294</v>
      </c>
      <c r="AA1367" t="s">
        <v>2294</v>
      </c>
    </row>
    <row r="1368" spans="1:27" x14ac:dyDescent="0.35">
      <c r="A1368" t="str">
        <f t="shared" si="43"/>
        <v>804_C2</v>
      </c>
      <c r="B1368" t="str">
        <f t="shared" si="42"/>
        <v>804_</v>
      </c>
      <c r="C1368" t="s">
        <v>2315</v>
      </c>
      <c r="D1368" t="s">
        <v>1</v>
      </c>
      <c r="E1368" t="s">
        <v>65</v>
      </c>
      <c r="F1368" t="s">
        <v>66</v>
      </c>
      <c r="G1368" t="s">
        <v>757</v>
      </c>
      <c r="H1368" t="s">
        <v>42</v>
      </c>
      <c r="I1368" t="s">
        <v>67</v>
      </c>
      <c r="J1368" t="s">
        <v>2307</v>
      </c>
      <c r="M1368" t="s">
        <v>106</v>
      </c>
      <c r="P1368" t="s">
        <v>69</v>
      </c>
      <c r="Q1368" t="s">
        <v>47</v>
      </c>
      <c r="R1368" t="s">
        <v>48</v>
      </c>
      <c r="V1368" t="s">
        <v>49</v>
      </c>
      <c r="X1368" t="s">
        <v>49</v>
      </c>
      <c r="Y1368" t="s">
        <v>70</v>
      </c>
      <c r="Z1368" t="s">
        <v>2316</v>
      </c>
      <c r="AA1368" t="s">
        <v>2316</v>
      </c>
    </row>
    <row r="1369" spans="1:27" x14ac:dyDescent="0.35">
      <c r="A1369" t="str">
        <f t="shared" si="43"/>
        <v>804_D2</v>
      </c>
      <c r="B1369" t="str">
        <f t="shared" si="42"/>
        <v>804_</v>
      </c>
      <c r="C1369" t="s">
        <v>2317</v>
      </c>
      <c r="D1369" t="s">
        <v>2</v>
      </c>
      <c r="E1369" t="s">
        <v>62</v>
      </c>
      <c r="F1369" t="s">
        <v>63</v>
      </c>
      <c r="G1369" t="s">
        <v>757</v>
      </c>
      <c r="H1369" t="s">
        <v>42</v>
      </c>
      <c r="I1369" t="s">
        <v>67</v>
      </c>
      <c r="J1369" t="s">
        <v>2307</v>
      </c>
      <c r="K1369" t="s">
        <v>56</v>
      </c>
      <c r="M1369" t="s">
        <v>106</v>
      </c>
      <c r="P1369" t="s">
        <v>58</v>
      </c>
      <c r="Q1369" t="s">
        <v>47</v>
      </c>
      <c r="R1369" t="s">
        <v>48</v>
      </c>
      <c r="V1369" t="s">
        <v>49</v>
      </c>
      <c r="X1369" t="s">
        <v>49</v>
      </c>
      <c r="Y1369" t="s">
        <v>59</v>
      </c>
      <c r="Z1369" t="s">
        <v>2318</v>
      </c>
      <c r="AA1369" t="s">
        <v>2318</v>
      </c>
    </row>
    <row r="1370" spans="1:27" x14ac:dyDescent="0.35">
      <c r="A1370" t="str">
        <f t="shared" si="43"/>
        <v>804_D7</v>
      </c>
      <c r="B1370" t="str">
        <f t="shared" si="42"/>
        <v>804_</v>
      </c>
      <c r="C1370" t="s">
        <v>2319</v>
      </c>
      <c r="D1370" t="s">
        <v>6</v>
      </c>
      <c r="E1370" t="s">
        <v>94</v>
      </c>
      <c r="F1370" t="s">
        <v>111</v>
      </c>
      <c r="G1370" t="s">
        <v>757</v>
      </c>
      <c r="H1370" t="s">
        <v>42</v>
      </c>
      <c r="I1370" t="s">
        <v>67</v>
      </c>
      <c r="J1370" t="s">
        <v>2307</v>
      </c>
      <c r="M1370" t="s">
        <v>106</v>
      </c>
      <c r="P1370" t="s">
        <v>46</v>
      </c>
      <c r="Q1370" t="s">
        <v>47</v>
      </c>
      <c r="R1370" t="s">
        <v>48</v>
      </c>
      <c r="V1370" t="s">
        <v>49</v>
      </c>
      <c r="X1370" t="s">
        <v>49</v>
      </c>
      <c r="Y1370" t="s">
        <v>59</v>
      </c>
      <c r="Z1370" t="s">
        <v>2320</v>
      </c>
      <c r="AA1370" t="s">
        <v>2320</v>
      </c>
    </row>
    <row r="1371" spans="1:27" x14ac:dyDescent="0.35">
      <c r="A1371" t="str">
        <f t="shared" si="43"/>
        <v>804_D4</v>
      </c>
      <c r="B1371" t="str">
        <f t="shared" si="42"/>
        <v>804_</v>
      </c>
      <c r="C1371" t="s">
        <v>2321</v>
      </c>
      <c r="D1371" t="s">
        <v>3</v>
      </c>
      <c r="E1371" t="s">
        <v>52</v>
      </c>
      <c r="F1371" t="s">
        <v>53</v>
      </c>
      <c r="G1371" t="s">
        <v>757</v>
      </c>
      <c r="H1371" t="s">
        <v>42</v>
      </c>
      <c r="I1371" t="s">
        <v>67</v>
      </c>
      <c r="J1371" t="s">
        <v>2307</v>
      </c>
      <c r="K1371" t="s">
        <v>56</v>
      </c>
      <c r="M1371" t="s">
        <v>106</v>
      </c>
      <c r="P1371" t="s">
        <v>58</v>
      </c>
      <c r="Q1371" t="s">
        <v>47</v>
      </c>
      <c r="R1371" t="s">
        <v>48</v>
      </c>
      <c r="V1371" t="s">
        <v>49</v>
      </c>
      <c r="X1371" t="s">
        <v>49</v>
      </c>
      <c r="Y1371" t="s">
        <v>59</v>
      </c>
      <c r="Z1371" t="s">
        <v>2113</v>
      </c>
      <c r="AA1371" t="s">
        <v>2113</v>
      </c>
    </row>
    <row r="1372" spans="1:27" x14ac:dyDescent="0.35">
      <c r="A1372" t="str">
        <f t="shared" si="43"/>
        <v>803_F3</v>
      </c>
      <c r="B1372" t="str">
        <f t="shared" si="42"/>
        <v>803_</v>
      </c>
      <c r="C1372" t="s">
        <v>2322</v>
      </c>
      <c r="D1372" t="s">
        <v>5</v>
      </c>
      <c r="E1372" t="s">
        <v>40</v>
      </c>
      <c r="F1372" t="s">
        <v>73</v>
      </c>
      <c r="G1372" t="s">
        <v>757</v>
      </c>
      <c r="H1372" t="s">
        <v>42</v>
      </c>
      <c r="I1372" t="s">
        <v>67</v>
      </c>
      <c r="J1372" t="s">
        <v>2323</v>
      </c>
      <c r="M1372" t="s">
        <v>106</v>
      </c>
      <c r="P1372" t="s">
        <v>46</v>
      </c>
      <c r="Q1372" t="s">
        <v>47</v>
      </c>
      <c r="R1372" t="s">
        <v>48</v>
      </c>
      <c r="V1372" t="s">
        <v>49</v>
      </c>
      <c r="X1372" t="s">
        <v>49</v>
      </c>
      <c r="Y1372" t="s">
        <v>74</v>
      </c>
      <c r="Z1372" t="s">
        <v>2238</v>
      </c>
      <c r="AA1372" t="s">
        <v>2238</v>
      </c>
    </row>
    <row r="1373" spans="1:27" x14ac:dyDescent="0.35">
      <c r="A1373" t="str">
        <f t="shared" si="43"/>
        <v>1607F2</v>
      </c>
      <c r="B1373" t="str">
        <f t="shared" si="42"/>
        <v>1607</v>
      </c>
      <c r="C1373" t="s">
        <v>2324</v>
      </c>
      <c r="D1373" t="s">
        <v>4</v>
      </c>
      <c r="E1373" t="s">
        <v>77</v>
      </c>
      <c r="F1373" t="s">
        <v>78</v>
      </c>
      <c r="G1373" t="s">
        <v>757</v>
      </c>
      <c r="H1373" t="s">
        <v>42</v>
      </c>
      <c r="I1373" t="s">
        <v>67</v>
      </c>
      <c r="J1373" t="s">
        <v>2325</v>
      </c>
      <c r="M1373" t="s">
        <v>106</v>
      </c>
      <c r="P1373" t="s">
        <v>79</v>
      </c>
      <c r="Q1373" t="s">
        <v>47</v>
      </c>
      <c r="R1373" t="s">
        <v>48</v>
      </c>
      <c r="V1373" t="s">
        <v>49</v>
      </c>
      <c r="X1373" t="s">
        <v>49</v>
      </c>
      <c r="Y1373" t="s">
        <v>74</v>
      </c>
      <c r="Z1373" t="s">
        <v>2326</v>
      </c>
      <c r="AA1373" t="s">
        <v>2326</v>
      </c>
    </row>
    <row r="1374" spans="1:27" x14ac:dyDescent="0.35">
      <c r="A1374" t="str">
        <f t="shared" si="43"/>
        <v>803_F2</v>
      </c>
      <c r="B1374" t="str">
        <f t="shared" si="42"/>
        <v>803_</v>
      </c>
      <c r="C1374" t="s">
        <v>2327</v>
      </c>
      <c r="D1374" t="s">
        <v>4</v>
      </c>
      <c r="E1374" t="s">
        <v>77</v>
      </c>
      <c r="F1374" t="s">
        <v>78</v>
      </c>
      <c r="G1374" t="s">
        <v>757</v>
      </c>
      <c r="H1374" t="s">
        <v>42</v>
      </c>
      <c r="I1374" t="s">
        <v>67</v>
      </c>
      <c r="J1374" t="s">
        <v>2323</v>
      </c>
      <c r="M1374" t="s">
        <v>106</v>
      </c>
      <c r="P1374" t="s">
        <v>91</v>
      </c>
      <c r="Q1374" t="s">
        <v>47</v>
      </c>
      <c r="R1374" t="s">
        <v>48</v>
      </c>
      <c r="V1374" t="s">
        <v>49</v>
      </c>
      <c r="X1374" t="s">
        <v>49</v>
      </c>
      <c r="Y1374" t="s">
        <v>74</v>
      </c>
      <c r="Z1374" t="s">
        <v>2294</v>
      </c>
      <c r="AA1374" t="s">
        <v>2294</v>
      </c>
    </row>
    <row r="1375" spans="1:27" x14ac:dyDescent="0.35">
      <c r="A1375" t="str">
        <f t="shared" si="43"/>
        <v>1607D4</v>
      </c>
      <c r="B1375" t="str">
        <f t="shared" si="42"/>
        <v>1607</v>
      </c>
      <c r="C1375" t="s">
        <v>2328</v>
      </c>
      <c r="D1375" t="s">
        <v>3</v>
      </c>
      <c r="E1375" t="s">
        <v>52</v>
      </c>
      <c r="F1375" t="s">
        <v>53</v>
      </c>
      <c r="G1375" t="s">
        <v>757</v>
      </c>
      <c r="H1375" t="s">
        <v>42</v>
      </c>
      <c r="I1375" t="s">
        <v>43</v>
      </c>
      <c r="J1375" t="s">
        <v>2325</v>
      </c>
      <c r="K1375" t="s">
        <v>56</v>
      </c>
      <c r="M1375" t="s">
        <v>106</v>
      </c>
      <c r="P1375" t="s">
        <v>58</v>
      </c>
      <c r="Q1375" t="s">
        <v>47</v>
      </c>
      <c r="R1375" t="s">
        <v>48</v>
      </c>
      <c r="V1375" t="s">
        <v>49</v>
      </c>
      <c r="X1375" t="s">
        <v>49</v>
      </c>
      <c r="Y1375" t="s">
        <v>59</v>
      </c>
      <c r="Z1375" t="s">
        <v>2329</v>
      </c>
      <c r="AA1375" t="s">
        <v>2329</v>
      </c>
    </row>
    <row r="1376" spans="1:27" x14ac:dyDescent="0.35">
      <c r="A1376" t="str">
        <f t="shared" si="43"/>
        <v>803_C2</v>
      </c>
      <c r="B1376" t="str">
        <f t="shared" si="42"/>
        <v>803_</v>
      </c>
      <c r="C1376" t="s">
        <v>2330</v>
      </c>
      <c r="D1376" t="s">
        <v>1</v>
      </c>
      <c r="E1376" t="s">
        <v>65</v>
      </c>
      <c r="F1376" t="s">
        <v>66</v>
      </c>
      <c r="G1376" t="s">
        <v>757</v>
      </c>
      <c r="H1376" t="s">
        <v>42</v>
      </c>
      <c r="I1376" t="s">
        <v>67</v>
      </c>
      <c r="J1376" t="s">
        <v>2323</v>
      </c>
      <c r="M1376" t="s">
        <v>106</v>
      </c>
      <c r="P1376" t="s">
        <v>69</v>
      </c>
      <c r="Q1376" t="s">
        <v>47</v>
      </c>
      <c r="R1376" t="s">
        <v>48</v>
      </c>
      <c r="V1376" t="s">
        <v>49</v>
      </c>
      <c r="X1376" t="s">
        <v>49</v>
      </c>
      <c r="Y1376" t="s">
        <v>70</v>
      </c>
      <c r="Z1376" t="s">
        <v>2331</v>
      </c>
      <c r="AA1376" t="s">
        <v>2331</v>
      </c>
    </row>
    <row r="1377" spans="1:27" x14ac:dyDescent="0.35">
      <c r="A1377" t="str">
        <f t="shared" si="43"/>
        <v>1607D2</v>
      </c>
      <c r="B1377" t="str">
        <f t="shared" si="42"/>
        <v>1607</v>
      </c>
      <c r="C1377" t="s">
        <v>2332</v>
      </c>
      <c r="D1377" t="s">
        <v>2</v>
      </c>
      <c r="E1377" t="s">
        <v>62</v>
      </c>
      <c r="F1377" t="s">
        <v>63</v>
      </c>
      <c r="G1377" t="s">
        <v>757</v>
      </c>
      <c r="H1377" t="s">
        <v>42</v>
      </c>
      <c r="I1377" t="s">
        <v>43</v>
      </c>
      <c r="J1377" t="s">
        <v>2325</v>
      </c>
      <c r="K1377" t="s">
        <v>56</v>
      </c>
      <c r="M1377" t="s">
        <v>106</v>
      </c>
      <c r="P1377" t="s">
        <v>58</v>
      </c>
      <c r="Q1377" t="s">
        <v>47</v>
      </c>
      <c r="R1377" t="s">
        <v>48</v>
      </c>
      <c r="V1377" t="s">
        <v>49</v>
      </c>
      <c r="X1377" t="s">
        <v>49</v>
      </c>
      <c r="Y1377" t="s">
        <v>59</v>
      </c>
      <c r="Z1377" t="s">
        <v>2188</v>
      </c>
      <c r="AA1377" t="s">
        <v>2188</v>
      </c>
    </row>
    <row r="1378" spans="1:27" x14ac:dyDescent="0.35">
      <c r="A1378" t="str">
        <f t="shared" si="43"/>
        <v>803_D2</v>
      </c>
      <c r="B1378" t="str">
        <f t="shared" si="42"/>
        <v>803_</v>
      </c>
      <c r="C1378" t="s">
        <v>2333</v>
      </c>
      <c r="D1378" t="s">
        <v>2</v>
      </c>
      <c r="E1378" t="s">
        <v>62</v>
      </c>
      <c r="F1378" t="s">
        <v>63</v>
      </c>
      <c r="G1378" t="s">
        <v>757</v>
      </c>
      <c r="H1378" t="s">
        <v>42</v>
      </c>
      <c r="I1378" t="s">
        <v>67</v>
      </c>
      <c r="J1378" t="s">
        <v>2323</v>
      </c>
      <c r="K1378" t="s">
        <v>56</v>
      </c>
      <c r="M1378" t="s">
        <v>106</v>
      </c>
      <c r="P1378" t="s">
        <v>58</v>
      </c>
      <c r="Q1378" t="s">
        <v>47</v>
      </c>
      <c r="R1378" t="s">
        <v>48</v>
      </c>
      <c r="V1378" t="s">
        <v>49</v>
      </c>
      <c r="X1378" t="s">
        <v>49</v>
      </c>
      <c r="Y1378" t="s">
        <v>59</v>
      </c>
      <c r="Z1378" t="s">
        <v>2267</v>
      </c>
      <c r="AA1378" t="s">
        <v>2267</v>
      </c>
    </row>
    <row r="1379" spans="1:27" x14ac:dyDescent="0.35">
      <c r="A1379" t="str">
        <f t="shared" si="43"/>
        <v>1607F3</v>
      </c>
      <c r="B1379" t="str">
        <f t="shared" si="42"/>
        <v>1607</v>
      </c>
      <c r="C1379" t="s">
        <v>2334</v>
      </c>
      <c r="D1379" t="s">
        <v>5</v>
      </c>
      <c r="E1379" t="s">
        <v>40</v>
      </c>
      <c r="F1379" t="s">
        <v>73</v>
      </c>
      <c r="G1379" t="s">
        <v>757</v>
      </c>
      <c r="H1379" t="s">
        <v>42</v>
      </c>
      <c r="I1379" t="s">
        <v>67</v>
      </c>
      <c r="J1379" t="s">
        <v>2325</v>
      </c>
      <c r="M1379" t="s">
        <v>106</v>
      </c>
      <c r="P1379" t="s">
        <v>58</v>
      </c>
      <c r="Q1379" t="s">
        <v>47</v>
      </c>
      <c r="R1379" t="s">
        <v>48</v>
      </c>
      <c r="V1379" t="s">
        <v>49</v>
      </c>
      <c r="X1379" t="s">
        <v>49</v>
      </c>
      <c r="Y1379" t="s">
        <v>74</v>
      </c>
      <c r="Z1379" t="s">
        <v>2309</v>
      </c>
      <c r="AA1379" t="s">
        <v>2309</v>
      </c>
    </row>
    <row r="1380" spans="1:27" x14ac:dyDescent="0.35">
      <c r="A1380" t="str">
        <f t="shared" si="43"/>
        <v>803_D7</v>
      </c>
      <c r="B1380" t="str">
        <f t="shared" si="42"/>
        <v>803_</v>
      </c>
      <c r="C1380" t="s">
        <v>2335</v>
      </c>
      <c r="D1380" t="s">
        <v>6</v>
      </c>
      <c r="E1380" t="s">
        <v>94</v>
      </c>
      <c r="F1380" t="s">
        <v>111</v>
      </c>
      <c r="G1380" t="s">
        <v>757</v>
      </c>
      <c r="H1380" t="s">
        <v>42</v>
      </c>
      <c r="I1380" t="s">
        <v>67</v>
      </c>
      <c r="J1380" t="s">
        <v>2323</v>
      </c>
      <c r="M1380" t="s">
        <v>106</v>
      </c>
      <c r="P1380" t="s">
        <v>46</v>
      </c>
      <c r="Q1380" t="s">
        <v>47</v>
      </c>
      <c r="R1380" t="s">
        <v>48</v>
      </c>
      <c r="V1380" t="s">
        <v>49</v>
      </c>
      <c r="X1380" t="s">
        <v>49</v>
      </c>
      <c r="Y1380" t="s">
        <v>59</v>
      </c>
      <c r="Z1380" t="s">
        <v>2320</v>
      </c>
      <c r="AA1380" t="s">
        <v>2320</v>
      </c>
    </row>
    <row r="1381" spans="1:27" x14ac:dyDescent="0.35">
      <c r="A1381" t="str">
        <f t="shared" si="43"/>
        <v>803_D4</v>
      </c>
      <c r="B1381" t="str">
        <f t="shared" si="42"/>
        <v>803_</v>
      </c>
      <c r="C1381" t="s">
        <v>2336</v>
      </c>
      <c r="D1381" t="s">
        <v>3</v>
      </c>
      <c r="E1381" t="s">
        <v>52</v>
      </c>
      <c r="F1381" t="s">
        <v>53</v>
      </c>
      <c r="G1381" t="s">
        <v>757</v>
      </c>
      <c r="H1381" t="s">
        <v>42</v>
      </c>
      <c r="I1381" t="s">
        <v>67</v>
      </c>
      <c r="J1381" t="s">
        <v>2323</v>
      </c>
      <c r="K1381" t="s">
        <v>56</v>
      </c>
      <c r="M1381" t="s">
        <v>106</v>
      </c>
      <c r="P1381" t="s">
        <v>58</v>
      </c>
      <c r="Q1381" t="s">
        <v>47</v>
      </c>
      <c r="R1381" t="s">
        <v>48</v>
      </c>
      <c r="V1381" t="s">
        <v>49</v>
      </c>
      <c r="X1381" t="s">
        <v>49</v>
      </c>
      <c r="Y1381" t="s">
        <v>59</v>
      </c>
      <c r="Z1381" t="s">
        <v>2113</v>
      </c>
      <c r="AA1381" t="s">
        <v>2113</v>
      </c>
    </row>
    <row r="1382" spans="1:27" x14ac:dyDescent="0.35">
      <c r="A1382" t="str">
        <f t="shared" si="43"/>
        <v>1607C2</v>
      </c>
      <c r="B1382" t="str">
        <f t="shared" si="42"/>
        <v>1607</v>
      </c>
      <c r="C1382" t="s">
        <v>2337</v>
      </c>
      <c r="D1382" t="s">
        <v>1</v>
      </c>
      <c r="E1382" t="s">
        <v>65</v>
      </c>
      <c r="F1382" t="s">
        <v>66</v>
      </c>
      <c r="G1382" t="s">
        <v>757</v>
      </c>
      <c r="H1382" t="s">
        <v>42</v>
      </c>
      <c r="I1382" t="s">
        <v>67</v>
      </c>
      <c r="J1382" t="s">
        <v>2325</v>
      </c>
      <c r="M1382" t="s">
        <v>106</v>
      </c>
      <c r="P1382" t="s">
        <v>69</v>
      </c>
      <c r="Q1382" t="s">
        <v>47</v>
      </c>
      <c r="R1382" t="s">
        <v>48</v>
      </c>
      <c r="V1382" t="s">
        <v>49</v>
      </c>
      <c r="X1382" t="s">
        <v>49</v>
      </c>
      <c r="Y1382" t="s">
        <v>70</v>
      </c>
      <c r="Z1382" t="s">
        <v>2338</v>
      </c>
      <c r="AA1382" t="s">
        <v>2338</v>
      </c>
    </row>
    <row r="1383" spans="1:27" x14ac:dyDescent="0.35">
      <c r="A1383" t="str">
        <f t="shared" si="43"/>
        <v>1607D7</v>
      </c>
      <c r="B1383" t="str">
        <f t="shared" si="42"/>
        <v>1607</v>
      </c>
      <c r="C1383" t="s">
        <v>2339</v>
      </c>
      <c r="D1383" t="s">
        <v>6</v>
      </c>
      <c r="E1383" t="s">
        <v>94</v>
      </c>
      <c r="F1383" t="s">
        <v>111</v>
      </c>
      <c r="G1383" t="s">
        <v>757</v>
      </c>
      <c r="H1383" t="s">
        <v>42</v>
      </c>
      <c r="I1383" t="s">
        <v>43</v>
      </c>
      <c r="J1383" t="s">
        <v>2325</v>
      </c>
      <c r="M1383" t="s">
        <v>106</v>
      </c>
      <c r="P1383" t="s">
        <v>46</v>
      </c>
      <c r="Q1383" t="s">
        <v>47</v>
      </c>
      <c r="R1383" t="s">
        <v>48</v>
      </c>
      <c r="V1383" t="s">
        <v>49</v>
      </c>
      <c r="X1383" t="s">
        <v>49</v>
      </c>
      <c r="Y1383" t="s">
        <v>59</v>
      </c>
      <c r="Z1383" t="s">
        <v>2313</v>
      </c>
      <c r="AA1383" t="s">
        <v>2313</v>
      </c>
    </row>
    <row r="1384" spans="1:27" x14ac:dyDescent="0.35">
      <c r="A1384" t="str">
        <f t="shared" si="43"/>
        <v>802_F3</v>
      </c>
      <c r="B1384" t="str">
        <f t="shared" si="42"/>
        <v>802_</v>
      </c>
      <c r="C1384" t="s">
        <v>2340</v>
      </c>
      <c r="D1384" t="s">
        <v>5</v>
      </c>
      <c r="E1384" t="s">
        <v>40</v>
      </c>
      <c r="F1384" t="s">
        <v>73</v>
      </c>
      <c r="G1384" t="s">
        <v>757</v>
      </c>
      <c r="H1384" t="s">
        <v>42</v>
      </c>
      <c r="I1384" t="s">
        <v>67</v>
      </c>
      <c r="J1384" t="s">
        <v>2341</v>
      </c>
      <c r="M1384" t="s">
        <v>106</v>
      </c>
      <c r="P1384" t="s">
        <v>46</v>
      </c>
      <c r="Q1384" t="s">
        <v>47</v>
      </c>
      <c r="R1384" t="s">
        <v>48</v>
      </c>
      <c r="V1384" t="s">
        <v>49</v>
      </c>
      <c r="X1384" t="s">
        <v>49</v>
      </c>
      <c r="Y1384" t="s">
        <v>74</v>
      </c>
      <c r="Z1384" t="s">
        <v>2238</v>
      </c>
      <c r="AA1384" t="s">
        <v>2238</v>
      </c>
    </row>
    <row r="1385" spans="1:27" x14ac:dyDescent="0.35">
      <c r="A1385" t="str">
        <f t="shared" si="43"/>
        <v>802_F2</v>
      </c>
      <c r="B1385" t="str">
        <f t="shared" si="42"/>
        <v>802_</v>
      </c>
      <c r="C1385" t="s">
        <v>2342</v>
      </c>
      <c r="D1385" t="s">
        <v>4</v>
      </c>
      <c r="E1385" t="s">
        <v>77</v>
      </c>
      <c r="F1385" t="s">
        <v>78</v>
      </c>
      <c r="G1385" t="s">
        <v>757</v>
      </c>
      <c r="H1385" t="s">
        <v>42</v>
      </c>
      <c r="I1385" t="s">
        <v>67</v>
      </c>
      <c r="J1385" t="s">
        <v>2341</v>
      </c>
      <c r="M1385" t="s">
        <v>106</v>
      </c>
      <c r="P1385" t="s">
        <v>138</v>
      </c>
      <c r="Q1385" t="s">
        <v>47</v>
      </c>
      <c r="R1385" t="s">
        <v>48</v>
      </c>
      <c r="V1385" t="s">
        <v>49</v>
      </c>
      <c r="X1385" t="s">
        <v>49</v>
      </c>
      <c r="Y1385" t="s">
        <v>74</v>
      </c>
      <c r="Z1385" t="s">
        <v>2294</v>
      </c>
      <c r="AA1385" t="s">
        <v>2294</v>
      </c>
    </row>
    <row r="1386" spans="1:27" x14ac:dyDescent="0.35">
      <c r="A1386" t="str">
        <f t="shared" si="43"/>
        <v>802_C2</v>
      </c>
      <c r="B1386" t="str">
        <f t="shared" si="42"/>
        <v>802_</v>
      </c>
      <c r="C1386" t="s">
        <v>2343</v>
      </c>
      <c r="D1386" t="s">
        <v>1</v>
      </c>
      <c r="E1386" t="s">
        <v>65</v>
      </c>
      <c r="F1386" t="s">
        <v>66</v>
      </c>
      <c r="G1386" t="s">
        <v>757</v>
      </c>
      <c r="H1386" t="s">
        <v>42</v>
      </c>
      <c r="I1386" t="s">
        <v>67</v>
      </c>
      <c r="J1386" t="s">
        <v>2341</v>
      </c>
      <c r="M1386" t="s">
        <v>106</v>
      </c>
      <c r="P1386" t="s">
        <v>69</v>
      </c>
      <c r="Q1386" t="s">
        <v>47</v>
      </c>
      <c r="R1386" t="s">
        <v>48</v>
      </c>
      <c r="V1386" t="s">
        <v>49</v>
      </c>
      <c r="X1386" t="s">
        <v>49</v>
      </c>
      <c r="Y1386" t="s">
        <v>70</v>
      </c>
      <c r="Z1386" t="s">
        <v>2331</v>
      </c>
      <c r="AA1386" t="s">
        <v>2331</v>
      </c>
    </row>
    <row r="1387" spans="1:27" x14ac:dyDescent="0.35">
      <c r="A1387" t="str">
        <f t="shared" si="43"/>
        <v>802_D2</v>
      </c>
      <c r="B1387" t="str">
        <f t="shared" si="42"/>
        <v>802_</v>
      </c>
      <c r="C1387" t="s">
        <v>2344</v>
      </c>
      <c r="D1387" t="s">
        <v>2</v>
      </c>
      <c r="E1387" t="s">
        <v>62</v>
      </c>
      <c r="F1387" t="s">
        <v>63</v>
      </c>
      <c r="G1387" t="s">
        <v>757</v>
      </c>
      <c r="H1387" t="s">
        <v>42</v>
      </c>
      <c r="I1387" t="s">
        <v>67</v>
      </c>
      <c r="J1387" t="s">
        <v>2341</v>
      </c>
      <c r="K1387" t="s">
        <v>56</v>
      </c>
      <c r="M1387" t="s">
        <v>106</v>
      </c>
      <c r="P1387" t="s">
        <v>58</v>
      </c>
      <c r="Q1387" t="s">
        <v>47</v>
      </c>
      <c r="R1387" t="s">
        <v>48</v>
      </c>
      <c r="V1387" t="s">
        <v>49</v>
      </c>
      <c r="X1387" t="s">
        <v>49</v>
      </c>
      <c r="Y1387" t="s">
        <v>59</v>
      </c>
      <c r="Z1387" t="s">
        <v>2267</v>
      </c>
      <c r="AA1387" t="s">
        <v>2267</v>
      </c>
    </row>
    <row r="1388" spans="1:27" x14ac:dyDescent="0.35">
      <c r="A1388" t="str">
        <f t="shared" si="43"/>
        <v>802_D7</v>
      </c>
      <c r="B1388" t="str">
        <f t="shared" si="42"/>
        <v>802_</v>
      </c>
      <c r="C1388" t="s">
        <v>2345</v>
      </c>
      <c r="D1388" t="s">
        <v>6</v>
      </c>
      <c r="E1388" t="s">
        <v>94</v>
      </c>
      <c r="F1388" t="s">
        <v>111</v>
      </c>
      <c r="G1388" t="s">
        <v>757</v>
      </c>
      <c r="H1388" t="s">
        <v>42</v>
      </c>
      <c r="I1388" t="s">
        <v>67</v>
      </c>
      <c r="J1388" t="s">
        <v>2341</v>
      </c>
      <c r="M1388" t="s">
        <v>106</v>
      </c>
      <c r="P1388" t="s">
        <v>46</v>
      </c>
      <c r="Q1388" t="s">
        <v>47</v>
      </c>
      <c r="R1388" t="s">
        <v>48</v>
      </c>
      <c r="V1388" t="s">
        <v>49</v>
      </c>
      <c r="X1388" t="s">
        <v>49</v>
      </c>
      <c r="Y1388" t="s">
        <v>59</v>
      </c>
      <c r="Z1388" t="s">
        <v>2346</v>
      </c>
      <c r="AA1388" t="s">
        <v>2346</v>
      </c>
    </row>
    <row r="1389" spans="1:27" x14ac:dyDescent="0.35">
      <c r="A1389" t="str">
        <f t="shared" si="43"/>
        <v>802_D4</v>
      </c>
      <c r="B1389" t="str">
        <f t="shared" si="42"/>
        <v>802_</v>
      </c>
      <c r="C1389" t="s">
        <v>2347</v>
      </c>
      <c r="D1389" t="s">
        <v>3</v>
      </c>
      <c r="E1389" t="s">
        <v>52</v>
      </c>
      <c r="F1389" t="s">
        <v>53</v>
      </c>
      <c r="G1389" t="s">
        <v>757</v>
      </c>
      <c r="H1389" t="s">
        <v>42</v>
      </c>
      <c r="I1389" t="s">
        <v>67</v>
      </c>
      <c r="J1389" t="s">
        <v>2341</v>
      </c>
      <c r="K1389" t="s">
        <v>56</v>
      </c>
      <c r="M1389" t="s">
        <v>106</v>
      </c>
      <c r="P1389" t="s">
        <v>58</v>
      </c>
      <c r="Q1389" t="s">
        <v>47</v>
      </c>
      <c r="R1389" t="s">
        <v>48</v>
      </c>
      <c r="V1389" t="s">
        <v>49</v>
      </c>
      <c r="X1389" t="s">
        <v>49</v>
      </c>
      <c r="Y1389" t="s">
        <v>59</v>
      </c>
      <c r="Z1389" t="s">
        <v>2113</v>
      </c>
      <c r="AA1389" t="s">
        <v>2113</v>
      </c>
    </row>
    <row r="1390" spans="1:27" x14ac:dyDescent="0.35">
      <c r="A1390" t="str">
        <f t="shared" si="43"/>
        <v>801_F3</v>
      </c>
      <c r="B1390" t="str">
        <f t="shared" si="42"/>
        <v>801_</v>
      </c>
      <c r="C1390" t="s">
        <v>2348</v>
      </c>
      <c r="D1390" t="s">
        <v>5</v>
      </c>
      <c r="E1390" t="s">
        <v>40</v>
      </c>
      <c r="F1390" t="s">
        <v>73</v>
      </c>
      <c r="G1390" t="s">
        <v>757</v>
      </c>
      <c r="H1390" t="s">
        <v>42</v>
      </c>
      <c r="I1390" t="s">
        <v>67</v>
      </c>
      <c r="J1390" t="s">
        <v>2349</v>
      </c>
      <c r="M1390" t="s">
        <v>106</v>
      </c>
      <c r="P1390" t="s">
        <v>46</v>
      </c>
      <c r="Q1390" t="s">
        <v>47</v>
      </c>
      <c r="R1390" t="s">
        <v>48</v>
      </c>
      <c r="V1390" t="s">
        <v>49</v>
      </c>
      <c r="X1390" t="s">
        <v>49</v>
      </c>
      <c r="Y1390" t="s">
        <v>74</v>
      </c>
      <c r="Z1390" t="s">
        <v>2350</v>
      </c>
      <c r="AA1390" t="s">
        <v>2350</v>
      </c>
    </row>
    <row r="1391" spans="1:27" x14ac:dyDescent="0.35">
      <c r="A1391" t="str">
        <f t="shared" si="43"/>
        <v>1606F2</v>
      </c>
      <c r="B1391" t="str">
        <f t="shared" si="42"/>
        <v>1606</v>
      </c>
      <c r="C1391" t="s">
        <v>2351</v>
      </c>
      <c r="D1391" t="s">
        <v>4</v>
      </c>
      <c r="E1391" t="s">
        <v>77</v>
      </c>
      <c r="F1391" t="s">
        <v>78</v>
      </c>
      <c r="G1391" t="s">
        <v>757</v>
      </c>
      <c r="H1391" t="s">
        <v>42</v>
      </c>
      <c r="I1391" t="s">
        <v>67</v>
      </c>
      <c r="J1391" t="s">
        <v>2352</v>
      </c>
      <c r="M1391" t="s">
        <v>106</v>
      </c>
      <c r="P1391" t="s">
        <v>189</v>
      </c>
      <c r="Q1391" t="s">
        <v>47</v>
      </c>
      <c r="R1391" t="s">
        <v>48</v>
      </c>
      <c r="V1391" t="s">
        <v>49</v>
      </c>
      <c r="X1391" t="s">
        <v>49</v>
      </c>
      <c r="Y1391" t="s">
        <v>74</v>
      </c>
      <c r="Z1391" t="s">
        <v>2326</v>
      </c>
      <c r="AA1391" t="s">
        <v>2326</v>
      </c>
    </row>
    <row r="1392" spans="1:27" x14ac:dyDescent="0.35">
      <c r="A1392" t="str">
        <f t="shared" si="43"/>
        <v>1606D4</v>
      </c>
      <c r="B1392" t="str">
        <f t="shared" si="42"/>
        <v>1606</v>
      </c>
      <c r="C1392" t="s">
        <v>2353</v>
      </c>
      <c r="D1392" t="s">
        <v>3</v>
      </c>
      <c r="E1392" t="s">
        <v>52</v>
      </c>
      <c r="F1392" t="s">
        <v>53</v>
      </c>
      <c r="G1392" t="s">
        <v>757</v>
      </c>
      <c r="H1392" t="s">
        <v>42</v>
      </c>
      <c r="I1392" t="s">
        <v>43</v>
      </c>
      <c r="J1392" t="s">
        <v>2352</v>
      </c>
      <c r="K1392" t="s">
        <v>56</v>
      </c>
      <c r="M1392" t="s">
        <v>106</v>
      </c>
      <c r="P1392" t="s">
        <v>58</v>
      </c>
      <c r="Q1392" t="s">
        <v>47</v>
      </c>
      <c r="R1392" t="s">
        <v>48</v>
      </c>
      <c r="V1392" t="s">
        <v>49</v>
      </c>
      <c r="X1392" t="s">
        <v>49</v>
      </c>
      <c r="Y1392" t="s">
        <v>59</v>
      </c>
      <c r="Z1392" t="s">
        <v>2354</v>
      </c>
      <c r="AA1392" t="s">
        <v>2354</v>
      </c>
    </row>
    <row r="1393" spans="1:27" x14ac:dyDescent="0.35">
      <c r="A1393" t="str">
        <f t="shared" si="43"/>
        <v>1606D2</v>
      </c>
      <c r="B1393" t="str">
        <f t="shared" si="42"/>
        <v>1606</v>
      </c>
      <c r="C1393" t="s">
        <v>2355</v>
      </c>
      <c r="D1393" t="s">
        <v>2</v>
      </c>
      <c r="E1393" t="s">
        <v>62</v>
      </c>
      <c r="F1393" t="s">
        <v>63</v>
      </c>
      <c r="G1393" t="s">
        <v>757</v>
      </c>
      <c r="H1393" t="s">
        <v>42</v>
      </c>
      <c r="I1393" t="s">
        <v>43</v>
      </c>
      <c r="J1393" t="s">
        <v>2352</v>
      </c>
      <c r="K1393" t="s">
        <v>56</v>
      </c>
      <c r="M1393" t="s">
        <v>106</v>
      </c>
      <c r="P1393" t="s">
        <v>58</v>
      </c>
      <c r="Q1393" t="s">
        <v>47</v>
      </c>
      <c r="R1393" t="s">
        <v>48</v>
      </c>
      <c r="V1393" t="s">
        <v>49</v>
      </c>
      <c r="X1393" t="s">
        <v>49</v>
      </c>
      <c r="Y1393" t="s">
        <v>59</v>
      </c>
      <c r="Z1393" t="s">
        <v>2356</v>
      </c>
      <c r="AA1393" t="s">
        <v>2356</v>
      </c>
    </row>
    <row r="1394" spans="1:27" x14ac:dyDescent="0.35">
      <c r="A1394" t="str">
        <f t="shared" si="43"/>
        <v>801_F2</v>
      </c>
      <c r="B1394" t="str">
        <f t="shared" si="42"/>
        <v>801_</v>
      </c>
      <c r="C1394" t="s">
        <v>2357</v>
      </c>
      <c r="D1394" t="s">
        <v>4</v>
      </c>
      <c r="E1394" t="s">
        <v>77</v>
      </c>
      <c r="F1394" t="s">
        <v>78</v>
      </c>
      <c r="G1394" t="s">
        <v>757</v>
      </c>
      <c r="H1394" t="s">
        <v>42</v>
      </c>
      <c r="I1394" t="s">
        <v>67</v>
      </c>
      <c r="J1394" t="s">
        <v>2349</v>
      </c>
      <c r="M1394" t="s">
        <v>106</v>
      </c>
      <c r="P1394" t="s">
        <v>138</v>
      </c>
      <c r="Q1394" t="s">
        <v>47</v>
      </c>
      <c r="R1394" t="s">
        <v>48</v>
      </c>
      <c r="V1394" t="s">
        <v>49</v>
      </c>
      <c r="X1394" t="s">
        <v>49</v>
      </c>
      <c r="Y1394" t="s">
        <v>74</v>
      </c>
      <c r="Z1394" t="s">
        <v>2294</v>
      </c>
      <c r="AA1394" t="s">
        <v>2294</v>
      </c>
    </row>
    <row r="1395" spans="1:27" x14ac:dyDescent="0.35">
      <c r="A1395" t="str">
        <f t="shared" si="43"/>
        <v>1606F3</v>
      </c>
      <c r="B1395" t="str">
        <f t="shared" si="42"/>
        <v>1606</v>
      </c>
      <c r="C1395" t="s">
        <v>2358</v>
      </c>
      <c r="D1395" t="s">
        <v>5</v>
      </c>
      <c r="E1395" t="s">
        <v>40</v>
      </c>
      <c r="F1395" t="s">
        <v>73</v>
      </c>
      <c r="G1395" t="s">
        <v>757</v>
      </c>
      <c r="H1395" t="s">
        <v>42</v>
      </c>
      <c r="I1395" t="s">
        <v>67</v>
      </c>
      <c r="J1395" t="s">
        <v>2352</v>
      </c>
      <c r="M1395" t="s">
        <v>106</v>
      </c>
      <c r="P1395" t="s">
        <v>58</v>
      </c>
      <c r="Q1395" t="s">
        <v>47</v>
      </c>
      <c r="R1395" t="s">
        <v>48</v>
      </c>
      <c r="V1395" t="s">
        <v>49</v>
      </c>
      <c r="X1395" t="s">
        <v>49</v>
      </c>
      <c r="Y1395" t="s">
        <v>74</v>
      </c>
      <c r="Z1395" t="s">
        <v>2359</v>
      </c>
      <c r="AA1395" t="s">
        <v>2359</v>
      </c>
    </row>
    <row r="1396" spans="1:27" x14ac:dyDescent="0.35">
      <c r="A1396" t="str">
        <f t="shared" si="43"/>
        <v>801_C2</v>
      </c>
      <c r="B1396" t="str">
        <f t="shared" si="42"/>
        <v>801_</v>
      </c>
      <c r="C1396" t="s">
        <v>2360</v>
      </c>
      <c r="D1396" t="s">
        <v>1</v>
      </c>
      <c r="E1396" t="s">
        <v>65</v>
      </c>
      <c r="F1396" t="s">
        <v>66</v>
      </c>
      <c r="G1396" t="s">
        <v>757</v>
      </c>
      <c r="H1396" t="s">
        <v>42</v>
      </c>
      <c r="I1396" t="s">
        <v>67</v>
      </c>
      <c r="J1396" t="s">
        <v>2349</v>
      </c>
      <c r="M1396" t="s">
        <v>106</v>
      </c>
      <c r="P1396" t="s">
        <v>69</v>
      </c>
      <c r="Q1396" t="s">
        <v>47</v>
      </c>
      <c r="R1396" t="s">
        <v>48</v>
      </c>
      <c r="V1396" t="s">
        <v>49</v>
      </c>
      <c r="X1396" t="s">
        <v>49</v>
      </c>
      <c r="Y1396" t="s">
        <v>70</v>
      </c>
      <c r="Z1396" t="s">
        <v>2331</v>
      </c>
      <c r="AA1396" t="s">
        <v>2331</v>
      </c>
    </row>
    <row r="1397" spans="1:27" x14ac:dyDescent="0.35">
      <c r="A1397" t="str">
        <f t="shared" si="43"/>
        <v>1606C2</v>
      </c>
      <c r="B1397" t="str">
        <f t="shared" si="42"/>
        <v>1606</v>
      </c>
      <c r="C1397" t="s">
        <v>2361</v>
      </c>
      <c r="D1397" t="s">
        <v>1</v>
      </c>
      <c r="E1397" t="s">
        <v>65</v>
      </c>
      <c r="F1397" t="s">
        <v>66</v>
      </c>
      <c r="G1397" t="s">
        <v>757</v>
      </c>
      <c r="H1397" t="s">
        <v>42</v>
      </c>
      <c r="I1397" t="s">
        <v>67</v>
      </c>
      <c r="J1397" t="s">
        <v>2352</v>
      </c>
      <c r="M1397" t="s">
        <v>106</v>
      </c>
      <c r="P1397" t="s">
        <v>69</v>
      </c>
      <c r="Q1397" t="s">
        <v>47</v>
      </c>
      <c r="R1397" t="s">
        <v>48</v>
      </c>
      <c r="V1397" t="s">
        <v>49</v>
      </c>
      <c r="X1397" t="s">
        <v>49</v>
      </c>
      <c r="Y1397" t="s">
        <v>70</v>
      </c>
      <c r="Z1397" t="s">
        <v>2362</v>
      </c>
      <c r="AA1397" t="s">
        <v>2362</v>
      </c>
    </row>
    <row r="1398" spans="1:27" x14ac:dyDescent="0.35">
      <c r="A1398" t="str">
        <f t="shared" si="43"/>
        <v>801_D2</v>
      </c>
      <c r="B1398" t="str">
        <f t="shared" si="42"/>
        <v>801_</v>
      </c>
      <c r="C1398" t="s">
        <v>2363</v>
      </c>
      <c r="D1398" t="s">
        <v>2</v>
      </c>
      <c r="E1398" t="s">
        <v>62</v>
      </c>
      <c r="F1398" t="s">
        <v>63</v>
      </c>
      <c r="G1398" t="s">
        <v>757</v>
      </c>
      <c r="H1398" t="s">
        <v>42</v>
      </c>
      <c r="I1398" t="s">
        <v>67</v>
      </c>
      <c r="J1398" t="s">
        <v>2349</v>
      </c>
      <c r="K1398" t="s">
        <v>56</v>
      </c>
      <c r="M1398" t="s">
        <v>106</v>
      </c>
      <c r="P1398" t="s">
        <v>58</v>
      </c>
      <c r="Q1398" t="s">
        <v>47</v>
      </c>
      <c r="R1398" t="s">
        <v>48</v>
      </c>
      <c r="V1398" t="s">
        <v>49</v>
      </c>
      <c r="X1398" t="s">
        <v>49</v>
      </c>
      <c r="Y1398" t="s">
        <v>59</v>
      </c>
      <c r="Z1398" t="s">
        <v>2267</v>
      </c>
      <c r="AA1398" t="s">
        <v>2267</v>
      </c>
    </row>
    <row r="1399" spans="1:27" x14ac:dyDescent="0.35">
      <c r="A1399" t="str">
        <f t="shared" si="43"/>
        <v>1606D7</v>
      </c>
      <c r="B1399" t="str">
        <f t="shared" si="42"/>
        <v>1606</v>
      </c>
      <c r="C1399" t="s">
        <v>2364</v>
      </c>
      <c r="D1399" t="s">
        <v>6</v>
      </c>
      <c r="E1399" t="s">
        <v>94</v>
      </c>
      <c r="F1399" t="s">
        <v>111</v>
      </c>
      <c r="G1399" t="s">
        <v>757</v>
      </c>
      <c r="H1399" t="s">
        <v>42</v>
      </c>
      <c r="I1399" t="s">
        <v>43</v>
      </c>
      <c r="J1399" t="s">
        <v>2352</v>
      </c>
      <c r="M1399" t="s">
        <v>106</v>
      </c>
      <c r="P1399" t="s">
        <v>46</v>
      </c>
      <c r="Q1399" t="s">
        <v>47</v>
      </c>
      <c r="R1399" t="s">
        <v>48</v>
      </c>
      <c r="V1399" t="s">
        <v>49</v>
      </c>
      <c r="X1399" t="s">
        <v>49</v>
      </c>
      <c r="Y1399" t="s">
        <v>59</v>
      </c>
      <c r="Z1399" t="s">
        <v>2365</v>
      </c>
      <c r="AA1399" t="s">
        <v>2365</v>
      </c>
    </row>
    <row r="1400" spans="1:27" x14ac:dyDescent="0.35">
      <c r="A1400" t="str">
        <f t="shared" si="43"/>
        <v>801_D7</v>
      </c>
      <c r="B1400" t="str">
        <f t="shared" si="42"/>
        <v>801_</v>
      </c>
      <c r="C1400" t="s">
        <v>2366</v>
      </c>
      <c r="D1400" t="s">
        <v>6</v>
      </c>
      <c r="E1400" t="s">
        <v>94</v>
      </c>
      <c r="F1400" t="s">
        <v>111</v>
      </c>
      <c r="G1400" t="s">
        <v>757</v>
      </c>
      <c r="H1400" t="s">
        <v>42</v>
      </c>
      <c r="I1400" t="s">
        <v>67</v>
      </c>
      <c r="J1400" t="s">
        <v>2349</v>
      </c>
      <c r="M1400" t="s">
        <v>106</v>
      </c>
      <c r="P1400" t="s">
        <v>46</v>
      </c>
      <c r="Q1400" t="s">
        <v>47</v>
      </c>
      <c r="R1400" t="s">
        <v>48</v>
      </c>
      <c r="V1400" t="s">
        <v>49</v>
      </c>
      <c r="X1400" t="s">
        <v>49</v>
      </c>
      <c r="Y1400" t="s">
        <v>59</v>
      </c>
      <c r="Z1400" t="s">
        <v>2367</v>
      </c>
      <c r="AA1400" t="s">
        <v>2367</v>
      </c>
    </row>
    <row r="1401" spans="1:27" x14ac:dyDescent="0.35">
      <c r="A1401" t="str">
        <f t="shared" si="43"/>
        <v>801_D4</v>
      </c>
      <c r="B1401" t="str">
        <f t="shared" si="42"/>
        <v>801_</v>
      </c>
      <c r="C1401" t="s">
        <v>2368</v>
      </c>
      <c r="D1401" t="s">
        <v>3</v>
      </c>
      <c r="E1401" t="s">
        <v>52</v>
      </c>
      <c r="F1401" t="s">
        <v>53</v>
      </c>
      <c r="G1401" t="s">
        <v>757</v>
      </c>
      <c r="H1401" t="s">
        <v>42</v>
      </c>
      <c r="I1401" t="s">
        <v>67</v>
      </c>
      <c r="J1401" t="s">
        <v>2349</v>
      </c>
      <c r="K1401" t="s">
        <v>56</v>
      </c>
      <c r="M1401" t="s">
        <v>106</v>
      </c>
      <c r="P1401" t="s">
        <v>58</v>
      </c>
      <c r="Q1401" t="s">
        <v>47</v>
      </c>
      <c r="R1401" t="s">
        <v>48</v>
      </c>
      <c r="V1401" t="s">
        <v>49</v>
      </c>
      <c r="X1401" t="s">
        <v>49</v>
      </c>
      <c r="Y1401" t="s">
        <v>59</v>
      </c>
      <c r="Z1401" t="s">
        <v>2113</v>
      </c>
      <c r="AA1401" t="s">
        <v>2113</v>
      </c>
    </row>
    <row r="1402" spans="1:27" x14ac:dyDescent="0.35">
      <c r="A1402" t="str">
        <f t="shared" si="43"/>
        <v>709_F3</v>
      </c>
      <c r="B1402" t="str">
        <f t="shared" si="42"/>
        <v>709_</v>
      </c>
      <c r="C1402" t="s">
        <v>2369</v>
      </c>
      <c r="D1402" t="s">
        <v>5</v>
      </c>
      <c r="E1402" t="s">
        <v>40</v>
      </c>
      <c r="F1402" t="s">
        <v>73</v>
      </c>
      <c r="G1402" t="s">
        <v>757</v>
      </c>
      <c r="H1402" t="s">
        <v>42</v>
      </c>
      <c r="I1402" t="s">
        <v>67</v>
      </c>
      <c r="J1402" t="s">
        <v>2370</v>
      </c>
      <c r="M1402" t="s">
        <v>106</v>
      </c>
      <c r="P1402" t="s">
        <v>46</v>
      </c>
      <c r="Q1402" t="s">
        <v>47</v>
      </c>
      <c r="R1402" t="s">
        <v>48</v>
      </c>
      <c r="V1402" t="s">
        <v>49</v>
      </c>
      <c r="X1402" t="s">
        <v>49</v>
      </c>
      <c r="Y1402" t="s">
        <v>74</v>
      </c>
      <c r="Z1402" t="s">
        <v>2371</v>
      </c>
      <c r="AA1402" t="s">
        <v>2371</v>
      </c>
    </row>
    <row r="1403" spans="1:27" x14ac:dyDescent="0.35">
      <c r="A1403" t="str">
        <f t="shared" si="43"/>
        <v>709_F2</v>
      </c>
      <c r="B1403" t="str">
        <f t="shared" si="42"/>
        <v>709_</v>
      </c>
      <c r="C1403" t="s">
        <v>2372</v>
      </c>
      <c r="D1403" t="s">
        <v>4</v>
      </c>
      <c r="E1403" t="s">
        <v>77</v>
      </c>
      <c r="F1403" t="s">
        <v>78</v>
      </c>
      <c r="G1403" t="s">
        <v>757</v>
      </c>
      <c r="H1403" t="s">
        <v>42</v>
      </c>
      <c r="I1403" t="s">
        <v>67</v>
      </c>
      <c r="J1403" t="s">
        <v>2370</v>
      </c>
      <c r="M1403" t="s">
        <v>106</v>
      </c>
      <c r="P1403" t="s">
        <v>79</v>
      </c>
      <c r="Q1403" t="s">
        <v>47</v>
      </c>
      <c r="R1403" t="s">
        <v>48</v>
      </c>
      <c r="V1403" t="s">
        <v>49</v>
      </c>
      <c r="X1403" t="s">
        <v>49</v>
      </c>
      <c r="Y1403" t="s">
        <v>74</v>
      </c>
      <c r="Z1403" t="s">
        <v>2373</v>
      </c>
      <c r="AA1403" t="s">
        <v>2373</v>
      </c>
    </row>
    <row r="1404" spans="1:27" x14ac:dyDescent="0.35">
      <c r="A1404" t="str">
        <f t="shared" si="43"/>
        <v>709_C2</v>
      </c>
      <c r="B1404" t="str">
        <f t="shared" si="42"/>
        <v>709_</v>
      </c>
      <c r="C1404" t="s">
        <v>2374</v>
      </c>
      <c r="D1404" t="s">
        <v>1</v>
      </c>
      <c r="E1404" t="s">
        <v>65</v>
      </c>
      <c r="F1404" t="s">
        <v>66</v>
      </c>
      <c r="G1404" t="s">
        <v>757</v>
      </c>
      <c r="H1404" t="s">
        <v>42</v>
      </c>
      <c r="I1404" t="s">
        <v>67</v>
      </c>
      <c r="J1404" t="s">
        <v>2370</v>
      </c>
      <c r="M1404" t="s">
        <v>106</v>
      </c>
      <c r="P1404" t="s">
        <v>69</v>
      </c>
      <c r="Q1404" t="s">
        <v>47</v>
      </c>
      <c r="R1404" t="s">
        <v>48</v>
      </c>
      <c r="V1404" t="s">
        <v>49</v>
      </c>
      <c r="X1404" t="s">
        <v>49</v>
      </c>
      <c r="Y1404" t="s">
        <v>70</v>
      </c>
      <c r="Z1404" t="s">
        <v>2375</v>
      </c>
      <c r="AA1404" t="s">
        <v>2375</v>
      </c>
    </row>
    <row r="1405" spans="1:27" x14ac:dyDescent="0.35">
      <c r="A1405" t="str">
        <f t="shared" si="43"/>
        <v>709_D2</v>
      </c>
      <c r="B1405" t="str">
        <f t="shared" si="42"/>
        <v>709_</v>
      </c>
      <c r="C1405" t="s">
        <v>2376</v>
      </c>
      <c r="D1405" t="s">
        <v>2</v>
      </c>
      <c r="E1405" t="s">
        <v>62</v>
      </c>
      <c r="F1405" t="s">
        <v>63</v>
      </c>
      <c r="G1405" t="s">
        <v>757</v>
      </c>
      <c r="H1405" t="s">
        <v>42</v>
      </c>
      <c r="I1405" t="s">
        <v>67</v>
      </c>
      <c r="J1405" t="s">
        <v>2370</v>
      </c>
      <c r="K1405" t="s">
        <v>56</v>
      </c>
      <c r="M1405" t="s">
        <v>106</v>
      </c>
      <c r="P1405" t="s">
        <v>58</v>
      </c>
      <c r="Q1405" t="s">
        <v>47</v>
      </c>
      <c r="R1405" t="s">
        <v>48</v>
      </c>
      <c r="V1405" t="s">
        <v>49</v>
      </c>
      <c r="X1405" t="s">
        <v>49</v>
      </c>
      <c r="Y1405" t="s">
        <v>59</v>
      </c>
      <c r="Z1405" t="s">
        <v>2377</v>
      </c>
      <c r="AA1405" t="s">
        <v>2377</v>
      </c>
    </row>
    <row r="1406" spans="1:27" x14ac:dyDescent="0.35">
      <c r="A1406" t="str">
        <f t="shared" si="43"/>
        <v>709_D7</v>
      </c>
      <c r="B1406" t="str">
        <f t="shared" si="42"/>
        <v>709_</v>
      </c>
      <c r="C1406" t="s">
        <v>2378</v>
      </c>
      <c r="D1406" t="s">
        <v>6</v>
      </c>
      <c r="E1406" t="s">
        <v>94</v>
      </c>
      <c r="F1406" t="s">
        <v>111</v>
      </c>
      <c r="G1406" t="s">
        <v>757</v>
      </c>
      <c r="H1406" t="s">
        <v>42</v>
      </c>
      <c r="I1406" t="s">
        <v>67</v>
      </c>
      <c r="J1406" t="s">
        <v>2370</v>
      </c>
      <c r="M1406" t="s">
        <v>106</v>
      </c>
      <c r="P1406" t="s">
        <v>46</v>
      </c>
      <c r="Q1406" t="s">
        <v>47</v>
      </c>
      <c r="R1406" t="s">
        <v>48</v>
      </c>
      <c r="V1406" t="s">
        <v>49</v>
      </c>
      <c r="X1406" t="s">
        <v>49</v>
      </c>
      <c r="Y1406" t="s">
        <v>59</v>
      </c>
      <c r="Z1406" t="s">
        <v>2379</v>
      </c>
      <c r="AA1406" t="s">
        <v>2379</v>
      </c>
    </row>
    <row r="1407" spans="1:27" x14ac:dyDescent="0.35">
      <c r="A1407" t="str">
        <f t="shared" si="43"/>
        <v>709_D4</v>
      </c>
      <c r="B1407" t="str">
        <f t="shared" si="42"/>
        <v>709_</v>
      </c>
      <c r="C1407" t="s">
        <v>2380</v>
      </c>
      <c r="D1407" t="s">
        <v>3</v>
      </c>
      <c r="E1407" t="s">
        <v>52</v>
      </c>
      <c r="F1407" t="s">
        <v>53</v>
      </c>
      <c r="G1407" t="s">
        <v>757</v>
      </c>
      <c r="H1407" t="s">
        <v>42</v>
      </c>
      <c r="I1407" t="s">
        <v>67</v>
      </c>
      <c r="J1407" t="s">
        <v>2370</v>
      </c>
      <c r="K1407" t="s">
        <v>56</v>
      </c>
      <c r="M1407" t="s">
        <v>106</v>
      </c>
      <c r="P1407" t="s">
        <v>58</v>
      </c>
      <c r="Q1407" t="s">
        <v>47</v>
      </c>
      <c r="R1407" t="s">
        <v>48</v>
      </c>
      <c r="V1407" t="s">
        <v>49</v>
      </c>
      <c r="X1407" t="s">
        <v>49</v>
      </c>
      <c r="Y1407" t="s">
        <v>59</v>
      </c>
      <c r="Z1407" t="s">
        <v>2377</v>
      </c>
      <c r="AA1407" t="s">
        <v>2377</v>
      </c>
    </row>
    <row r="1408" spans="1:27" x14ac:dyDescent="0.35">
      <c r="A1408" t="str">
        <f t="shared" si="43"/>
        <v>708_F3</v>
      </c>
      <c r="B1408" t="str">
        <f t="shared" si="42"/>
        <v>708_</v>
      </c>
      <c r="C1408" t="s">
        <v>2381</v>
      </c>
      <c r="D1408" t="s">
        <v>5</v>
      </c>
      <c r="E1408" t="s">
        <v>40</v>
      </c>
      <c r="F1408" t="s">
        <v>73</v>
      </c>
      <c r="G1408" t="s">
        <v>757</v>
      </c>
      <c r="H1408" t="s">
        <v>42</v>
      </c>
      <c r="I1408" t="s">
        <v>67</v>
      </c>
      <c r="J1408" t="s">
        <v>2382</v>
      </c>
      <c r="M1408" t="s">
        <v>106</v>
      </c>
      <c r="P1408" t="s">
        <v>46</v>
      </c>
      <c r="Q1408" t="s">
        <v>47</v>
      </c>
      <c r="R1408" t="s">
        <v>48</v>
      </c>
      <c r="V1408" t="s">
        <v>49</v>
      </c>
      <c r="X1408" t="s">
        <v>49</v>
      </c>
      <c r="Y1408" t="s">
        <v>74</v>
      </c>
      <c r="Z1408" t="s">
        <v>2383</v>
      </c>
      <c r="AA1408" t="s">
        <v>2383</v>
      </c>
    </row>
    <row r="1409" spans="1:27" x14ac:dyDescent="0.35">
      <c r="A1409" t="str">
        <f t="shared" si="43"/>
        <v>1605F2</v>
      </c>
      <c r="B1409" t="str">
        <f t="shared" si="42"/>
        <v>1605</v>
      </c>
      <c r="C1409" t="s">
        <v>2384</v>
      </c>
      <c r="D1409" t="s">
        <v>4</v>
      </c>
      <c r="E1409" t="s">
        <v>77</v>
      </c>
      <c r="F1409" t="s">
        <v>78</v>
      </c>
      <c r="G1409" t="s">
        <v>757</v>
      </c>
      <c r="H1409" t="s">
        <v>42</v>
      </c>
      <c r="I1409" t="s">
        <v>67</v>
      </c>
      <c r="J1409" t="s">
        <v>2385</v>
      </c>
      <c r="M1409" t="s">
        <v>106</v>
      </c>
      <c r="P1409" t="s">
        <v>91</v>
      </c>
      <c r="Q1409" t="s">
        <v>47</v>
      </c>
      <c r="R1409" t="s">
        <v>48</v>
      </c>
      <c r="V1409" t="s">
        <v>49</v>
      </c>
      <c r="X1409" t="s">
        <v>49</v>
      </c>
      <c r="Y1409" t="s">
        <v>74</v>
      </c>
      <c r="Z1409" t="s">
        <v>2326</v>
      </c>
      <c r="AA1409" t="s">
        <v>2326</v>
      </c>
    </row>
    <row r="1410" spans="1:27" x14ac:dyDescent="0.35">
      <c r="A1410" t="str">
        <f t="shared" si="43"/>
        <v>1605D4</v>
      </c>
      <c r="B1410" t="str">
        <f t="shared" ref="B1410:B1473" si="44">LEFT($J:$J,4)</f>
        <v>1605</v>
      </c>
      <c r="C1410" t="s">
        <v>2386</v>
      </c>
      <c r="D1410" t="s">
        <v>3</v>
      </c>
      <c r="E1410" t="s">
        <v>52</v>
      </c>
      <c r="F1410" t="s">
        <v>53</v>
      </c>
      <c r="G1410" t="s">
        <v>757</v>
      </c>
      <c r="H1410" t="s">
        <v>42</v>
      </c>
      <c r="I1410" t="s">
        <v>43</v>
      </c>
      <c r="J1410" t="s">
        <v>2385</v>
      </c>
      <c r="K1410" t="s">
        <v>56</v>
      </c>
      <c r="M1410" t="s">
        <v>106</v>
      </c>
      <c r="P1410" t="s">
        <v>58</v>
      </c>
      <c r="Q1410" t="s">
        <v>47</v>
      </c>
      <c r="R1410" t="s">
        <v>48</v>
      </c>
      <c r="V1410" t="s">
        <v>49</v>
      </c>
      <c r="X1410" t="s">
        <v>49</v>
      </c>
      <c r="Y1410" t="s">
        <v>59</v>
      </c>
      <c r="Z1410" t="s">
        <v>2218</v>
      </c>
      <c r="AA1410" t="s">
        <v>2218</v>
      </c>
    </row>
    <row r="1411" spans="1:27" x14ac:dyDescent="0.35">
      <c r="A1411" t="str">
        <f t="shared" ref="A1411:A1474" si="45">B1411&amp;D1411</f>
        <v>1605D2</v>
      </c>
      <c r="B1411" t="str">
        <f t="shared" si="44"/>
        <v>1605</v>
      </c>
      <c r="C1411" t="s">
        <v>2387</v>
      </c>
      <c r="D1411" t="s">
        <v>2</v>
      </c>
      <c r="E1411" t="s">
        <v>62</v>
      </c>
      <c r="F1411" t="s">
        <v>63</v>
      </c>
      <c r="G1411" t="s">
        <v>757</v>
      </c>
      <c r="H1411" t="s">
        <v>42</v>
      </c>
      <c r="I1411" t="s">
        <v>43</v>
      </c>
      <c r="J1411" t="s">
        <v>2385</v>
      </c>
      <c r="K1411" t="s">
        <v>56</v>
      </c>
      <c r="M1411" t="s">
        <v>106</v>
      </c>
      <c r="P1411" t="s">
        <v>58</v>
      </c>
      <c r="Q1411" t="s">
        <v>47</v>
      </c>
      <c r="R1411" t="s">
        <v>48</v>
      </c>
      <c r="V1411" t="s">
        <v>49</v>
      </c>
      <c r="X1411" t="s">
        <v>49</v>
      </c>
      <c r="Y1411" t="s">
        <v>59</v>
      </c>
      <c r="Z1411" t="s">
        <v>2106</v>
      </c>
      <c r="AA1411" t="s">
        <v>2106</v>
      </c>
    </row>
    <row r="1412" spans="1:27" x14ac:dyDescent="0.35">
      <c r="A1412" t="str">
        <f t="shared" si="45"/>
        <v>1605F3</v>
      </c>
      <c r="B1412" t="str">
        <f t="shared" si="44"/>
        <v>1605</v>
      </c>
      <c r="C1412" t="s">
        <v>2388</v>
      </c>
      <c r="D1412" t="s">
        <v>5</v>
      </c>
      <c r="E1412" t="s">
        <v>40</v>
      </c>
      <c r="F1412" t="s">
        <v>73</v>
      </c>
      <c r="G1412" t="s">
        <v>757</v>
      </c>
      <c r="H1412" t="s">
        <v>42</v>
      </c>
      <c r="I1412" t="s">
        <v>67</v>
      </c>
      <c r="J1412" t="s">
        <v>2385</v>
      </c>
      <c r="M1412" t="s">
        <v>106</v>
      </c>
      <c r="P1412" t="s">
        <v>58</v>
      </c>
      <c r="Q1412" t="s">
        <v>47</v>
      </c>
      <c r="R1412" t="s">
        <v>48</v>
      </c>
      <c r="V1412" t="s">
        <v>49</v>
      </c>
      <c r="X1412" t="s">
        <v>49</v>
      </c>
      <c r="Y1412" t="s">
        <v>74</v>
      </c>
      <c r="Z1412" t="s">
        <v>2359</v>
      </c>
      <c r="AA1412" t="s">
        <v>2359</v>
      </c>
    </row>
    <row r="1413" spans="1:27" x14ac:dyDescent="0.35">
      <c r="A1413" t="str">
        <f t="shared" si="45"/>
        <v>708_F2</v>
      </c>
      <c r="B1413" t="str">
        <f t="shared" si="44"/>
        <v>708_</v>
      </c>
      <c r="C1413" t="s">
        <v>2389</v>
      </c>
      <c r="D1413" t="s">
        <v>4</v>
      </c>
      <c r="E1413" t="s">
        <v>77</v>
      </c>
      <c r="F1413" t="s">
        <v>78</v>
      </c>
      <c r="G1413" t="s">
        <v>757</v>
      </c>
      <c r="H1413" t="s">
        <v>42</v>
      </c>
      <c r="I1413" t="s">
        <v>67</v>
      </c>
      <c r="J1413" t="s">
        <v>2382</v>
      </c>
      <c r="M1413" t="s">
        <v>106</v>
      </c>
      <c r="P1413" t="s">
        <v>189</v>
      </c>
      <c r="Q1413" t="s">
        <v>47</v>
      </c>
      <c r="R1413" t="s">
        <v>48</v>
      </c>
      <c r="V1413" t="s">
        <v>49</v>
      </c>
      <c r="X1413" t="s">
        <v>49</v>
      </c>
      <c r="Y1413" t="s">
        <v>74</v>
      </c>
      <c r="Z1413" t="s">
        <v>2390</v>
      </c>
      <c r="AA1413" t="s">
        <v>2390</v>
      </c>
    </row>
    <row r="1414" spans="1:27" x14ac:dyDescent="0.35">
      <c r="A1414" t="str">
        <f t="shared" si="45"/>
        <v>1605C2</v>
      </c>
      <c r="B1414" t="str">
        <f t="shared" si="44"/>
        <v>1605</v>
      </c>
      <c r="C1414" t="s">
        <v>2391</v>
      </c>
      <c r="D1414" t="s">
        <v>1</v>
      </c>
      <c r="E1414" t="s">
        <v>65</v>
      </c>
      <c r="F1414" t="s">
        <v>66</v>
      </c>
      <c r="G1414" t="s">
        <v>757</v>
      </c>
      <c r="H1414" t="s">
        <v>42</v>
      </c>
      <c r="I1414" t="s">
        <v>67</v>
      </c>
      <c r="J1414" t="s">
        <v>2385</v>
      </c>
      <c r="M1414" t="s">
        <v>106</v>
      </c>
      <c r="P1414" t="s">
        <v>69</v>
      </c>
      <c r="Q1414" t="s">
        <v>47</v>
      </c>
      <c r="R1414" t="s">
        <v>48</v>
      </c>
      <c r="V1414" t="s">
        <v>49</v>
      </c>
      <c r="X1414" t="s">
        <v>49</v>
      </c>
      <c r="Y1414" t="s">
        <v>70</v>
      </c>
      <c r="Z1414" t="s">
        <v>225</v>
      </c>
      <c r="AA1414" t="s">
        <v>225</v>
      </c>
    </row>
    <row r="1415" spans="1:27" x14ac:dyDescent="0.35">
      <c r="A1415" t="str">
        <f t="shared" si="45"/>
        <v>708_C2</v>
      </c>
      <c r="B1415" t="str">
        <f t="shared" si="44"/>
        <v>708_</v>
      </c>
      <c r="C1415" t="s">
        <v>2392</v>
      </c>
      <c r="D1415" t="s">
        <v>1</v>
      </c>
      <c r="E1415" t="s">
        <v>65</v>
      </c>
      <c r="F1415" t="s">
        <v>66</v>
      </c>
      <c r="G1415" t="s">
        <v>757</v>
      </c>
      <c r="H1415" t="s">
        <v>42</v>
      </c>
      <c r="I1415" t="s">
        <v>67</v>
      </c>
      <c r="J1415" t="s">
        <v>2382</v>
      </c>
      <c r="M1415" t="s">
        <v>106</v>
      </c>
      <c r="P1415" t="s">
        <v>69</v>
      </c>
      <c r="Q1415" t="s">
        <v>47</v>
      </c>
      <c r="R1415" t="s">
        <v>48</v>
      </c>
      <c r="V1415" t="s">
        <v>49</v>
      </c>
      <c r="X1415" t="s">
        <v>49</v>
      </c>
      <c r="Y1415" t="s">
        <v>70</v>
      </c>
      <c r="Z1415" t="s">
        <v>2393</v>
      </c>
      <c r="AA1415" t="s">
        <v>2393</v>
      </c>
    </row>
    <row r="1416" spans="1:27" x14ac:dyDescent="0.35">
      <c r="A1416" t="str">
        <f t="shared" si="45"/>
        <v>1605D7</v>
      </c>
      <c r="B1416" t="str">
        <f t="shared" si="44"/>
        <v>1605</v>
      </c>
      <c r="C1416" t="s">
        <v>2394</v>
      </c>
      <c r="D1416" t="s">
        <v>6</v>
      </c>
      <c r="E1416" t="s">
        <v>94</v>
      </c>
      <c r="F1416" t="s">
        <v>111</v>
      </c>
      <c r="G1416" t="s">
        <v>757</v>
      </c>
      <c r="H1416" t="s">
        <v>42</v>
      </c>
      <c r="I1416" t="s">
        <v>43</v>
      </c>
      <c r="J1416" t="s">
        <v>2385</v>
      </c>
      <c r="M1416" t="s">
        <v>106</v>
      </c>
      <c r="P1416" t="s">
        <v>46</v>
      </c>
      <c r="Q1416" t="s">
        <v>47</v>
      </c>
      <c r="R1416" t="s">
        <v>48</v>
      </c>
      <c r="V1416" t="s">
        <v>49</v>
      </c>
      <c r="X1416" t="s">
        <v>49</v>
      </c>
      <c r="Y1416" t="s">
        <v>59</v>
      </c>
      <c r="Z1416" t="s">
        <v>2395</v>
      </c>
      <c r="AA1416" t="s">
        <v>2395</v>
      </c>
    </row>
    <row r="1417" spans="1:27" x14ac:dyDescent="0.35">
      <c r="A1417" t="str">
        <f t="shared" si="45"/>
        <v>708_D2</v>
      </c>
      <c r="B1417" t="str">
        <f t="shared" si="44"/>
        <v>708_</v>
      </c>
      <c r="C1417" t="s">
        <v>2396</v>
      </c>
      <c r="D1417" t="s">
        <v>2</v>
      </c>
      <c r="E1417" t="s">
        <v>62</v>
      </c>
      <c r="F1417" t="s">
        <v>63</v>
      </c>
      <c r="G1417" t="s">
        <v>757</v>
      </c>
      <c r="H1417" t="s">
        <v>42</v>
      </c>
      <c r="I1417" t="s">
        <v>67</v>
      </c>
      <c r="J1417" t="s">
        <v>2382</v>
      </c>
      <c r="K1417" t="s">
        <v>56</v>
      </c>
      <c r="M1417" t="s">
        <v>106</v>
      </c>
      <c r="P1417" t="s">
        <v>58</v>
      </c>
      <c r="Q1417" t="s">
        <v>47</v>
      </c>
      <c r="R1417" t="s">
        <v>48</v>
      </c>
      <c r="V1417" t="s">
        <v>49</v>
      </c>
      <c r="X1417" t="s">
        <v>49</v>
      </c>
      <c r="Y1417" t="s">
        <v>59</v>
      </c>
      <c r="Z1417" t="s">
        <v>2397</v>
      </c>
      <c r="AA1417" t="s">
        <v>2397</v>
      </c>
    </row>
    <row r="1418" spans="1:27" x14ac:dyDescent="0.35">
      <c r="A1418" t="str">
        <f t="shared" si="45"/>
        <v>708_D7</v>
      </c>
      <c r="B1418" t="str">
        <f t="shared" si="44"/>
        <v>708_</v>
      </c>
      <c r="C1418" t="s">
        <v>2398</v>
      </c>
      <c r="D1418" t="s">
        <v>6</v>
      </c>
      <c r="E1418" t="s">
        <v>94</v>
      </c>
      <c r="F1418" t="s">
        <v>111</v>
      </c>
      <c r="G1418" t="s">
        <v>757</v>
      </c>
      <c r="H1418" t="s">
        <v>42</v>
      </c>
      <c r="I1418" t="s">
        <v>67</v>
      </c>
      <c r="J1418" t="s">
        <v>2382</v>
      </c>
      <c r="M1418" t="s">
        <v>106</v>
      </c>
      <c r="P1418" t="s">
        <v>46</v>
      </c>
      <c r="Q1418" t="s">
        <v>47</v>
      </c>
      <c r="R1418" t="s">
        <v>48</v>
      </c>
      <c r="V1418" t="s">
        <v>49</v>
      </c>
      <c r="X1418" t="s">
        <v>49</v>
      </c>
      <c r="Y1418" t="s">
        <v>59</v>
      </c>
      <c r="Z1418" t="s">
        <v>2399</v>
      </c>
      <c r="AA1418" t="s">
        <v>2399</v>
      </c>
    </row>
    <row r="1419" spans="1:27" x14ac:dyDescent="0.35">
      <c r="A1419" t="str">
        <f t="shared" si="45"/>
        <v>708_D4</v>
      </c>
      <c r="B1419" t="str">
        <f t="shared" si="44"/>
        <v>708_</v>
      </c>
      <c r="C1419" t="s">
        <v>2400</v>
      </c>
      <c r="D1419" t="s">
        <v>3</v>
      </c>
      <c r="E1419" t="s">
        <v>52</v>
      </c>
      <c r="F1419" t="s">
        <v>53</v>
      </c>
      <c r="G1419" t="s">
        <v>757</v>
      </c>
      <c r="H1419" t="s">
        <v>42</v>
      </c>
      <c r="I1419" t="s">
        <v>67</v>
      </c>
      <c r="J1419" t="s">
        <v>2382</v>
      </c>
      <c r="K1419" t="s">
        <v>56</v>
      </c>
      <c r="M1419" t="s">
        <v>106</v>
      </c>
      <c r="P1419" t="s">
        <v>58</v>
      </c>
      <c r="Q1419" t="s">
        <v>47</v>
      </c>
      <c r="R1419" t="s">
        <v>48</v>
      </c>
      <c r="V1419" t="s">
        <v>49</v>
      </c>
      <c r="X1419" t="s">
        <v>49</v>
      </c>
      <c r="Y1419" t="s">
        <v>59</v>
      </c>
      <c r="Z1419" t="s">
        <v>2401</v>
      </c>
      <c r="AA1419" t="s">
        <v>2401</v>
      </c>
    </row>
    <row r="1420" spans="1:27" x14ac:dyDescent="0.35">
      <c r="A1420" t="str">
        <f t="shared" si="45"/>
        <v>1604F2</v>
      </c>
      <c r="B1420" t="str">
        <f t="shared" si="44"/>
        <v>1604</v>
      </c>
      <c r="C1420" t="s">
        <v>2402</v>
      </c>
      <c r="D1420" t="s">
        <v>4</v>
      </c>
      <c r="E1420" t="s">
        <v>77</v>
      </c>
      <c r="F1420" t="s">
        <v>78</v>
      </c>
      <c r="G1420" t="s">
        <v>757</v>
      </c>
      <c r="H1420" t="s">
        <v>42</v>
      </c>
      <c r="I1420" t="s">
        <v>67</v>
      </c>
      <c r="J1420" t="s">
        <v>2403</v>
      </c>
      <c r="M1420" t="s">
        <v>106</v>
      </c>
      <c r="P1420" t="s">
        <v>138</v>
      </c>
      <c r="Q1420" t="s">
        <v>47</v>
      </c>
      <c r="R1420" t="s">
        <v>48</v>
      </c>
      <c r="V1420" t="s">
        <v>49</v>
      </c>
      <c r="X1420" t="s">
        <v>49</v>
      </c>
      <c r="Y1420" t="s">
        <v>74</v>
      </c>
      <c r="Z1420" t="s">
        <v>2404</v>
      </c>
      <c r="AA1420" t="s">
        <v>2404</v>
      </c>
    </row>
    <row r="1421" spans="1:27" x14ac:dyDescent="0.35">
      <c r="A1421" t="str">
        <f t="shared" si="45"/>
        <v>1604D4</v>
      </c>
      <c r="B1421" t="str">
        <f t="shared" si="44"/>
        <v>1604</v>
      </c>
      <c r="C1421" t="s">
        <v>2405</v>
      </c>
      <c r="D1421" t="s">
        <v>3</v>
      </c>
      <c r="E1421" t="s">
        <v>52</v>
      </c>
      <c r="F1421" t="s">
        <v>53</v>
      </c>
      <c r="G1421" t="s">
        <v>757</v>
      </c>
      <c r="H1421" t="s">
        <v>42</v>
      </c>
      <c r="I1421" t="s">
        <v>43</v>
      </c>
      <c r="J1421" t="s">
        <v>2403</v>
      </c>
      <c r="K1421" t="s">
        <v>56</v>
      </c>
      <c r="M1421" t="s">
        <v>106</v>
      </c>
      <c r="P1421" t="s">
        <v>58</v>
      </c>
      <c r="Q1421" t="s">
        <v>47</v>
      </c>
      <c r="R1421" t="s">
        <v>48</v>
      </c>
      <c r="V1421" t="s">
        <v>49</v>
      </c>
      <c r="X1421" t="s">
        <v>49</v>
      </c>
      <c r="Y1421" t="s">
        <v>59</v>
      </c>
      <c r="Z1421" t="s">
        <v>2406</v>
      </c>
      <c r="AA1421" t="s">
        <v>2406</v>
      </c>
    </row>
    <row r="1422" spans="1:27" x14ac:dyDescent="0.35">
      <c r="A1422" t="str">
        <f t="shared" si="45"/>
        <v>1604D2</v>
      </c>
      <c r="B1422" t="str">
        <f t="shared" si="44"/>
        <v>1604</v>
      </c>
      <c r="C1422" t="s">
        <v>2407</v>
      </c>
      <c r="D1422" t="s">
        <v>2</v>
      </c>
      <c r="E1422" t="s">
        <v>62</v>
      </c>
      <c r="F1422" t="s">
        <v>63</v>
      </c>
      <c r="G1422" t="s">
        <v>757</v>
      </c>
      <c r="H1422" t="s">
        <v>42</v>
      </c>
      <c r="I1422" t="s">
        <v>43</v>
      </c>
      <c r="J1422" t="s">
        <v>2403</v>
      </c>
      <c r="K1422" t="s">
        <v>56</v>
      </c>
      <c r="M1422" t="s">
        <v>106</v>
      </c>
      <c r="P1422" t="s">
        <v>58</v>
      </c>
      <c r="Q1422" t="s">
        <v>47</v>
      </c>
      <c r="R1422" t="s">
        <v>48</v>
      </c>
      <c r="V1422" t="s">
        <v>49</v>
      </c>
      <c r="X1422" t="s">
        <v>49</v>
      </c>
      <c r="Y1422" t="s">
        <v>59</v>
      </c>
      <c r="Z1422" t="s">
        <v>2408</v>
      </c>
      <c r="AA1422" t="s">
        <v>2408</v>
      </c>
    </row>
    <row r="1423" spans="1:27" x14ac:dyDescent="0.35">
      <c r="A1423" t="str">
        <f t="shared" si="45"/>
        <v>1604F3</v>
      </c>
      <c r="B1423" t="str">
        <f t="shared" si="44"/>
        <v>1604</v>
      </c>
      <c r="C1423" t="s">
        <v>2409</v>
      </c>
      <c r="D1423" t="s">
        <v>5</v>
      </c>
      <c r="E1423" t="s">
        <v>40</v>
      </c>
      <c r="F1423" t="s">
        <v>73</v>
      </c>
      <c r="G1423" t="s">
        <v>757</v>
      </c>
      <c r="H1423" t="s">
        <v>42</v>
      </c>
      <c r="I1423" t="s">
        <v>67</v>
      </c>
      <c r="J1423" t="s">
        <v>2403</v>
      </c>
      <c r="M1423" t="s">
        <v>106</v>
      </c>
      <c r="P1423" t="s">
        <v>69</v>
      </c>
      <c r="Q1423" t="s">
        <v>47</v>
      </c>
      <c r="R1423" t="s">
        <v>48</v>
      </c>
      <c r="V1423" t="s">
        <v>49</v>
      </c>
      <c r="X1423" t="s">
        <v>49</v>
      </c>
      <c r="Y1423" t="s">
        <v>74</v>
      </c>
      <c r="Z1423" t="s">
        <v>2410</v>
      </c>
      <c r="AA1423" t="s">
        <v>2410</v>
      </c>
    </row>
    <row r="1424" spans="1:27" x14ac:dyDescent="0.35">
      <c r="A1424" t="str">
        <f t="shared" si="45"/>
        <v>1604C2</v>
      </c>
      <c r="B1424" t="str">
        <f t="shared" si="44"/>
        <v>1604</v>
      </c>
      <c r="C1424" t="s">
        <v>2411</v>
      </c>
      <c r="D1424" t="s">
        <v>1</v>
      </c>
      <c r="E1424" t="s">
        <v>65</v>
      </c>
      <c r="F1424" t="s">
        <v>66</v>
      </c>
      <c r="G1424" t="s">
        <v>757</v>
      </c>
      <c r="H1424" t="s">
        <v>42</v>
      </c>
      <c r="I1424" t="s">
        <v>67</v>
      </c>
      <c r="J1424" t="s">
        <v>2403</v>
      </c>
      <c r="M1424" t="s">
        <v>106</v>
      </c>
      <c r="P1424" t="s">
        <v>69</v>
      </c>
      <c r="Q1424" t="s">
        <v>47</v>
      </c>
      <c r="R1424" t="s">
        <v>48</v>
      </c>
      <c r="V1424" t="s">
        <v>49</v>
      </c>
      <c r="X1424" t="s">
        <v>49</v>
      </c>
      <c r="Y1424" t="s">
        <v>70</v>
      </c>
      <c r="Z1424" t="s">
        <v>2412</v>
      </c>
      <c r="AA1424" t="s">
        <v>2412</v>
      </c>
    </row>
    <row r="1425" spans="1:27" x14ac:dyDescent="0.35">
      <c r="A1425" t="str">
        <f t="shared" si="45"/>
        <v>1604D7</v>
      </c>
      <c r="B1425" t="str">
        <f t="shared" si="44"/>
        <v>1604</v>
      </c>
      <c r="C1425" t="s">
        <v>2413</v>
      </c>
      <c r="D1425" t="s">
        <v>6</v>
      </c>
      <c r="E1425" t="s">
        <v>94</v>
      </c>
      <c r="F1425" t="s">
        <v>111</v>
      </c>
      <c r="G1425" t="s">
        <v>757</v>
      </c>
      <c r="H1425" t="s">
        <v>42</v>
      </c>
      <c r="I1425" t="s">
        <v>43</v>
      </c>
      <c r="J1425" t="s">
        <v>2403</v>
      </c>
      <c r="M1425" t="s">
        <v>106</v>
      </c>
      <c r="P1425" t="s">
        <v>46</v>
      </c>
      <c r="Q1425" t="s">
        <v>47</v>
      </c>
      <c r="R1425" t="s">
        <v>48</v>
      </c>
      <c r="V1425" t="s">
        <v>49</v>
      </c>
      <c r="X1425" t="s">
        <v>49</v>
      </c>
      <c r="Y1425" t="s">
        <v>59</v>
      </c>
      <c r="Z1425" t="s">
        <v>2414</v>
      </c>
      <c r="AA1425" t="s">
        <v>2414</v>
      </c>
    </row>
    <row r="1426" spans="1:27" x14ac:dyDescent="0.35">
      <c r="A1426" t="str">
        <f t="shared" si="45"/>
        <v>707_F3</v>
      </c>
      <c r="B1426" t="str">
        <f t="shared" si="44"/>
        <v>707_</v>
      </c>
      <c r="C1426" t="s">
        <v>2415</v>
      </c>
      <c r="D1426" t="s">
        <v>5</v>
      </c>
      <c r="E1426" t="s">
        <v>40</v>
      </c>
      <c r="F1426" t="s">
        <v>73</v>
      </c>
      <c r="G1426" t="s">
        <v>757</v>
      </c>
      <c r="H1426" t="s">
        <v>42</v>
      </c>
      <c r="I1426" t="s">
        <v>67</v>
      </c>
      <c r="J1426" t="s">
        <v>2416</v>
      </c>
      <c r="M1426" t="s">
        <v>106</v>
      </c>
      <c r="P1426" t="s">
        <v>46</v>
      </c>
      <c r="Q1426" t="s">
        <v>47</v>
      </c>
      <c r="R1426" t="s">
        <v>48</v>
      </c>
      <c r="V1426" t="s">
        <v>49</v>
      </c>
      <c r="X1426" t="s">
        <v>49</v>
      </c>
      <c r="Y1426" t="s">
        <v>74</v>
      </c>
      <c r="Z1426" t="s">
        <v>2417</v>
      </c>
      <c r="AA1426" t="s">
        <v>2417</v>
      </c>
    </row>
    <row r="1427" spans="1:27" x14ac:dyDescent="0.35">
      <c r="A1427" t="str">
        <f t="shared" si="45"/>
        <v>707_F2</v>
      </c>
      <c r="B1427" t="str">
        <f t="shared" si="44"/>
        <v>707_</v>
      </c>
      <c r="C1427" t="s">
        <v>2418</v>
      </c>
      <c r="D1427" t="s">
        <v>4</v>
      </c>
      <c r="E1427" t="s">
        <v>77</v>
      </c>
      <c r="F1427" t="s">
        <v>78</v>
      </c>
      <c r="G1427" t="s">
        <v>757</v>
      </c>
      <c r="H1427" t="s">
        <v>42</v>
      </c>
      <c r="I1427" t="s">
        <v>67</v>
      </c>
      <c r="J1427" t="s">
        <v>2416</v>
      </c>
      <c r="M1427" t="s">
        <v>106</v>
      </c>
      <c r="P1427" t="s">
        <v>79</v>
      </c>
      <c r="Q1427" t="s">
        <v>47</v>
      </c>
      <c r="R1427" t="s">
        <v>48</v>
      </c>
      <c r="V1427" t="s">
        <v>49</v>
      </c>
      <c r="X1427" t="s">
        <v>49</v>
      </c>
      <c r="Y1427" t="s">
        <v>74</v>
      </c>
      <c r="Z1427" t="s">
        <v>2417</v>
      </c>
      <c r="AA1427" t="s">
        <v>2417</v>
      </c>
    </row>
    <row r="1428" spans="1:27" x14ac:dyDescent="0.35">
      <c r="A1428" t="str">
        <f t="shared" si="45"/>
        <v>707_C2</v>
      </c>
      <c r="B1428" t="str">
        <f t="shared" si="44"/>
        <v>707_</v>
      </c>
      <c r="C1428" t="s">
        <v>2419</v>
      </c>
      <c r="D1428" t="s">
        <v>1</v>
      </c>
      <c r="E1428" t="s">
        <v>65</v>
      </c>
      <c r="F1428" t="s">
        <v>66</v>
      </c>
      <c r="G1428" t="s">
        <v>757</v>
      </c>
      <c r="H1428" t="s">
        <v>42</v>
      </c>
      <c r="I1428" t="s">
        <v>67</v>
      </c>
      <c r="J1428" t="s">
        <v>2416</v>
      </c>
      <c r="M1428" t="s">
        <v>106</v>
      </c>
      <c r="P1428" t="s">
        <v>69</v>
      </c>
      <c r="Q1428" t="s">
        <v>47</v>
      </c>
      <c r="R1428" t="s">
        <v>48</v>
      </c>
      <c r="V1428" t="s">
        <v>49</v>
      </c>
      <c r="X1428" t="s">
        <v>49</v>
      </c>
      <c r="Y1428" t="s">
        <v>70</v>
      </c>
      <c r="Z1428" t="s">
        <v>2375</v>
      </c>
      <c r="AA1428" t="s">
        <v>2375</v>
      </c>
    </row>
    <row r="1429" spans="1:27" x14ac:dyDescent="0.35">
      <c r="A1429" t="str">
        <f t="shared" si="45"/>
        <v>707_D2</v>
      </c>
      <c r="B1429" t="str">
        <f t="shared" si="44"/>
        <v>707_</v>
      </c>
      <c r="C1429" t="s">
        <v>2420</v>
      </c>
      <c r="D1429" t="s">
        <v>2</v>
      </c>
      <c r="E1429" t="s">
        <v>62</v>
      </c>
      <c r="F1429" t="s">
        <v>63</v>
      </c>
      <c r="G1429" t="s">
        <v>757</v>
      </c>
      <c r="H1429" t="s">
        <v>42</v>
      </c>
      <c r="I1429" t="s">
        <v>67</v>
      </c>
      <c r="J1429" t="s">
        <v>2416</v>
      </c>
      <c r="K1429" t="s">
        <v>56</v>
      </c>
      <c r="M1429" t="s">
        <v>106</v>
      </c>
      <c r="P1429" t="s">
        <v>58</v>
      </c>
      <c r="Q1429" t="s">
        <v>47</v>
      </c>
      <c r="R1429" t="s">
        <v>48</v>
      </c>
      <c r="V1429" t="s">
        <v>49</v>
      </c>
      <c r="X1429" t="s">
        <v>49</v>
      </c>
      <c r="Y1429" t="s">
        <v>59</v>
      </c>
      <c r="Z1429" t="s">
        <v>2421</v>
      </c>
      <c r="AA1429" t="s">
        <v>2421</v>
      </c>
    </row>
    <row r="1430" spans="1:27" x14ac:dyDescent="0.35">
      <c r="A1430" t="str">
        <f t="shared" si="45"/>
        <v>707_D7</v>
      </c>
      <c r="B1430" t="str">
        <f t="shared" si="44"/>
        <v>707_</v>
      </c>
      <c r="C1430" t="s">
        <v>2422</v>
      </c>
      <c r="D1430" t="s">
        <v>6</v>
      </c>
      <c r="E1430" t="s">
        <v>94</v>
      </c>
      <c r="F1430" t="s">
        <v>111</v>
      </c>
      <c r="G1430" t="s">
        <v>757</v>
      </c>
      <c r="H1430" t="s">
        <v>42</v>
      </c>
      <c r="I1430" t="s">
        <v>67</v>
      </c>
      <c r="J1430" t="s">
        <v>2416</v>
      </c>
      <c r="M1430" t="s">
        <v>106</v>
      </c>
      <c r="P1430" t="s">
        <v>46</v>
      </c>
      <c r="Q1430" t="s">
        <v>47</v>
      </c>
      <c r="R1430" t="s">
        <v>48</v>
      </c>
      <c r="V1430" t="s">
        <v>49</v>
      </c>
      <c r="X1430" t="s">
        <v>49</v>
      </c>
      <c r="Y1430" t="s">
        <v>59</v>
      </c>
      <c r="Z1430" t="s">
        <v>2423</v>
      </c>
      <c r="AA1430" t="s">
        <v>2423</v>
      </c>
    </row>
    <row r="1431" spans="1:27" x14ac:dyDescent="0.35">
      <c r="A1431" t="str">
        <f t="shared" si="45"/>
        <v>707_D4</v>
      </c>
      <c r="B1431" t="str">
        <f t="shared" si="44"/>
        <v>707_</v>
      </c>
      <c r="C1431" t="s">
        <v>2424</v>
      </c>
      <c r="D1431" t="s">
        <v>3</v>
      </c>
      <c r="E1431" t="s">
        <v>52</v>
      </c>
      <c r="F1431" t="s">
        <v>53</v>
      </c>
      <c r="G1431" t="s">
        <v>757</v>
      </c>
      <c r="H1431" t="s">
        <v>42</v>
      </c>
      <c r="I1431" t="s">
        <v>67</v>
      </c>
      <c r="J1431" t="s">
        <v>2416</v>
      </c>
      <c r="K1431" t="s">
        <v>56</v>
      </c>
      <c r="M1431" t="s">
        <v>106</v>
      </c>
      <c r="P1431" t="s">
        <v>58</v>
      </c>
      <c r="Q1431" t="s">
        <v>47</v>
      </c>
      <c r="R1431" t="s">
        <v>48</v>
      </c>
      <c r="V1431" t="s">
        <v>49</v>
      </c>
      <c r="X1431" t="s">
        <v>49</v>
      </c>
      <c r="Y1431" t="s">
        <v>59</v>
      </c>
      <c r="Z1431" t="s">
        <v>2421</v>
      </c>
      <c r="AA1431" t="s">
        <v>2421</v>
      </c>
    </row>
    <row r="1432" spans="1:27" x14ac:dyDescent="0.35">
      <c r="A1432" t="str">
        <f t="shared" si="45"/>
        <v>1603F2</v>
      </c>
      <c r="B1432" t="str">
        <f t="shared" si="44"/>
        <v>1603</v>
      </c>
      <c r="C1432" t="s">
        <v>2425</v>
      </c>
      <c r="D1432" t="s">
        <v>4</v>
      </c>
      <c r="E1432" t="s">
        <v>77</v>
      </c>
      <c r="F1432" t="s">
        <v>78</v>
      </c>
      <c r="G1432" t="s">
        <v>757</v>
      </c>
      <c r="H1432" t="s">
        <v>42</v>
      </c>
      <c r="I1432" t="s">
        <v>67</v>
      </c>
      <c r="J1432" t="s">
        <v>2426</v>
      </c>
      <c r="M1432" t="s">
        <v>106</v>
      </c>
      <c r="P1432" t="s">
        <v>91</v>
      </c>
      <c r="Q1432" t="s">
        <v>47</v>
      </c>
      <c r="R1432" t="s">
        <v>48</v>
      </c>
      <c r="V1432" t="s">
        <v>49</v>
      </c>
      <c r="X1432" t="s">
        <v>49</v>
      </c>
      <c r="Y1432" t="s">
        <v>74</v>
      </c>
      <c r="Z1432" t="s">
        <v>2404</v>
      </c>
      <c r="AA1432" t="s">
        <v>2404</v>
      </c>
    </row>
    <row r="1433" spans="1:27" x14ac:dyDescent="0.35">
      <c r="A1433" t="str">
        <f t="shared" si="45"/>
        <v>706_F3</v>
      </c>
      <c r="B1433" t="str">
        <f t="shared" si="44"/>
        <v>706_</v>
      </c>
      <c r="C1433" t="s">
        <v>2427</v>
      </c>
      <c r="D1433" t="s">
        <v>5</v>
      </c>
      <c r="E1433" t="s">
        <v>40</v>
      </c>
      <c r="F1433" t="s">
        <v>73</v>
      </c>
      <c r="G1433" t="s">
        <v>757</v>
      </c>
      <c r="H1433" t="s">
        <v>42</v>
      </c>
      <c r="I1433" t="s">
        <v>67</v>
      </c>
      <c r="J1433" t="s">
        <v>2428</v>
      </c>
      <c r="M1433" t="s">
        <v>106</v>
      </c>
      <c r="P1433" t="s">
        <v>46</v>
      </c>
      <c r="Q1433" t="s">
        <v>47</v>
      </c>
      <c r="R1433" t="s">
        <v>48</v>
      </c>
      <c r="V1433" t="s">
        <v>49</v>
      </c>
      <c r="X1433" t="s">
        <v>49</v>
      </c>
      <c r="Y1433" t="s">
        <v>74</v>
      </c>
      <c r="Z1433" t="s">
        <v>2429</v>
      </c>
      <c r="AA1433" t="s">
        <v>2429</v>
      </c>
    </row>
    <row r="1434" spans="1:27" x14ac:dyDescent="0.35">
      <c r="A1434" t="str">
        <f t="shared" si="45"/>
        <v>1603D4</v>
      </c>
      <c r="B1434" t="str">
        <f t="shared" si="44"/>
        <v>1603</v>
      </c>
      <c r="C1434" t="s">
        <v>2430</v>
      </c>
      <c r="D1434" t="s">
        <v>3</v>
      </c>
      <c r="E1434" t="s">
        <v>52</v>
      </c>
      <c r="F1434" t="s">
        <v>53</v>
      </c>
      <c r="G1434" t="s">
        <v>757</v>
      </c>
      <c r="H1434" t="s">
        <v>42</v>
      </c>
      <c r="I1434" t="s">
        <v>43</v>
      </c>
      <c r="J1434" t="s">
        <v>2426</v>
      </c>
      <c r="K1434" t="s">
        <v>56</v>
      </c>
      <c r="M1434" t="s">
        <v>106</v>
      </c>
      <c r="P1434" t="s">
        <v>58</v>
      </c>
      <c r="Q1434" t="s">
        <v>47</v>
      </c>
      <c r="R1434" t="s">
        <v>48</v>
      </c>
      <c r="V1434" t="s">
        <v>49</v>
      </c>
      <c r="X1434" t="s">
        <v>49</v>
      </c>
      <c r="Y1434" t="s">
        <v>59</v>
      </c>
      <c r="Z1434" t="s">
        <v>2431</v>
      </c>
      <c r="AA1434" t="s">
        <v>2431</v>
      </c>
    </row>
    <row r="1435" spans="1:27" x14ac:dyDescent="0.35">
      <c r="A1435" t="str">
        <f t="shared" si="45"/>
        <v>1603D2</v>
      </c>
      <c r="B1435" t="str">
        <f t="shared" si="44"/>
        <v>1603</v>
      </c>
      <c r="C1435" t="s">
        <v>2432</v>
      </c>
      <c r="D1435" t="s">
        <v>2</v>
      </c>
      <c r="E1435" t="s">
        <v>62</v>
      </c>
      <c r="F1435" t="s">
        <v>63</v>
      </c>
      <c r="G1435" t="s">
        <v>757</v>
      </c>
      <c r="H1435" t="s">
        <v>42</v>
      </c>
      <c r="I1435" t="s">
        <v>43</v>
      </c>
      <c r="J1435" t="s">
        <v>2426</v>
      </c>
      <c r="K1435" t="s">
        <v>56</v>
      </c>
      <c r="M1435" t="s">
        <v>106</v>
      </c>
      <c r="P1435" t="s">
        <v>58</v>
      </c>
      <c r="Q1435" t="s">
        <v>47</v>
      </c>
      <c r="R1435" t="s">
        <v>48</v>
      </c>
      <c r="V1435" t="s">
        <v>49</v>
      </c>
      <c r="X1435" t="s">
        <v>49</v>
      </c>
      <c r="Y1435" t="s">
        <v>59</v>
      </c>
      <c r="Z1435" t="s">
        <v>2433</v>
      </c>
      <c r="AA1435" t="s">
        <v>2433</v>
      </c>
    </row>
    <row r="1436" spans="1:27" x14ac:dyDescent="0.35">
      <c r="A1436" t="str">
        <f t="shared" si="45"/>
        <v>1603F3</v>
      </c>
      <c r="B1436" t="str">
        <f t="shared" si="44"/>
        <v>1603</v>
      </c>
      <c r="C1436" t="s">
        <v>2434</v>
      </c>
      <c r="D1436" t="s">
        <v>5</v>
      </c>
      <c r="E1436" t="s">
        <v>40</v>
      </c>
      <c r="F1436" t="s">
        <v>73</v>
      </c>
      <c r="G1436" t="s">
        <v>757</v>
      </c>
      <c r="H1436" t="s">
        <v>42</v>
      </c>
      <c r="I1436" t="s">
        <v>67</v>
      </c>
      <c r="J1436" t="s">
        <v>2426</v>
      </c>
      <c r="M1436" t="s">
        <v>106</v>
      </c>
      <c r="P1436" t="s">
        <v>58</v>
      </c>
      <c r="Q1436" t="s">
        <v>47</v>
      </c>
      <c r="R1436" t="s">
        <v>48</v>
      </c>
      <c r="V1436" t="s">
        <v>49</v>
      </c>
      <c r="X1436" t="s">
        <v>49</v>
      </c>
      <c r="Y1436" t="s">
        <v>74</v>
      </c>
      <c r="Z1436" t="s">
        <v>537</v>
      </c>
      <c r="AA1436" t="s">
        <v>537</v>
      </c>
    </row>
    <row r="1437" spans="1:27" x14ac:dyDescent="0.35">
      <c r="A1437" t="str">
        <f t="shared" si="45"/>
        <v>706_F2</v>
      </c>
      <c r="B1437" t="str">
        <f t="shared" si="44"/>
        <v>706_</v>
      </c>
      <c r="C1437" t="s">
        <v>2435</v>
      </c>
      <c r="D1437" t="s">
        <v>4</v>
      </c>
      <c r="E1437" t="s">
        <v>77</v>
      </c>
      <c r="F1437" t="s">
        <v>78</v>
      </c>
      <c r="G1437" t="s">
        <v>757</v>
      </c>
      <c r="H1437" t="s">
        <v>42</v>
      </c>
      <c r="I1437" t="s">
        <v>67</v>
      </c>
      <c r="J1437" t="s">
        <v>2428</v>
      </c>
      <c r="M1437" t="s">
        <v>106</v>
      </c>
      <c r="P1437" t="s">
        <v>189</v>
      </c>
      <c r="Q1437" t="s">
        <v>47</v>
      </c>
      <c r="R1437" t="s">
        <v>48</v>
      </c>
      <c r="V1437" t="s">
        <v>49</v>
      </c>
      <c r="X1437" t="s">
        <v>49</v>
      </c>
      <c r="Y1437" t="s">
        <v>74</v>
      </c>
      <c r="Z1437" t="s">
        <v>2429</v>
      </c>
      <c r="AA1437" t="s">
        <v>2429</v>
      </c>
    </row>
    <row r="1438" spans="1:27" x14ac:dyDescent="0.35">
      <c r="A1438" t="str">
        <f t="shared" si="45"/>
        <v>1603C2</v>
      </c>
      <c r="B1438" t="str">
        <f t="shared" si="44"/>
        <v>1603</v>
      </c>
      <c r="C1438" t="s">
        <v>2436</v>
      </c>
      <c r="D1438" t="s">
        <v>1</v>
      </c>
      <c r="E1438" t="s">
        <v>65</v>
      </c>
      <c r="F1438" t="s">
        <v>66</v>
      </c>
      <c r="G1438" t="s">
        <v>757</v>
      </c>
      <c r="H1438" t="s">
        <v>42</v>
      </c>
      <c r="I1438" t="s">
        <v>67</v>
      </c>
      <c r="J1438" t="s">
        <v>2426</v>
      </c>
      <c r="M1438" t="s">
        <v>106</v>
      </c>
      <c r="P1438" t="s">
        <v>69</v>
      </c>
      <c r="Q1438" t="s">
        <v>47</v>
      </c>
      <c r="R1438" t="s">
        <v>48</v>
      </c>
      <c r="V1438" t="s">
        <v>49</v>
      </c>
      <c r="X1438" t="s">
        <v>49</v>
      </c>
      <c r="Y1438" t="s">
        <v>70</v>
      </c>
      <c r="Z1438" t="s">
        <v>2437</v>
      </c>
      <c r="AA1438" t="s">
        <v>2437</v>
      </c>
    </row>
    <row r="1439" spans="1:27" x14ac:dyDescent="0.35">
      <c r="A1439" t="str">
        <f t="shared" si="45"/>
        <v>706_C2</v>
      </c>
      <c r="B1439" t="str">
        <f t="shared" si="44"/>
        <v>706_</v>
      </c>
      <c r="C1439" t="s">
        <v>2438</v>
      </c>
      <c r="D1439" t="s">
        <v>1</v>
      </c>
      <c r="E1439" t="s">
        <v>65</v>
      </c>
      <c r="F1439" t="s">
        <v>66</v>
      </c>
      <c r="G1439" t="s">
        <v>757</v>
      </c>
      <c r="H1439" t="s">
        <v>42</v>
      </c>
      <c r="I1439" t="s">
        <v>67</v>
      </c>
      <c r="J1439" t="s">
        <v>2428</v>
      </c>
      <c r="M1439" t="s">
        <v>106</v>
      </c>
      <c r="P1439" t="s">
        <v>69</v>
      </c>
      <c r="Q1439" t="s">
        <v>47</v>
      </c>
      <c r="R1439" t="s">
        <v>48</v>
      </c>
      <c r="V1439" t="s">
        <v>49</v>
      </c>
      <c r="X1439" t="s">
        <v>49</v>
      </c>
      <c r="Y1439" t="s">
        <v>70</v>
      </c>
      <c r="Z1439" t="s">
        <v>2439</v>
      </c>
      <c r="AA1439" t="s">
        <v>2439</v>
      </c>
    </row>
    <row r="1440" spans="1:27" x14ac:dyDescent="0.35">
      <c r="A1440" t="str">
        <f t="shared" si="45"/>
        <v>1603D7</v>
      </c>
      <c r="B1440" t="str">
        <f t="shared" si="44"/>
        <v>1603</v>
      </c>
      <c r="C1440" t="s">
        <v>2440</v>
      </c>
      <c r="D1440" t="s">
        <v>6</v>
      </c>
      <c r="E1440" t="s">
        <v>94</v>
      </c>
      <c r="F1440" t="s">
        <v>111</v>
      </c>
      <c r="G1440" t="s">
        <v>757</v>
      </c>
      <c r="H1440" t="s">
        <v>42</v>
      </c>
      <c r="I1440" t="s">
        <v>43</v>
      </c>
      <c r="J1440" t="s">
        <v>2426</v>
      </c>
      <c r="M1440" t="s">
        <v>106</v>
      </c>
      <c r="P1440" t="s">
        <v>46</v>
      </c>
      <c r="Q1440" t="s">
        <v>47</v>
      </c>
      <c r="R1440" t="s">
        <v>48</v>
      </c>
      <c r="V1440" t="s">
        <v>49</v>
      </c>
      <c r="X1440" t="s">
        <v>49</v>
      </c>
      <c r="Y1440" t="s">
        <v>59</v>
      </c>
      <c r="Z1440" t="s">
        <v>2441</v>
      </c>
      <c r="AA1440" t="s">
        <v>2441</v>
      </c>
    </row>
    <row r="1441" spans="1:27" x14ac:dyDescent="0.35">
      <c r="A1441" t="str">
        <f t="shared" si="45"/>
        <v>706_D2</v>
      </c>
      <c r="B1441" t="str">
        <f t="shared" si="44"/>
        <v>706_</v>
      </c>
      <c r="C1441" t="s">
        <v>2442</v>
      </c>
      <c r="D1441" t="s">
        <v>2</v>
      </c>
      <c r="E1441" t="s">
        <v>62</v>
      </c>
      <c r="F1441" t="s">
        <v>63</v>
      </c>
      <c r="G1441" t="s">
        <v>757</v>
      </c>
      <c r="H1441" t="s">
        <v>42</v>
      </c>
      <c r="I1441" t="s">
        <v>67</v>
      </c>
      <c r="J1441" t="s">
        <v>2428</v>
      </c>
      <c r="K1441" t="s">
        <v>56</v>
      </c>
      <c r="M1441" t="s">
        <v>106</v>
      </c>
      <c r="P1441" t="s">
        <v>58</v>
      </c>
      <c r="Q1441" t="s">
        <v>47</v>
      </c>
      <c r="R1441" t="s">
        <v>48</v>
      </c>
      <c r="V1441" t="s">
        <v>49</v>
      </c>
      <c r="X1441" t="s">
        <v>49</v>
      </c>
      <c r="Y1441" t="s">
        <v>59</v>
      </c>
      <c r="Z1441" t="s">
        <v>2141</v>
      </c>
      <c r="AA1441" t="s">
        <v>2141</v>
      </c>
    </row>
    <row r="1442" spans="1:27" x14ac:dyDescent="0.35">
      <c r="A1442" t="str">
        <f t="shared" si="45"/>
        <v>706_D7</v>
      </c>
      <c r="B1442" t="str">
        <f t="shared" si="44"/>
        <v>706_</v>
      </c>
      <c r="C1442" t="s">
        <v>2443</v>
      </c>
      <c r="D1442" t="s">
        <v>6</v>
      </c>
      <c r="E1442" t="s">
        <v>94</v>
      </c>
      <c r="F1442" t="s">
        <v>111</v>
      </c>
      <c r="G1442" t="s">
        <v>757</v>
      </c>
      <c r="H1442" t="s">
        <v>42</v>
      </c>
      <c r="I1442" t="s">
        <v>67</v>
      </c>
      <c r="J1442" t="s">
        <v>2428</v>
      </c>
      <c r="M1442" t="s">
        <v>106</v>
      </c>
      <c r="P1442" t="s">
        <v>46</v>
      </c>
      <c r="Q1442" t="s">
        <v>47</v>
      </c>
      <c r="R1442" t="s">
        <v>48</v>
      </c>
      <c r="V1442" t="s">
        <v>49</v>
      </c>
      <c r="X1442" t="s">
        <v>49</v>
      </c>
      <c r="Y1442" t="s">
        <v>59</v>
      </c>
      <c r="Z1442" t="s">
        <v>2444</v>
      </c>
      <c r="AA1442" t="s">
        <v>2444</v>
      </c>
    </row>
    <row r="1443" spans="1:27" x14ac:dyDescent="0.35">
      <c r="A1443" t="str">
        <f t="shared" si="45"/>
        <v>706_D4</v>
      </c>
      <c r="B1443" t="str">
        <f t="shared" si="44"/>
        <v>706_</v>
      </c>
      <c r="C1443" t="s">
        <v>2445</v>
      </c>
      <c r="D1443" t="s">
        <v>3</v>
      </c>
      <c r="E1443" t="s">
        <v>52</v>
      </c>
      <c r="F1443" t="s">
        <v>53</v>
      </c>
      <c r="G1443" t="s">
        <v>757</v>
      </c>
      <c r="H1443" t="s">
        <v>42</v>
      </c>
      <c r="I1443" t="s">
        <v>67</v>
      </c>
      <c r="J1443" t="s">
        <v>2428</v>
      </c>
      <c r="K1443" t="s">
        <v>56</v>
      </c>
      <c r="M1443" t="s">
        <v>106</v>
      </c>
      <c r="P1443" t="s">
        <v>58</v>
      </c>
      <c r="Q1443" t="s">
        <v>47</v>
      </c>
      <c r="R1443" t="s">
        <v>48</v>
      </c>
      <c r="V1443" t="s">
        <v>49</v>
      </c>
      <c r="X1443" t="s">
        <v>49</v>
      </c>
      <c r="Y1443" t="s">
        <v>59</v>
      </c>
      <c r="Z1443" t="s">
        <v>2401</v>
      </c>
      <c r="AA1443" t="s">
        <v>2401</v>
      </c>
    </row>
    <row r="1444" spans="1:27" x14ac:dyDescent="0.35">
      <c r="A1444" t="str">
        <f t="shared" si="45"/>
        <v>705_F3</v>
      </c>
      <c r="B1444" t="str">
        <f t="shared" si="44"/>
        <v>705_</v>
      </c>
      <c r="C1444" t="s">
        <v>2446</v>
      </c>
      <c r="D1444" t="s">
        <v>5</v>
      </c>
      <c r="E1444" t="s">
        <v>40</v>
      </c>
      <c r="F1444" t="s">
        <v>73</v>
      </c>
      <c r="G1444" t="s">
        <v>757</v>
      </c>
      <c r="H1444" t="s">
        <v>42</v>
      </c>
      <c r="I1444" t="s">
        <v>67</v>
      </c>
      <c r="J1444" t="s">
        <v>2447</v>
      </c>
      <c r="M1444" t="s">
        <v>106</v>
      </c>
      <c r="P1444" t="s">
        <v>46</v>
      </c>
      <c r="Q1444" t="s">
        <v>47</v>
      </c>
      <c r="R1444" t="s">
        <v>48</v>
      </c>
      <c r="V1444" t="s">
        <v>49</v>
      </c>
      <c r="X1444" t="s">
        <v>49</v>
      </c>
      <c r="Y1444" t="s">
        <v>74</v>
      </c>
      <c r="Z1444" t="s">
        <v>2429</v>
      </c>
      <c r="AA1444" t="s">
        <v>2429</v>
      </c>
    </row>
    <row r="1445" spans="1:27" x14ac:dyDescent="0.35">
      <c r="A1445" t="str">
        <f t="shared" si="45"/>
        <v>705_F2</v>
      </c>
      <c r="B1445" t="str">
        <f t="shared" si="44"/>
        <v>705_</v>
      </c>
      <c r="C1445" t="s">
        <v>2448</v>
      </c>
      <c r="D1445" t="s">
        <v>4</v>
      </c>
      <c r="E1445" t="s">
        <v>77</v>
      </c>
      <c r="F1445" t="s">
        <v>78</v>
      </c>
      <c r="G1445" t="s">
        <v>757</v>
      </c>
      <c r="H1445" t="s">
        <v>42</v>
      </c>
      <c r="I1445" t="s">
        <v>67</v>
      </c>
      <c r="J1445" t="s">
        <v>2447</v>
      </c>
      <c r="M1445" t="s">
        <v>106</v>
      </c>
      <c r="P1445" t="s">
        <v>91</v>
      </c>
      <c r="Q1445" t="s">
        <v>47</v>
      </c>
      <c r="R1445" t="s">
        <v>48</v>
      </c>
      <c r="V1445" t="s">
        <v>49</v>
      </c>
      <c r="X1445" t="s">
        <v>49</v>
      </c>
      <c r="Y1445" t="s">
        <v>74</v>
      </c>
      <c r="Z1445" t="s">
        <v>2429</v>
      </c>
      <c r="AA1445" t="s">
        <v>2429</v>
      </c>
    </row>
    <row r="1446" spans="1:27" x14ac:dyDescent="0.35">
      <c r="A1446" t="str">
        <f t="shared" si="45"/>
        <v>705_C2</v>
      </c>
      <c r="B1446" t="str">
        <f t="shared" si="44"/>
        <v>705_</v>
      </c>
      <c r="C1446" t="s">
        <v>2449</v>
      </c>
      <c r="D1446" t="s">
        <v>1</v>
      </c>
      <c r="E1446" t="s">
        <v>65</v>
      </c>
      <c r="F1446" t="s">
        <v>66</v>
      </c>
      <c r="G1446" t="s">
        <v>757</v>
      </c>
      <c r="H1446" t="s">
        <v>42</v>
      </c>
      <c r="I1446" t="s">
        <v>67</v>
      </c>
      <c r="J1446" t="s">
        <v>2447</v>
      </c>
      <c r="M1446" t="s">
        <v>106</v>
      </c>
      <c r="P1446" t="s">
        <v>69</v>
      </c>
      <c r="Q1446" t="s">
        <v>47</v>
      </c>
      <c r="R1446" t="s">
        <v>48</v>
      </c>
      <c r="V1446" t="s">
        <v>49</v>
      </c>
      <c r="X1446" t="s">
        <v>49</v>
      </c>
      <c r="Y1446" t="s">
        <v>70</v>
      </c>
      <c r="Z1446" t="s">
        <v>2439</v>
      </c>
      <c r="AA1446" t="s">
        <v>2439</v>
      </c>
    </row>
    <row r="1447" spans="1:27" x14ac:dyDescent="0.35">
      <c r="A1447" t="str">
        <f t="shared" si="45"/>
        <v>705_D2</v>
      </c>
      <c r="B1447" t="str">
        <f t="shared" si="44"/>
        <v>705_</v>
      </c>
      <c r="C1447" t="s">
        <v>2450</v>
      </c>
      <c r="D1447" t="s">
        <v>2</v>
      </c>
      <c r="E1447" t="s">
        <v>62</v>
      </c>
      <c r="F1447" t="s">
        <v>63</v>
      </c>
      <c r="G1447" t="s">
        <v>757</v>
      </c>
      <c r="H1447" t="s">
        <v>42</v>
      </c>
      <c r="I1447" t="s">
        <v>67</v>
      </c>
      <c r="J1447" t="s">
        <v>2447</v>
      </c>
      <c r="K1447" t="s">
        <v>56</v>
      </c>
      <c r="M1447" t="s">
        <v>106</v>
      </c>
      <c r="P1447" t="s">
        <v>58</v>
      </c>
      <c r="Q1447" t="s">
        <v>47</v>
      </c>
      <c r="R1447" t="s">
        <v>48</v>
      </c>
      <c r="V1447" t="s">
        <v>49</v>
      </c>
      <c r="X1447" t="s">
        <v>49</v>
      </c>
      <c r="Y1447" t="s">
        <v>59</v>
      </c>
      <c r="Z1447" t="s">
        <v>2451</v>
      </c>
      <c r="AA1447" t="s">
        <v>2451</v>
      </c>
    </row>
    <row r="1448" spans="1:27" x14ac:dyDescent="0.35">
      <c r="A1448" t="str">
        <f t="shared" si="45"/>
        <v>705_D7</v>
      </c>
      <c r="B1448" t="str">
        <f t="shared" si="44"/>
        <v>705_</v>
      </c>
      <c r="C1448" t="s">
        <v>2452</v>
      </c>
      <c r="D1448" t="s">
        <v>6</v>
      </c>
      <c r="E1448" t="s">
        <v>94</v>
      </c>
      <c r="F1448" t="s">
        <v>111</v>
      </c>
      <c r="G1448" t="s">
        <v>757</v>
      </c>
      <c r="H1448" t="s">
        <v>42</v>
      </c>
      <c r="I1448" t="s">
        <v>67</v>
      </c>
      <c r="J1448" t="s">
        <v>2447</v>
      </c>
      <c r="M1448" t="s">
        <v>106</v>
      </c>
      <c r="P1448" t="s">
        <v>46</v>
      </c>
      <c r="Q1448" t="s">
        <v>47</v>
      </c>
      <c r="R1448" t="s">
        <v>48</v>
      </c>
      <c r="V1448" t="s">
        <v>49</v>
      </c>
      <c r="X1448" t="s">
        <v>49</v>
      </c>
      <c r="Y1448" t="s">
        <v>59</v>
      </c>
      <c r="Z1448" t="s">
        <v>2444</v>
      </c>
      <c r="AA1448" t="s">
        <v>2444</v>
      </c>
    </row>
    <row r="1449" spans="1:27" x14ac:dyDescent="0.35">
      <c r="A1449" t="str">
        <f t="shared" si="45"/>
        <v>1602F2</v>
      </c>
      <c r="B1449" t="str">
        <f t="shared" si="44"/>
        <v>1602</v>
      </c>
      <c r="C1449" t="s">
        <v>2453</v>
      </c>
      <c r="D1449" t="s">
        <v>4</v>
      </c>
      <c r="E1449" t="s">
        <v>77</v>
      </c>
      <c r="F1449" t="s">
        <v>78</v>
      </c>
      <c r="G1449" t="s">
        <v>757</v>
      </c>
      <c r="H1449" t="s">
        <v>42</v>
      </c>
      <c r="I1449" t="s">
        <v>67</v>
      </c>
      <c r="J1449" t="s">
        <v>2454</v>
      </c>
      <c r="M1449" t="s">
        <v>106</v>
      </c>
      <c r="P1449" t="s">
        <v>91</v>
      </c>
      <c r="Q1449" t="s">
        <v>47</v>
      </c>
      <c r="R1449" t="s">
        <v>48</v>
      </c>
      <c r="V1449" t="s">
        <v>49</v>
      </c>
      <c r="X1449" t="s">
        <v>49</v>
      </c>
      <c r="Y1449" t="s">
        <v>74</v>
      </c>
      <c r="Z1449" t="s">
        <v>2404</v>
      </c>
      <c r="AA1449" t="s">
        <v>2404</v>
      </c>
    </row>
    <row r="1450" spans="1:27" x14ac:dyDescent="0.35">
      <c r="A1450" t="str">
        <f t="shared" si="45"/>
        <v>705_D4</v>
      </c>
      <c r="B1450" t="str">
        <f t="shared" si="44"/>
        <v>705_</v>
      </c>
      <c r="C1450" t="s">
        <v>2455</v>
      </c>
      <c r="D1450" t="s">
        <v>3</v>
      </c>
      <c r="E1450" t="s">
        <v>52</v>
      </c>
      <c r="F1450" t="s">
        <v>53</v>
      </c>
      <c r="G1450" t="s">
        <v>757</v>
      </c>
      <c r="H1450" t="s">
        <v>42</v>
      </c>
      <c r="I1450" t="s">
        <v>67</v>
      </c>
      <c r="J1450" t="s">
        <v>2447</v>
      </c>
      <c r="K1450" t="s">
        <v>56</v>
      </c>
      <c r="M1450" t="s">
        <v>106</v>
      </c>
      <c r="P1450" t="s">
        <v>58</v>
      </c>
      <c r="Q1450" t="s">
        <v>47</v>
      </c>
      <c r="R1450" t="s">
        <v>48</v>
      </c>
      <c r="V1450" t="s">
        <v>49</v>
      </c>
      <c r="X1450" t="s">
        <v>49</v>
      </c>
      <c r="Y1450" t="s">
        <v>59</v>
      </c>
      <c r="Z1450" t="s">
        <v>3591</v>
      </c>
      <c r="AA1450" t="s">
        <v>3591</v>
      </c>
    </row>
    <row r="1451" spans="1:27" x14ac:dyDescent="0.35">
      <c r="A1451" t="str">
        <f t="shared" si="45"/>
        <v>1602D4</v>
      </c>
      <c r="B1451" t="str">
        <f t="shared" si="44"/>
        <v>1602</v>
      </c>
      <c r="C1451" t="s">
        <v>2456</v>
      </c>
      <c r="D1451" t="s">
        <v>3</v>
      </c>
      <c r="E1451" t="s">
        <v>52</v>
      </c>
      <c r="F1451" t="s">
        <v>53</v>
      </c>
      <c r="G1451" t="s">
        <v>757</v>
      </c>
      <c r="H1451" t="s">
        <v>42</v>
      </c>
      <c r="I1451" t="s">
        <v>43</v>
      </c>
      <c r="J1451" t="s">
        <v>2454</v>
      </c>
      <c r="K1451" t="s">
        <v>56</v>
      </c>
      <c r="M1451" t="s">
        <v>106</v>
      </c>
      <c r="P1451" t="s">
        <v>58</v>
      </c>
      <c r="Q1451" t="s">
        <v>47</v>
      </c>
      <c r="R1451" t="s">
        <v>48</v>
      </c>
      <c r="V1451" t="s">
        <v>49</v>
      </c>
      <c r="X1451" t="s">
        <v>49</v>
      </c>
      <c r="Y1451" t="s">
        <v>59</v>
      </c>
      <c r="Z1451" t="s">
        <v>2043</v>
      </c>
      <c r="AA1451" t="s">
        <v>2043</v>
      </c>
    </row>
    <row r="1452" spans="1:27" x14ac:dyDescent="0.35">
      <c r="A1452" t="str">
        <f t="shared" si="45"/>
        <v>704_F3</v>
      </c>
      <c r="B1452" t="str">
        <f t="shared" si="44"/>
        <v>704_</v>
      </c>
      <c r="C1452" t="s">
        <v>2457</v>
      </c>
      <c r="D1452" t="s">
        <v>5</v>
      </c>
      <c r="E1452" t="s">
        <v>40</v>
      </c>
      <c r="F1452" t="s">
        <v>73</v>
      </c>
      <c r="G1452" t="s">
        <v>757</v>
      </c>
      <c r="H1452" t="s">
        <v>42</v>
      </c>
      <c r="I1452" t="s">
        <v>67</v>
      </c>
      <c r="J1452" t="s">
        <v>2458</v>
      </c>
      <c r="M1452" t="s">
        <v>106</v>
      </c>
      <c r="P1452" t="s">
        <v>46</v>
      </c>
      <c r="Q1452" t="s">
        <v>47</v>
      </c>
      <c r="R1452" t="s">
        <v>48</v>
      </c>
      <c r="V1452" t="s">
        <v>49</v>
      </c>
      <c r="X1452" t="s">
        <v>49</v>
      </c>
      <c r="Y1452" t="s">
        <v>74</v>
      </c>
      <c r="Z1452" t="s">
        <v>2429</v>
      </c>
      <c r="AA1452" t="s">
        <v>2429</v>
      </c>
    </row>
    <row r="1453" spans="1:27" x14ac:dyDescent="0.35">
      <c r="A1453" t="str">
        <f t="shared" si="45"/>
        <v>1602D2</v>
      </c>
      <c r="B1453" t="str">
        <f t="shared" si="44"/>
        <v>1602</v>
      </c>
      <c r="C1453" t="s">
        <v>2459</v>
      </c>
      <c r="D1453" t="s">
        <v>2</v>
      </c>
      <c r="E1453" t="s">
        <v>62</v>
      </c>
      <c r="F1453" t="s">
        <v>63</v>
      </c>
      <c r="G1453" t="s">
        <v>757</v>
      </c>
      <c r="H1453" t="s">
        <v>42</v>
      </c>
      <c r="I1453" t="s">
        <v>43</v>
      </c>
      <c r="J1453" t="s">
        <v>2454</v>
      </c>
      <c r="K1453" t="s">
        <v>56</v>
      </c>
      <c r="M1453" t="s">
        <v>106</v>
      </c>
      <c r="P1453" t="s">
        <v>58</v>
      </c>
      <c r="Q1453" t="s">
        <v>47</v>
      </c>
      <c r="R1453" t="s">
        <v>48</v>
      </c>
      <c r="V1453" t="s">
        <v>49</v>
      </c>
      <c r="X1453" t="s">
        <v>49</v>
      </c>
      <c r="Y1453" t="s">
        <v>59</v>
      </c>
      <c r="Z1453" t="s">
        <v>2188</v>
      </c>
      <c r="AA1453" t="s">
        <v>2188</v>
      </c>
    </row>
    <row r="1454" spans="1:27" x14ac:dyDescent="0.35">
      <c r="A1454" t="str">
        <f t="shared" si="45"/>
        <v>1602F3</v>
      </c>
      <c r="B1454" t="str">
        <f t="shared" si="44"/>
        <v>1602</v>
      </c>
      <c r="C1454" t="s">
        <v>2460</v>
      </c>
      <c r="D1454" t="s">
        <v>5</v>
      </c>
      <c r="E1454" t="s">
        <v>40</v>
      </c>
      <c r="F1454" t="s">
        <v>73</v>
      </c>
      <c r="G1454" t="s">
        <v>757</v>
      </c>
      <c r="H1454" t="s">
        <v>42</v>
      </c>
      <c r="I1454" t="s">
        <v>67</v>
      </c>
      <c r="J1454" t="s">
        <v>2454</v>
      </c>
      <c r="M1454" t="s">
        <v>106</v>
      </c>
      <c r="P1454" t="s">
        <v>58</v>
      </c>
      <c r="Q1454" t="s">
        <v>47</v>
      </c>
      <c r="R1454" t="s">
        <v>48</v>
      </c>
      <c r="V1454" t="s">
        <v>49</v>
      </c>
      <c r="X1454" t="s">
        <v>49</v>
      </c>
      <c r="Y1454" t="s">
        <v>74</v>
      </c>
      <c r="Z1454" t="s">
        <v>537</v>
      </c>
      <c r="AA1454" t="s">
        <v>537</v>
      </c>
    </row>
    <row r="1455" spans="1:27" x14ac:dyDescent="0.35">
      <c r="A1455" t="str">
        <f t="shared" si="45"/>
        <v>1602C2</v>
      </c>
      <c r="B1455" t="str">
        <f t="shared" si="44"/>
        <v>1602</v>
      </c>
      <c r="C1455" t="s">
        <v>2461</v>
      </c>
      <c r="D1455" t="s">
        <v>1</v>
      </c>
      <c r="E1455" t="s">
        <v>65</v>
      </c>
      <c r="F1455" t="s">
        <v>66</v>
      </c>
      <c r="G1455" t="s">
        <v>757</v>
      </c>
      <c r="H1455" t="s">
        <v>42</v>
      </c>
      <c r="I1455" t="s">
        <v>67</v>
      </c>
      <c r="J1455" t="s">
        <v>2454</v>
      </c>
      <c r="M1455" t="s">
        <v>106</v>
      </c>
      <c r="P1455" t="s">
        <v>69</v>
      </c>
      <c r="Q1455" t="s">
        <v>47</v>
      </c>
      <c r="R1455" t="s">
        <v>48</v>
      </c>
      <c r="V1455" t="s">
        <v>49</v>
      </c>
      <c r="X1455" t="s">
        <v>49</v>
      </c>
      <c r="Y1455" t="s">
        <v>70</v>
      </c>
      <c r="Z1455" t="s">
        <v>2437</v>
      </c>
      <c r="AA1455" t="s">
        <v>2437</v>
      </c>
    </row>
    <row r="1456" spans="1:27" x14ac:dyDescent="0.35">
      <c r="A1456" t="str">
        <f t="shared" si="45"/>
        <v>1602D7</v>
      </c>
      <c r="B1456" t="str">
        <f t="shared" si="44"/>
        <v>1602</v>
      </c>
      <c r="C1456" t="s">
        <v>2462</v>
      </c>
      <c r="D1456" t="s">
        <v>6</v>
      </c>
      <c r="E1456" t="s">
        <v>94</v>
      </c>
      <c r="F1456" t="s">
        <v>111</v>
      </c>
      <c r="G1456" t="s">
        <v>757</v>
      </c>
      <c r="H1456" t="s">
        <v>42</v>
      </c>
      <c r="I1456" t="s">
        <v>43</v>
      </c>
      <c r="J1456" t="s">
        <v>2454</v>
      </c>
      <c r="M1456" t="s">
        <v>106</v>
      </c>
      <c r="P1456" t="s">
        <v>46</v>
      </c>
      <c r="Q1456" t="s">
        <v>47</v>
      </c>
      <c r="R1456" t="s">
        <v>48</v>
      </c>
      <c r="V1456" t="s">
        <v>49</v>
      </c>
      <c r="X1456" t="s">
        <v>49</v>
      </c>
      <c r="Y1456" t="s">
        <v>59</v>
      </c>
      <c r="Z1456" t="s">
        <v>2441</v>
      </c>
      <c r="AA1456" t="s">
        <v>2441</v>
      </c>
    </row>
    <row r="1457" spans="1:27" x14ac:dyDescent="0.35">
      <c r="A1457" t="str">
        <f t="shared" si="45"/>
        <v>704_F2</v>
      </c>
      <c r="B1457" t="str">
        <f t="shared" si="44"/>
        <v>704_</v>
      </c>
      <c r="C1457" t="s">
        <v>2463</v>
      </c>
      <c r="D1457" t="s">
        <v>4</v>
      </c>
      <c r="E1457" t="s">
        <v>77</v>
      </c>
      <c r="F1457" t="s">
        <v>78</v>
      </c>
      <c r="G1457" t="s">
        <v>757</v>
      </c>
      <c r="H1457" t="s">
        <v>42</v>
      </c>
      <c r="I1457" t="s">
        <v>67</v>
      </c>
      <c r="J1457" t="s">
        <v>2458</v>
      </c>
      <c r="M1457" t="s">
        <v>106</v>
      </c>
      <c r="P1457" t="s">
        <v>710</v>
      </c>
      <c r="Q1457" t="s">
        <v>47</v>
      </c>
      <c r="R1457" t="s">
        <v>48</v>
      </c>
      <c r="V1457" t="s">
        <v>49</v>
      </c>
      <c r="X1457" t="s">
        <v>49</v>
      </c>
      <c r="Y1457" t="s">
        <v>74</v>
      </c>
      <c r="Z1457" t="s">
        <v>2464</v>
      </c>
      <c r="AA1457" t="s">
        <v>2464</v>
      </c>
    </row>
    <row r="1458" spans="1:27" x14ac:dyDescent="0.35">
      <c r="A1458" t="str">
        <f t="shared" si="45"/>
        <v>704_C2</v>
      </c>
      <c r="B1458" t="str">
        <f t="shared" si="44"/>
        <v>704_</v>
      </c>
      <c r="C1458" t="s">
        <v>2465</v>
      </c>
      <c r="D1458" t="s">
        <v>1</v>
      </c>
      <c r="E1458" t="s">
        <v>65</v>
      </c>
      <c r="F1458" t="s">
        <v>66</v>
      </c>
      <c r="G1458" t="s">
        <v>757</v>
      </c>
      <c r="H1458" t="s">
        <v>42</v>
      </c>
      <c r="I1458" t="s">
        <v>67</v>
      </c>
      <c r="J1458" t="s">
        <v>2458</v>
      </c>
      <c r="M1458" t="s">
        <v>106</v>
      </c>
      <c r="P1458" t="s">
        <v>69</v>
      </c>
      <c r="Q1458" t="s">
        <v>47</v>
      </c>
      <c r="R1458" t="s">
        <v>48</v>
      </c>
      <c r="V1458" t="s">
        <v>49</v>
      </c>
      <c r="X1458" t="s">
        <v>49</v>
      </c>
      <c r="Y1458" t="s">
        <v>70</v>
      </c>
      <c r="Z1458" t="s">
        <v>2439</v>
      </c>
      <c r="AA1458" t="s">
        <v>2439</v>
      </c>
    </row>
    <row r="1459" spans="1:27" x14ac:dyDescent="0.35">
      <c r="A1459" t="str">
        <f t="shared" si="45"/>
        <v>704_D2</v>
      </c>
      <c r="B1459" t="str">
        <f t="shared" si="44"/>
        <v>704_</v>
      </c>
      <c r="C1459" t="s">
        <v>2466</v>
      </c>
      <c r="D1459" t="s">
        <v>2</v>
      </c>
      <c r="E1459" t="s">
        <v>62</v>
      </c>
      <c r="F1459" t="s">
        <v>63</v>
      </c>
      <c r="G1459" t="s">
        <v>757</v>
      </c>
      <c r="H1459" t="s">
        <v>42</v>
      </c>
      <c r="I1459" t="s">
        <v>67</v>
      </c>
      <c r="J1459" t="s">
        <v>2458</v>
      </c>
      <c r="K1459" t="s">
        <v>56</v>
      </c>
      <c r="M1459" t="s">
        <v>106</v>
      </c>
      <c r="P1459" t="s">
        <v>58</v>
      </c>
      <c r="Q1459" t="s">
        <v>47</v>
      </c>
      <c r="R1459" t="s">
        <v>48</v>
      </c>
      <c r="V1459" t="s">
        <v>49</v>
      </c>
      <c r="X1459" t="s">
        <v>49</v>
      </c>
      <c r="Y1459" t="s">
        <v>59</v>
      </c>
      <c r="Z1459" t="s">
        <v>2467</v>
      </c>
      <c r="AA1459" t="s">
        <v>2467</v>
      </c>
    </row>
    <row r="1460" spans="1:27" x14ac:dyDescent="0.35">
      <c r="A1460" t="str">
        <f t="shared" si="45"/>
        <v>704_D7</v>
      </c>
      <c r="B1460" t="str">
        <f t="shared" si="44"/>
        <v>704_</v>
      </c>
      <c r="C1460" t="s">
        <v>2468</v>
      </c>
      <c r="D1460" t="s">
        <v>6</v>
      </c>
      <c r="E1460" t="s">
        <v>94</v>
      </c>
      <c r="F1460" t="s">
        <v>111</v>
      </c>
      <c r="G1460" t="s">
        <v>757</v>
      </c>
      <c r="H1460" t="s">
        <v>42</v>
      </c>
      <c r="I1460" t="s">
        <v>67</v>
      </c>
      <c r="J1460" t="s">
        <v>2458</v>
      </c>
      <c r="M1460" t="s">
        <v>106</v>
      </c>
      <c r="P1460" t="s">
        <v>46</v>
      </c>
      <c r="Q1460" t="s">
        <v>47</v>
      </c>
      <c r="R1460" t="s">
        <v>48</v>
      </c>
      <c r="V1460" t="s">
        <v>49</v>
      </c>
      <c r="X1460" t="s">
        <v>49</v>
      </c>
      <c r="Y1460" t="s">
        <v>59</v>
      </c>
      <c r="Z1460" t="s">
        <v>2444</v>
      </c>
      <c r="AA1460" t="s">
        <v>2444</v>
      </c>
    </row>
    <row r="1461" spans="1:27" x14ac:dyDescent="0.35">
      <c r="A1461" t="str">
        <f t="shared" si="45"/>
        <v>704_D4</v>
      </c>
      <c r="B1461" t="str">
        <f t="shared" si="44"/>
        <v>704_</v>
      </c>
      <c r="C1461" t="s">
        <v>2469</v>
      </c>
      <c r="D1461" t="s">
        <v>3</v>
      </c>
      <c r="E1461" t="s">
        <v>52</v>
      </c>
      <c r="F1461" t="s">
        <v>53</v>
      </c>
      <c r="G1461" t="s">
        <v>757</v>
      </c>
      <c r="H1461" t="s">
        <v>42</v>
      </c>
      <c r="I1461" t="s">
        <v>67</v>
      </c>
      <c r="J1461" t="s">
        <v>2458</v>
      </c>
      <c r="K1461" t="s">
        <v>56</v>
      </c>
      <c r="M1461" t="s">
        <v>106</v>
      </c>
      <c r="P1461" t="s">
        <v>58</v>
      </c>
      <c r="Q1461" t="s">
        <v>47</v>
      </c>
      <c r="R1461" t="s">
        <v>48</v>
      </c>
      <c r="V1461" t="s">
        <v>49</v>
      </c>
      <c r="X1461" t="s">
        <v>49</v>
      </c>
      <c r="Y1461" t="s">
        <v>59</v>
      </c>
      <c r="Z1461" t="s">
        <v>2470</v>
      </c>
      <c r="AA1461" t="s">
        <v>2470</v>
      </c>
    </row>
    <row r="1462" spans="1:27" x14ac:dyDescent="0.35">
      <c r="A1462" t="str">
        <f t="shared" si="45"/>
        <v>703_F3</v>
      </c>
      <c r="B1462" t="str">
        <f t="shared" si="44"/>
        <v>703_</v>
      </c>
      <c r="C1462" t="s">
        <v>2471</v>
      </c>
      <c r="D1462" t="s">
        <v>5</v>
      </c>
      <c r="E1462" t="s">
        <v>40</v>
      </c>
      <c r="F1462" t="s">
        <v>73</v>
      </c>
      <c r="G1462" t="s">
        <v>757</v>
      </c>
      <c r="H1462" t="s">
        <v>42</v>
      </c>
      <c r="I1462" t="s">
        <v>67</v>
      </c>
      <c r="J1462" t="s">
        <v>2472</v>
      </c>
      <c r="M1462" t="s">
        <v>106</v>
      </c>
      <c r="P1462" t="s">
        <v>46</v>
      </c>
      <c r="Q1462" t="s">
        <v>47</v>
      </c>
      <c r="R1462" t="s">
        <v>48</v>
      </c>
      <c r="V1462" t="s">
        <v>49</v>
      </c>
      <c r="X1462" t="s">
        <v>49</v>
      </c>
      <c r="Y1462" t="s">
        <v>74</v>
      </c>
      <c r="Z1462" t="s">
        <v>2473</v>
      </c>
      <c r="AA1462" t="s">
        <v>2473</v>
      </c>
    </row>
    <row r="1463" spans="1:27" x14ac:dyDescent="0.35">
      <c r="A1463" t="str">
        <f t="shared" si="45"/>
        <v>1601F2</v>
      </c>
      <c r="B1463" t="str">
        <f t="shared" si="44"/>
        <v>1601</v>
      </c>
      <c r="C1463" t="s">
        <v>2474</v>
      </c>
      <c r="D1463" t="s">
        <v>4</v>
      </c>
      <c r="E1463" t="s">
        <v>77</v>
      </c>
      <c r="F1463" t="s">
        <v>78</v>
      </c>
      <c r="G1463" t="s">
        <v>757</v>
      </c>
      <c r="H1463" t="s">
        <v>42</v>
      </c>
      <c r="I1463" t="s">
        <v>67</v>
      </c>
      <c r="J1463" t="s">
        <v>2475</v>
      </c>
      <c r="M1463" t="s">
        <v>106</v>
      </c>
      <c r="P1463" t="s">
        <v>138</v>
      </c>
      <c r="Q1463" t="s">
        <v>47</v>
      </c>
      <c r="R1463" t="s">
        <v>48</v>
      </c>
      <c r="V1463" t="s">
        <v>49</v>
      </c>
      <c r="X1463" t="s">
        <v>49</v>
      </c>
      <c r="Y1463" t="s">
        <v>74</v>
      </c>
      <c r="Z1463" t="s">
        <v>2476</v>
      </c>
      <c r="AA1463" t="s">
        <v>2476</v>
      </c>
    </row>
    <row r="1464" spans="1:27" x14ac:dyDescent="0.35">
      <c r="A1464" t="str">
        <f t="shared" si="45"/>
        <v>703_F2</v>
      </c>
      <c r="B1464" t="str">
        <f t="shared" si="44"/>
        <v>703_</v>
      </c>
      <c r="C1464" t="s">
        <v>2477</v>
      </c>
      <c r="D1464" t="s">
        <v>4</v>
      </c>
      <c r="E1464" t="s">
        <v>77</v>
      </c>
      <c r="F1464" t="s">
        <v>78</v>
      </c>
      <c r="G1464" t="s">
        <v>757</v>
      </c>
      <c r="H1464" t="s">
        <v>42</v>
      </c>
      <c r="I1464" t="s">
        <v>67</v>
      </c>
      <c r="J1464" t="s">
        <v>2472</v>
      </c>
      <c r="M1464" t="s">
        <v>106</v>
      </c>
      <c r="P1464" t="s">
        <v>138</v>
      </c>
      <c r="Q1464" t="s">
        <v>47</v>
      </c>
      <c r="R1464" t="s">
        <v>48</v>
      </c>
      <c r="V1464" t="s">
        <v>49</v>
      </c>
      <c r="X1464" t="s">
        <v>49</v>
      </c>
      <c r="Y1464" t="s">
        <v>74</v>
      </c>
      <c r="Z1464" t="s">
        <v>2464</v>
      </c>
      <c r="AA1464" t="s">
        <v>2464</v>
      </c>
    </row>
    <row r="1465" spans="1:27" x14ac:dyDescent="0.35">
      <c r="A1465" t="str">
        <f t="shared" si="45"/>
        <v>1601D4</v>
      </c>
      <c r="B1465" t="str">
        <f t="shared" si="44"/>
        <v>1601</v>
      </c>
      <c r="C1465" t="s">
        <v>2478</v>
      </c>
      <c r="D1465" t="s">
        <v>3</v>
      </c>
      <c r="E1465" t="s">
        <v>52</v>
      </c>
      <c r="F1465" t="s">
        <v>53</v>
      </c>
      <c r="G1465" t="s">
        <v>757</v>
      </c>
      <c r="H1465" t="s">
        <v>42</v>
      </c>
      <c r="I1465" t="s">
        <v>43</v>
      </c>
      <c r="J1465" t="s">
        <v>2475</v>
      </c>
      <c r="K1465" t="s">
        <v>56</v>
      </c>
      <c r="M1465" t="s">
        <v>106</v>
      </c>
      <c r="P1465" t="s">
        <v>58</v>
      </c>
      <c r="Q1465" t="s">
        <v>47</v>
      </c>
      <c r="R1465" t="s">
        <v>48</v>
      </c>
      <c r="V1465" t="s">
        <v>49</v>
      </c>
      <c r="X1465" t="s">
        <v>49</v>
      </c>
      <c r="Y1465" t="s">
        <v>59</v>
      </c>
      <c r="Z1465" t="s">
        <v>2043</v>
      </c>
      <c r="AA1465" t="s">
        <v>2043</v>
      </c>
    </row>
    <row r="1466" spans="1:27" x14ac:dyDescent="0.35">
      <c r="A1466" t="str">
        <f t="shared" si="45"/>
        <v>703_C2</v>
      </c>
      <c r="B1466" t="str">
        <f t="shared" si="44"/>
        <v>703_</v>
      </c>
      <c r="C1466" t="s">
        <v>2479</v>
      </c>
      <c r="D1466" t="s">
        <v>1</v>
      </c>
      <c r="E1466" t="s">
        <v>65</v>
      </c>
      <c r="F1466" t="s">
        <v>66</v>
      </c>
      <c r="G1466" t="s">
        <v>757</v>
      </c>
      <c r="H1466" t="s">
        <v>42</v>
      </c>
      <c r="I1466" t="s">
        <v>67</v>
      </c>
      <c r="J1466" t="s">
        <v>2472</v>
      </c>
      <c r="M1466" t="s">
        <v>106</v>
      </c>
      <c r="P1466" t="s">
        <v>69</v>
      </c>
      <c r="Q1466" t="s">
        <v>47</v>
      </c>
      <c r="R1466" t="s">
        <v>48</v>
      </c>
      <c r="V1466" t="s">
        <v>49</v>
      </c>
      <c r="X1466" t="s">
        <v>49</v>
      </c>
      <c r="Y1466" t="s">
        <v>70</v>
      </c>
      <c r="Z1466" t="s">
        <v>2480</v>
      </c>
      <c r="AA1466" t="s">
        <v>2480</v>
      </c>
    </row>
    <row r="1467" spans="1:27" x14ac:dyDescent="0.35">
      <c r="A1467" t="str">
        <f t="shared" si="45"/>
        <v>1601D2</v>
      </c>
      <c r="B1467" t="str">
        <f t="shared" si="44"/>
        <v>1601</v>
      </c>
      <c r="C1467" t="s">
        <v>2481</v>
      </c>
      <c r="D1467" t="s">
        <v>2</v>
      </c>
      <c r="E1467" t="s">
        <v>62</v>
      </c>
      <c r="F1467" t="s">
        <v>63</v>
      </c>
      <c r="G1467" t="s">
        <v>757</v>
      </c>
      <c r="H1467" t="s">
        <v>42</v>
      </c>
      <c r="I1467" t="s">
        <v>43</v>
      </c>
      <c r="J1467" t="s">
        <v>2475</v>
      </c>
      <c r="K1467" t="s">
        <v>56</v>
      </c>
      <c r="M1467" t="s">
        <v>106</v>
      </c>
      <c r="P1467" t="s">
        <v>58</v>
      </c>
      <c r="Q1467" t="s">
        <v>47</v>
      </c>
      <c r="R1467" t="s">
        <v>48</v>
      </c>
      <c r="V1467" t="s">
        <v>49</v>
      </c>
      <c r="X1467" t="s">
        <v>49</v>
      </c>
      <c r="Y1467" t="s">
        <v>59</v>
      </c>
      <c r="Z1467" t="s">
        <v>2188</v>
      </c>
      <c r="AA1467" t="s">
        <v>2188</v>
      </c>
    </row>
    <row r="1468" spans="1:27" x14ac:dyDescent="0.35">
      <c r="A1468" t="str">
        <f t="shared" si="45"/>
        <v>703_D2</v>
      </c>
      <c r="B1468" t="str">
        <f t="shared" si="44"/>
        <v>703_</v>
      </c>
      <c r="C1468" t="s">
        <v>2482</v>
      </c>
      <c r="D1468" t="s">
        <v>2</v>
      </c>
      <c r="E1468" t="s">
        <v>62</v>
      </c>
      <c r="F1468" t="s">
        <v>63</v>
      </c>
      <c r="G1468" t="s">
        <v>757</v>
      </c>
      <c r="H1468" t="s">
        <v>42</v>
      </c>
      <c r="I1468" t="s">
        <v>67</v>
      </c>
      <c r="J1468" t="s">
        <v>2472</v>
      </c>
      <c r="K1468" t="s">
        <v>56</v>
      </c>
      <c r="M1468" t="s">
        <v>106</v>
      </c>
      <c r="P1468" t="s">
        <v>58</v>
      </c>
      <c r="Q1468" t="s">
        <v>47</v>
      </c>
      <c r="R1468" t="s">
        <v>48</v>
      </c>
      <c r="V1468" t="s">
        <v>49</v>
      </c>
      <c r="X1468" t="s">
        <v>49</v>
      </c>
      <c r="Y1468" t="s">
        <v>59</v>
      </c>
      <c r="Z1468" t="s">
        <v>2483</v>
      </c>
      <c r="AA1468" t="s">
        <v>2483</v>
      </c>
    </row>
    <row r="1469" spans="1:27" x14ac:dyDescent="0.35">
      <c r="A1469" t="str">
        <f t="shared" si="45"/>
        <v>1601F3</v>
      </c>
      <c r="B1469" t="str">
        <f t="shared" si="44"/>
        <v>1601</v>
      </c>
      <c r="C1469" t="s">
        <v>2484</v>
      </c>
      <c r="D1469" t="s">
        <v>5</v>
      </c>
      <c r="E1469" t="s">
        <v>40</v>
      </c>
      <c r="F1469" t="s">
        <v>73</v>
      </c>
      <c r="G1469" t="s">
        <v>757</v>
      </c>
      <c r="H1469" t="s">
        <v>42</v>
      </c>
      <c r="I1469" t="s">
        <v>67</v>
      </c>
      <c r="J1469" t="s">
        <v>2475</v>
      </c>
      <c r="M1469" t="s">
        <v>106</v>
      </c>
      <c r="P1469" t="s">
        <v>69</v>
      </c>
      <c r="Q1469" t="s">
        <v>47</v>
      </c>
      <c r="R1469" t="s">
        <v>48</v>
      </c>
      <c r="V1469" t="s">
        <v>49</v>
      </c>
      <c r="X1469" t="s">
        <v>49</v>
      </c>
      <c r="Y1469" t="s">
        <v>74</v>
      </c>
      <c r="Z1469" t="s">
        <v>565</v>
      </c>
      <c r="AA1469" t="s">
        <v>565</v>
      </c>
    </row>
    <row r="1470" spans="1:27" x14ac:dyDescent="0.35">
      <c r="A1470" t="str">
        <f t="shared" si="45"/>
        <v>703_D7</v>
      </c>
      <c r="B1470" t="str">
        <f t="shared" si="44"/>
        <v>703_</v>
      </c>
      <c r="C1470" t="s">
        <v>2485</v>
      </c>
      <c r="D1470" t="s">
        <v>6</v>
      </c>
      <c r="E1470" t="s">
        <v>94</v>
      </c>
      <c r="F1470" t="s">
        <v>111</v>
      </c>
      <c r="G1470" t="s">
        <v>757</v>
      </c>
      <c r="H1470" t="s">
        <v>42</v>
      </c>
      <c r="I1470" t="s">
        <v>67</v>
      </c>
      <c r="J1470" t="s">
        <v>2472</v>
      </c>
      <c r="M1470" t="s">
        <v>106</v>
      </c>
      <c r="P1470" t="s">
        <v>46</v>
      </c>
      <c r="Q1470" t="s">
        <v>47</v>
      </c>
      <c r="R1470" t="s">
        <v>48</v>
      </c>
      <c r="V1470" t="s">
        <v>49</v>
      </c>
      <c r="X1470" t="s">
        <v>49</v>
      </c>
      <c r="Y1470" t="s">
        <v>59</v>
      </c>
      <c r="Z1470" t="s">
        <v>2486</v>
      </c>
      <c r="AA1470" t="s">
        <v>2486</v>
      </c>
    </row>
    <row r="1471" spans="1:27" x14ac:dyDescent="0.35">
      <c r="A1471" t="str">
        <f t="shared" si="45"/>
        <v>703_D4</v>
      </c>
      <c r="B1471" t="str">
        <f t="shared" si="44"/>
        <v>703_</v>
      </c>
      <c r="C1471" t="s">
        <v>2487</v>
      </c>
      <c r="D1471" t="s">
        <v>3</v>
      </c>
      <c r="E1471" t="s">
        <v>52</v>
      </c>
      <c r="F1471" t="s">
        <v>53</v>
      </c>
      <c r="G1471" t="s">
        <v>757</v>
      </c>
      <c r="H1471" t="s">
        <v>42</v>
      </c>
      <c r="I1471" t="s">
        <v>67</v>
      </c>
      <c r="J1471" t="s">
        <v>2472</v>
      </c>
      <c r="K1471" t="s">
        <v>56</v>
      </c>
      <c r="M1471" t="s">
        <v>106</v>
      </c>
      <c r="P1471" t="s">
        <v>58</v>
      </c>
      <c r="Q1471" t="s">
        <v>47</v>
      </c>
      <c r="R1471" t="s">
        <v>48</v>
      </c>
      <c r="V1471" t="s">
        <v>49</v>
      </c>
      <c r="X1471" t="s">
        <v>49</v>
      </c>
      <c r="Y1471" t="s">
        <v>59</v>
      </c>
      <c r="Z1471" t="s">
        <v>2483</v>
      </c>
      <c r="AA1471" t="s">
        <v>2483</v>
      </c>
    </row>
    <row r="1472" spans="1:27" x14ac:dyDescent="0.35">
      <c r="A1472" t="str">
        <f t="shared" si="45"/>
        <v>1601C2</v>
      </c>
      <c r="B1472" t="str">
        <f t="shared" si="44"/>
        <v>1601</v>
      </c>
      <c r="C1472" t="s">
        <v>2488</v>
      </c>
      <c r="D1472" t="s">
        <v>1</v>
      </c>
      <c r="E1472" t="s">
        <v>65</v>
      </c>
      <c r="F1472" t="s">
        <v>66</v>
      </c>
      <c r="G1472" t="s">
        <v>757</v>
      </c>
      <c r="H1472" t="s">
        <v>42</v>
      </c>
      <c r="I1472" t="s">
        <v>67</v>
      </c>
      <c r="J1472" t="s">
        <v>2475</v>
      </c>
      <c r="M1472" t="s">
        <v>106</v>
      </c>
      <c r="P1472" t="s">
        <v>69</v>
      </c>
      <c r="Q1472" t="s">
        <v>47</v>
      </c>
      <c r="R1472" t="s">
        <v>48</v>
      </c>
      <c r="V1472" t="s">
        <v>49</v>
      </c>
      <c r="X1472" t="s">
        <v>49</v>
      </c>
      <c r="Y1472" t="s">
        <v>70</v>
      </c>
      <c r="Z1472" t="s">
        <v>2489</v>
      </c>
      <c r="AA1472" t="s">
        <v>2489</v>
      </c>
    </row>
    <row r="1473" spans="1:27" x14ac:dyDescent="0.35">
      <c r="A1473" t="str">
        <f t="shared" si="45"/>
        <v>1601D7</v>
      </c>
      <c r="B1473" t="str">
        <f t="shared" si="44"/>
        <v>1601</v>
      </c>
      <c r="C1473" t="s">
        <v>2490</v>
      </c>
      <c r="D1473" t="s">
        <v>6</v>
      </c>
      <c r="E1473" t="s">
        <v>94</v>
      </c>
      <c r="F1473" t="s">
        <v>111</v>
      </c>
      <c r="G1473" t="s">
        <v>757</v>
      </c>
      <c r="H1473" t="s">
        <v>42</v>
      </c>
      <c r="I1473" t="s">
        <v>43</v>
      </c>
      <c r="J1473" t="s">
        <v>2475</v>
      </c>
      <c r="M1473" t="s">
        <v>106</v>
      </c>
      <c r="P1473" t="s">
        <v>46</v>
      </c>
      <c r="Q1473" t="s">
        <v>47</v>
      </c>
      <c r="R1473" t="s">
        <v>48</v>
      </c>
      <c r="V1473" t="s">
        <v>49</v>
      </c>
      <c r="X1473" t="s">
        <v>49</v>
      </c>
      <c r="Y1473" t="s">
        <v>59</v>
      </c>
      <c r="Z1473" t="s">
        <v>2441</v>
      </c>
      <c r="AA1473" t="s">
        <v>2491</v>
      </c>
    </row>
    <row r="1474" spans="1:27" x14ac:dyDescent="0.35">
      <c r="A1474" t="str">
        <f t="shared" si="45"/>
        <v>702_F3</v>
      </c>
      <c r="B1474" t="str">
        <f t="shared" ref="B1474:B1537" si="46">LEFT($J:$J,4)</f>
        <v>702_</v>
      </c>
      <c r="C1474" t="s">
        <v>2492</v>
      </c>
      <c r="D1474" t="s">
        <v>5</v>
      </c>
      <c r="E1474" t="s">
        <v>40</v>
      </c>
      <c r="F1474" t="s">
        <v>73</v>
      </c>
      <c r="G1474" t="s">
        <v>757</v>
      </c>
      <c r="H1474" t="s">
        <v>42</v>
      </c>
      <c r="I1474" t="s">
        <v>67</v>
      </c>
      <c r="J1474" t="s">
        <v>2493</v>
      </c>
      <c r="M1474" t="s">
        <v>106</v>
      </c>
      <c r="P1474" t="s">
        <v>46</v>
      </c>
      <c r="Q1474" t="s">
        <v>47</v>
      </c>
      <c r="R1474" t="s">
        <v>48</v>
      </c>
      <c r="V1474" t="s">
        <v>49</v>
      </c>
      <c r="X1474" t="s">
        <v>49</v>
      </c>
      <c r="Y1474" t="s">
        <v>74</v>
      </c>
      <c r="Z1474" t="s">
        <v>2473</v>
      </c>
      <c r="AA1474" t="s">
        <v>2473</v>
      </c>
    </row>
    <row r="1475" spans="1:27" x14ac:dyDescent="0.35">
      <c r="A1475" t="str">
        <f t="shared" ref="A1475:A1538" si="47">B1475&amp;D1475</f>
        <v>702_F2</v>
      </c>
      <c r="B1475" t="str">
        <f t="shared" si="46"/>
        <v>702_</v>
      </c>
      <c r="C1475" t="s">
        <v>2494</v>
      </c>
      <c r="D1475" t="s">
        <v>4</v>
      </c>
      <c r="E1475" t="s">
        <v>77</v>
      </c>
      <c r="F1475" t="s">
        <v>78</v>
      </c>
      <c r="G1475" t="s">
        <v>757</v>
      </c>
      <c r="H1475" t="s">
        <v>42</v>
      </c>
      <c r="I1475" t="s">
        <v>67</v>
      </c>
      <c r="J1475" t="s">
        <v>2493</v>
      </c>
      <c r="M1475" t="s">
        <v>106</v>
      </c>
      <c r="P1475" t="s">
        <v>91</v>
      </c>
      <c r="Q1475" t="s">
        <v>47</v>
      </c>
      <c r="R1475" t="s">
        <v>48</v>
      </c>
      <c r="V1475" t="s">
        <v>49</v>
      </c>
      <c r="X1475" t="s">
        <v>49</v>
      </c>
      <c r="Y1475" t="s">
        <v>74</v>
      </c>
      <c r="Z1475" t="s">
        <v>2495</v>
      </c>
      <c r="AA1475" t="s">
        <v>2495</v>
      </c>
    </row>
    <row r="1476" spans="1:27" x14ac:dyDescent="0.35">
      <c r="A1476" t="str">
        <f t="shared" si="47"/>
        <v>702_C2</v>
      </c>
      <c r="B1476" t="str">
        <f t="shared" si="46"/>
        <v>702_</v>
      </c>
      <c r="C1476" t="s">
        <v>2496</v>
      </c>
      <c r="D1476" t="s">
        <v>1</v>
      </c>
      <c r="E1476" t="s">
        <v>65</v>
      </c>
      <c r="F1476" t="s">
        <v>66</v>
      </c>
      <c r="G1476" t="s">
        <v>757</v>
      </c>
      <c r="H1476" t="s">
        <v>42</v>
      </c>
      <c r="I1476" t="s">
        <v>67</v>
      </c>
      <c r="J1476" t="s">
        <v>2493</v>
      </c>
      <c r="M1476" t="s">
        <v>106</v>
      </c>
      <c r="P1476" t="s">
        <v>69</v>
      </c>
      <c r="Q1476" t="s">
        <v>47</v>
      </c>
      <c r="R1476" t="s">
        <v>48</v>
      </c>
      <c r="V1476" t="s">
        <v>49</v>
      </c>
      <c r="X1476" t="s">
        <v>49</v>
      </c>
      <c r="Y1476" t="s">
        <v>70</v>
      </c>
      <c r="Z1476" t="s">
        <v>2480</v>
      </c>
      <c r="AA1476" t="s">
        <v>2480</v>
      </c>
    </row>
    <row r="1477" spans="1:27" x14ac:dyDescent="0.35">
      <c r="A1477" t="str">
        <f t="shared" si="47"/>
        <v>702_D2</v>
      </c>
      <c r="B1477" t="str">
        <f t="shared" si="46"/>
        <v>702_</v>
      </c>
      <c r="C1477" t="s">
        <v>2497</v>
      </c>
      <c r="D1477" t="s">
        <v>2</v>
      </c>
      <c r="E1477" t="s">
        <v>62</v>
      </c>
      <c r="F1477" t="s">
        <v>63</v>
      </c>
      <c r="G1477" t="s">
        <v>757</v>
      </c>
      <c r="H1477" t="s">
        <v>42</v>
      </c>
      <c r="I1477" t="s">
        <v>67</v>
      </c>
      <c r="J1477" t="s">
        <v>2493</v>
      </c>
      <c r="K1477" t="s">
        <v>56</v>
      </c>
      <c r="M1477" t="s">
        <v>106</v>
      </c>
      <c r="P1477" t="s">
        <v>58</v>
      </c>
      <c r="Q1477" t="s">
        <v>47</v>
      </c>
      <c r="R1477" t="s">
        <v>48</v>
      </c>
      <c r="V1477" t="s">
        <v>49</v>
      </c>
      <c r="X1477" t="s">
        <v>49</v>
      </c>
      <c r="Y1477" t="s">
        <v>59</v>
      </c>
      <c r="Z1477" t="s">
        <v>2498</v>
      </c>
      <c r="AA1477" t="s">
        <v>2498</v>
      </c>
    </row>
    <row r="1478" spans="1:27" x14ac:dyDescent="0.35">
      <c r="A1478" t="str">
        <f t="shared" si="47"/>
        <v>702_D7</v>
      </c>
      <c r="B1478" t="str">
        <f t="shared" si="46"/>
        <v>702_</v>
      </c>
      <c r="C1478" t="s">
        <v>2499</v>
      </c>
      <c r="D1478" t="s">
        <v>6</v>
      </c>
      <c r="E1478" t="s">
        <v>94</v>
      </c>
      <c r="F1478" t="s">
        <v>111</v>
      </c>
      <c r="G1478" t="s">
        <v>757</v>
      </c>
      <c r="H1478" t="s">
        <v>42</v>
      </c>
      <c r="I1478" t="s">
        <v>67</v>
      </c>
      <c r="J1478" t="s">
        <v>2493</v>
      </c>
      <c r="M1478" t="s">
        <v>106</v>
      </c>
      <c r="P1478" t="s">
        <v>46</v>
      </c>
      <c r="Q1478" t="s">
        <v>47</v>
      </c>
      <c r="R1478" t="s">
        <v>48</v>
      </c>
      <c r="V1478" t="s">
        <v>49</v>
      </c>
      <c r="X1478" t="s">
        <v>49</v>
      </c>
      <c r="Y1478" t="s">
        <v>59</v>
      </c>
      <c r="Z1478" t="s">
        <v>2486</v>
      </c>
      <c r="AA1478" t="s">
        <v>2486</v>
      </c>
    </row>
    <row r="1479" spans="1:27" x14ac:dyDescent="0.35">
      <c r="A1479" t="str">
        <f t="shared" si="47"/>
        <v>702_D4</v>
      </c>
      <c r="B1479" t="str">
        <f t="shared" si="46"/>
        <v>702_</v>
      </c>
      <c r="C1479" t="s">
        <v>2500</v>
      </c>
      <c r="D1479" t="s">
        <v>3</v>
      </c>
      <c r="E1479" t="s">
        <v>52</v>
      </c>
      <c r="F1479" t="s">
        <v>53</v>
      </c>
      <c r="G1479" t="s">
        <v>757</v>
      </c>
      <c r="H1479" t="s">
        <v>42</v>
      </c>
      <c r="I1479" t="s">
        <v>67</v>
      </c>
      <c r="J1479" t="s">
        <v>2493</v>
      </c>
      <c r="K1479" t="s">
        <v>56</v>
      </c>
      <c r="M1479" t="s">
        <v>106</v>
      </c>
      <c r="P1479" t="s">
        <v>58</v>
      </c>
      <c r="Q1479" t="s">
        <v>47</v>
      </c>
      <c r="R1479" t="s">
        <v>48</v>
      </c>
      <c r="V1479" t="s">
        <v>49</v>
      </c>
      <c r="X1479" t="s">
        <v>49</v>
      </c>
      <c r="Y1479" t="s">
        <v>59</v>
      </c>
      <c r="Z1479" t="s">
        <v>2501</v>
      </c>
      <c r="AA1479" t="s">
        <v>2501</v>
      </c>
    </row>
    <row r="1480" spans="1:27" x14ac:dyDescent="0.35">
      <c r="A1480" t="str">
        <f t="shared" si="47"/>
        <v>701_F3</v>
      </c>
      <c r="B1480" t="str">
        <f t="shared" si="46"/>
        <v>701_</v>
      </c>
      <c r="C1480" t="s">
        <v>2502</v>
      </c>
      <c r="D1480" t="s">
        <v>5</v>
      </c>
      <c r="E1480" t="s">
        <v>40</v>
      </c>
      <c r="F1480" t="s">
        <v>73</v>
      </c>
      <c r="G1480" t="s">
        <v>757</v>
      </c>
      <c r="H1480" t="s">
        <v>42</v>
      </c>
      <c r="I1480" t="s">
        <v>67</v>
      </c>
      <c r="J1480" t="s">
        <v>2503</v>
      </c>
      <c r="M1480" t="s">
        <v>106</v>
      </c>
      <c r="P1480" t="s">
        <v>46</v>
      </c>
      <c r="Q1480" t="s">
        <v>47</v>
      </c>
      <c r="R1480" t="s">
        <v>48</v>
      </c>
      <c r="V1480" t="s">
        <v>49</v>
      </c>
      <c r="X1480" t="s">
        <v>49</v>
      </c>
      <c r="Y1480" t="s">
        <v>74</v>
      </c>
      <c r="Z1480" t="s">
        <v>2473</v>
      </c>
      <c r="AA1480" t="s">
        <v>2473</v>
      </c>
    </row>
    <row r="1481" spans="1:27" x14ac:dyDescent="0.35">
      <c r="A1481" t="str">
        <f t="shared" si="47"/>
        <v>1509F2</v>
      </c>
      <c r="B1481" t="str">
        <f t="shared" si="46"/>
        <v>1509</v>
      </c>
      <c r="C1481" t="s">
        <v>2504</v>
      </c>
      <c r="D1481" t="s">
        <v>4</v>
      </c>
      <c r="E1481" t="s">
        <v>77</v>
      </c>
      <c r="F1481" t="s">
        <v>78</v>
      </c>
      <c r="G1481" t="s">
        <v>757</v>
      </c>
      <c r="H1481" t="s">
        <v>42</v>
      </c>
      <c r="I1481" t="s">
        <v>67</v>
      </c>
      <c r="J1481" t="s">
        <v>2505</v>
      </c>
      <c r="M1481" t="s">
        <v>106</v>
      </c>
      <c r="P1481" t="s">
        <v>79</v>
      </c>
      <c r="Q1481" t="s">
        <v>47</v>
      </c>
      <c r="R1481" t="s">
        <v>48</v>
      </c>
      <c r="V1481" t="s">
        <v>49</v>
      </c>
      <c r="X1481" t="s">
        <v>49</v>
      </c>
      <c r="Y1481" t="s">
        <v>74</v>
      </c>
      <c r="Z1481" t="s">
        <v>2476</v>
      </c>
      <c r="AA1481" t="s">
        <v>2476</v>
      </c>
    </row>
    <row r="1482" spans="1:27" x14ac:dyDescent="0.35">
      <c r="A1482" t="str">
        <f t="shared" si="47"/>
        <v>1509D4</v>
      </c>
      <c r="B1482" t="str">
        <f t="shared" si="46"/>
        <v>1509</v>
      </c>
      <c r="C1482" t="s">
        <v>2506</v>
      </c>
      <c r="D1482" t="s">
        <v>3</v>
      </c>
      <c r="E1482" t="s">
        <v>52</v>
      </c>
      <c r="F1482" t="s">
        <v>53</v>
      </c>
      <c r="G1482" t="s">
        <v>757</v>
      </c>
      <c r="H1482" t="s">
        <v>42</v>
      </c>
      <c r="I1482" t="s">
        <v>43</v>
      </c>
      <c r="J1482" t="s">
        <v>2505</v>
      </c>
      <c r="K1482" t="s">
        <v>56</v>
      </c>
      <c r="M1482" t="s">
        <v>106</v>
      </c>
      <c r="P1482" t="s">
        <v>58</v>
      </c>
      <c r="Q1482" t="s">
        <v>47</v>
      </c>
      <c r="R1482" t="s">
        <v>48</v>
      </c>
      <c r="V1482" t="s">
        <v>49</v>
      </c>
      <c r="X1482" t="s">
        <v>49</v>
      </c>
      <c r="Y1482" t="s">
        <v>59</v>
      </c>
      <c r="Z1482" t="s">
        <v>2507</v>
      </c>
      <c r="AA1482" t="s">
        <v>2507</v>
      </c>
    </row>
    <row r="1483" spans="1:27" x14ac:dyDescent="0.35">
      <c r="A1483" t="str">
        <f t="shared" si="47"/>
        <v>1509D2</v>
      </c>
      <c r="B1483" t="str">
        <f t="shared" si="46"/>
        <v>1509</v>
      </c>
      <c r="C1483" t="s">
        <v>2508</v>
      </c>
      <c r="D1483" t="s">
        <v>2</v>
      </c>
      <c r="E1483" t="s">
        <v>62</v>
      </c>
      <c r="F1483" t="s">
        <v>63</v>
      </c>
      <c r="G1483" t="s">
        <v>757</v>
      </c>
      <c r="H1483" t="s">
        <v>42</v>
      </c>
      <c r="I1483" t="s">
        <v>43</v>
      </c>
      <c r="J1483" t="s">
        <v>2505</v>
      </c>
      <c r="K1483" t="s">
        <v>56</v>
      </c>
      <c r="M1483" t="s">
        <v>106</v>
      </c>
      <c r="P1483" t="s">
        <v>58</v>
      </c>
      <c r="Q1483" t="s">
        <v>47</v>
      </c>
      <c r="R1483" t="s">
        <v>48</v>
      </c>
      <c r="V1483" t="s">
        <v>49</v>
      </c>
      <c r="X1483" t="s">
        <v>49</v>
      </c>
      <c r="Y1483" t="s">
        <v>59</v>
      </c>
      <c r="Z1483" t="s">
        <v>2489</v>
      </c>
      <c r="AA1483" t="s">
        <v>2489</v>
      </c>
    </row>
    <row r="1484" spans="1:27" x14ac:dyDescent="0.35">
      <c r="A1484" t="str">
        <f t="shared" si="47"/>
        <v>701_F2</v>
      </c>
      <c r="B1484" t="str">
        <f t="shared" si="46"/>
        <v>701_</v>
      </c>
      <c r="C1484" t="s">
        <v>2509</v>
      </c>
      <c r="D1484" t="s">
        <v>4</v>
      </c>
      <c r="E1484" t="s">
        <v>77</v>
      </c>
      <c r="F1484" t="s">
        <v>78</v>
      </c>
      <c r="G1484" t="s">
        <v>757</v>
      </c>
      <c r="H1484" t="s">
        <v>42</v>
      </c>
      <c r="I1484" t="s">
        <v>67</v>
      </c>
      <c r="J1484" t="s">
        <v>2503</v>
      </c>
      <c r="M1484" t="s">
        <v>106</v>
      </c>
      <c r="P1484" t="s">
        <v>138</v>
      </c>
      <c r="Q1484" t="s">
        <v>47</v>
      </c>
      <c r="R1484" t="s">
        <v>48</v>
      </c>
      <c r="V1484" t="s">
        <v>49</v>
      </c>
      <c r="X1484" t="s">
        <v>49</v>
      </c>
      <c r="Y1484" t="s">
        <v>74</v>
      </c>
      <c r="Z1484" t="s">
        <v>2510</v>
      </c>
      <c r="AA1484" t="s">
        <v>2510</v>
      </c>
    </row>
    <row r="1485" spans="1:27" x14ac:dyDescent="0.35">
      <c r="A1485" t="str">
        <f t="shared" si="47"/>
        <v>1509F3</v>
      </c>
      <c r="B1485" t="str">
        <f t="shared" si="46"/>
        <v>1509</v>
      </c>
      <c r="C1485" t="s">
        <v>2511</v>
      </c>
      <c r="D1485" t="s">
        <v>5</v>
      </c>
      <c r="E1485" t="s">
        <v>40</v>
      </c>
      <c r="F1485" t="s">
        <v>73</v>
      </c>
      <c r="G1485" t="s">
        <v>757</v>
      </c>
      <c r="H1485" t="s">
        <v>42</v>
      </c>
      <c r="I1485" t="s">
        <v>67</v>
      </c>
      <c r="J1485" t="s">
        <v>2505</v>
      </c>
      <c r="M1485" t="s">
        <v>106</v>
      </c>
      <c r="P1485" t="s">
        <v>58</v>
      </c>
      <c r="Q1485" t="s">
        <v>47</v>
      </c>
      <c r="R1485" t="s">
        <v>48</v>
      </c>
      <c r="V1485" t="s">
        <v>49</v>
      </c>
      <c r="X1485" t="s">
        <v>49</v>
      </c>
      <c r="Y1485" t="s">
        <v>74</v>
      </c>
      <c r="Z1485" t="s">
        <v>594</v>
      </c>
      <c r="AA1485" t="s">
        <v>594</v>
      </c>
    </row>
    <row r="1486" spans="1:27" x14ac:dyDescent="0.35">
      <c r="A1486" t="str">
        <f t="shared" si="47"/>
        <v>701_C2</v>
      </c>
      <c r="B1486" t="str">
        <f t="shared" si="46"/>
        <v>701_</v>
      </c>
      <c r="C1486" t="s">
        <v>2512</v>
      </c>
      <c r="D1486" t="s">
        <v>1</v>
      </c>
      <c r="E1486" t="s">
        <v>65</v>
      </c>
      <c r="F1486" t="s">
        <v>66</v>
      </c>
      <c r="G1486" t="s">
        <v>757</v>
      </c>
      <c r="H1486" t="s">
        <v>42</v>
      </c>
      <c r="I1486" t="s">
        <v>67</v>
      </c>
      <c r="J1486" t="s">
        <v>2503</v>
      </c>
      <c r="M1486" t="s">
        <v>106</v>
      </c>
      <c r="P1486" t="s">
        <v>69</v>
      </c>
      <c r="Q1486" t="s">
        <v>47</v>
      </c>
      <c r="R1486" t="s">
        <v>48</v>
      </c>
      <c r="V1486" t="s">
        <v>49</v>
      </c>
      <c r="X1486" t="s">
        <v>49</v>
      </c>
      <c r="Y1486" t="s">
        <v>70</v>
      </c>
      <c r="Z1486" t="s">
        <v>2480</v>
      </c>
      <c r="AA1486" t="s">
        <v>2480</v>
      </c>
    </row>
    <row r="1487" spans="1:27" x14ac:dyDescent="0.35">
      <c r="A1487" t="str">
        <f t="shared" si="47"/>
        <v>1509C2</v>
      </c>
      <c r="B1487" t="str">
        <f t="shared" si="46"/>
        <v>1509</v>
      </c>
      <c r="C1487" t="s">
        <v>2513</v>
      </c>
      <c r="D1487" t="s">
        <v>1</v>
      </c>
      <c r="E1487" t="s">
        <v>65</v>
      </c>
      <c r="F1487" t="s">
        <v>66</v>
      </c>
      <c r="G1487" t="s">
        <v>757</v>
      </c>
      <c r="H1487" t="s">
        <v>42</v>
      </c>
      <c r="I1487" t="s">
        <v>67</v>
      </c>
      <c r="J1487" t="s">
        <v>2505</v>
      </c>
      <c r="M1487" t="s">
        <v>106</v>
      </c>
      <c r="P1487" t="s">
        <v>69</v>
      </c>
      <c r="Q1487" t="s">
        <v>47</v>
      </c>
      <c r="R1487" t="s">
        <v>48</v>
      </c>
      <c r="V1487" t="s">
        <v>49</v>
      </c>
      <c r="X1487" t="s">
        <v>49</v>
      </c>
      <c r="Y1487" t="s">
        <v>70</v>
      </c>
      <c r="Z1487" t="s">
        <v>2514</v>
      </c>
      <c r="AA1487" t="s">
        <v>2515</v>
      </c>
    </row>
    <row r="1488" spans="1:27" x14ac:dyDescent="0.35">
      <c r="A1488" t="str">
        <f t="shared" si="47"/>
        <v>701_D2</v>
      </c>
      <c r="B1488" t="str">
        <f t="shared" si="46"/>
        <v>701_</v>
      </c>
      <c r="C1488" t="s">
        <v>2516</v>
      </c>
      <c r="D1488" t="s">
        <v>2</v>
      </c>
      <c r="E1488" t="s">
        <v>62</v>
      </c>
      <c r="F1488" t="s">
        <v>63</v>
      </c>
      <c r="G1488" t="s">
        <v>757</v>
      </c>
      <c r="H1488" t="s">
        <v>42</v>
      </c>
      <c r="I1488" t="s">
        <v>67</v>
      </c>
      <c r="J1488" t="s">
        <v>2503</v>
      </c>
      <c r="K1488" t="s">
        <v>56</v>
      </c>
      <c r="M1488" t="s">
        <v>106</v>
      </c>
      <c r="P1488" t="s">
        <v>58</v>
      </c>
      <c r="Q1488" t="s">
        <v>47</v>
      </c>
      <c r="R1488" t="s">
        <v>48</v>
      </c>
      <c r="V1488" t="s">
        <v>49</v>
      </c>
      <c r="X1488" t="s">
        <v>49</v>
      </c>
      <c r="Y1488" t="s">
        <v>59</v>
      </c>
      <c r="Z1488" t="s">
        <v>2517</v>
      </c>
      <c r="AA1488" t="s">
        <v>2517</v>
      </c>
    </row>
    <row r="1489" spans="1:27" x14ac:dyDescent="0.35">
      <c r="A1489" t="str">
        <f t="shared" si="47"/>
        <v>1509D7</v>
      </c>
      <c r="B1489" t="str">
        <f t="shared" si="46"/>
        <v>1509</v>
      </c>
      <c r="C1489" t="s">
        <v>2518</v>
      </c>
      <c r="D1489" t="s">
        <v>6</v>
      </c>
      <c r="E1489" t="s">
        <v>94</v>
      </c>
      <c r="F1489" t="s">
        <v>111</v>
      </c>
      <c r="G1489" t="s">
        <v>757</v>
      </c>
      <c r="H1489" t="s">
        <v>42</v>
      </c>
      <c r="I1489" t="s">
        <v>43</v>
      </c>
      <c r="J1489" t="s">
        <v>2505</v>
      </c>
      <c r="M1489" t="s">
        <v>106</v>
      </c>
      <c r="P1489" t="s">
        <v>46</v>
      </c>
      <c r="Q1489" t="s">
        <v>47</v>
      </c>
      <c r="R1489" t="s">
        <v>48</v>
      </c>
      <c r="V1489" t="s">
        <v>49</v>
      </c>
      <c r="X1489" t="s">
        <v>49</v>
      </c>
      <c r="Y1489" t="s">
        <v>59</v>
      </c>
      <c r="Z1489" t="s">
        <v>2491</v>
      </c>
      <c r="AA1489" t="s">
        <v>2491</v>
      </c>
    </row>
    <row r="1490" spans="1:27" x14ac:dyDescent="0.35">
      <c r="A1490" t="str">
        <f t="shared" si="47"/>
        <v>701_D7</v>
      </c>
      <c r="B1490" t="str">
        <f t="shared" si="46"/>
        <v>701_</v>
      </c>
      <c r="C1490" t="s">
        <v>2519</v>
      </c>
      <c r="D1490" t="s">
        <v>6</v>
      </c>
      <c r="E1490" t="s">
        <v>94</v>
      </c>
      <c r="F1490" t="s">
        <v>111</v>
      </c>
      <c r="G1490" t="s">
        <v>757</v>
      </c>
      <c r="H1490" t="s">
        <v>42</v>
      </c>
      <c r="I1490" t="s">
        <v>67</v>
      </c>
      <c r="J1490" t="s">
        <v>2503</v>
      </c>
      <c r="M1490" t="s">
        <v>106</v>
      </c>
      <c r="P1490" t="s">
        <v>46</v>
      </c>
      <c r="Q1490" t="s">
        <v>47</v>
      </c>
      <c r="R1490" t="s">
        <v>48</v>
      </c>
      <c r="V1490" t="s">
        <v>49</v>
      </c>
      <c r="X1490" t="s">
        <v>49</v>
      </c>
      <c r="Y1490" t="s">
        <v>59</v>
      </c>
      <c r="Z1490" t="s">
        <v>2520</v>
      </c>
      <c r="AA1490" t="s">
        <v>2520</v>
      </c>
    </row>
    <row r="1491" spans="1:27" x14ac:dyDescent="0.35">
      <c r="A1491" t="str">
        <f t="shared" si="47"/>
        <v>701_D4</v>
      </c>
      <c r="B1491" t="str">
        <f t="shared" si="46"/>
        <v>701_</v>
      </c>
      <c r="C1491" t="s">
        <v>2521</v>
      </c>
      <c r="D1491" t="s">
        <v>3</v>
      </c>
      <c r="E1491" t="s">
        <v>52</v>
      </c>
      <c r="F1491" t="s">
        <v>53</v>
      </c>
      <c r="G1491" t="s">
        <v>757</v>
      </c>
      <c r="H1491" t="s">
        <v>42</v>
      </c>
      <c r="I1491" t="s">
        <v>67</v>
      </c>
      <c r="J1491" t="s">
        <v>2503</v>
      </c>
      <c r="K1491" t="s">
        <v>56</v>
      </c>
      <c r="M1491" t="s">
        <v>106</v>
      </c>
      <c r="P1491" t="s">
        <v>58</v>
      </c>
      <c r="Q1491" t="s">
        <v>47</v>
      </c>
      <c r="R1491" t="s">
        <v>48</v>
      </c>
      <c r="V1491" t="s">
        <v>49</v>
      </c>
      <c r="X1491" t="s">
        <v>49</v>
      </c>
      <c r="Y1491" t="s">
        <v>59</v>
      </c>
      <c r="Z1491" t="s">
        <v>2522</v>
      </c>
      <c r="AA1491" t="s">
        <v>2522</v>
      </c>
    </row>
    <row r="1492" spans="1:27" x14ac:dyDescent="0.35">
      <c r="A1492" t="str">
        <f t="shared" si="47"/>
        <v>609_F3</v>
      </c>
      <c r="B1492" t="str">
        <f t="shared" si="46"/>
        <v>609_</v>
      </c>
      <c r="C1492" t="s">
        <v>2523</v>
      </c>
      <c r="D1492" t="s">
        <v>5</v>
      </c>
      <c r="E1492" t="s">
        <v>40</v>
      </c>
      <c r="F1492" t="s">
        <v>73</v>
      </c>
      <c r="G1492" t="s">
        <v>757</v>
      </c>
      <c r="H1492" t="s">
        <v>42</v>
      </c>
      <c r="I1492" t="s">
        <v>67</v>
      </c>
      <c r="J1492" t="s">
        <v>2524</v>
      </c>
      <c r="M1492" t="s">
        <v>106</v>
      </c>
      <c r="P1492" t="s">
        <v>46</v>
      </c>
      <c r="Q1492" t="s">
        <v>47</v>
      </c>
      <c r="R1492" t="s">
        <v>48</v>
      </c>
      <c r="V1492" t="s">
        <v>49</v>
      </c>
      <c r="X1492" t="s">
        <v>49</v>
      </c>
      <c r="Y1492" t="s">
        <v>74</v>
      </c>
      <c r="Z1492" t="s">
        <v>2525</v>
      </c>
      <c r="AA1492" t="s">
        <v>2525</v>
      </c>
    </row>
    <row r="1493" spans="1:27" x14ac:dyDescent="0.35">
      <c r="A1493" t="str">
        <f t="shared" si="47"/>
        <v>609_F2</v>
      </c>
      <c r="B1493" t="str">
        <f t="shared" si="46"/>
        <v>609_</v>
      </c>
      <c r="C1493" t="s">
        <v>2526</v>
      </c>
      <c r="D1493" t="s">
        <v>4</v>
      </c>
      <c r="E1493" t="s">
        <v>77</v>
      </c>
      <c r="F1493" t="s">
        <v>78</v>
      </c>
      <c r="G1493" t="s">
        <v>757</v>
      </c>
      <c r="H1493" t="s">
        <v>42</v>
      </c>
      <c r="I1493" t="s">
        <v>67</v>
      </c>
      <c r="J1493" t="s">
        <v>2524</v>
      </c>
      <c r="M1493" t="s">
        <v>106</v>
      </c>
      <c r="P1493" t="s">
        <v>79</v>
      </c>
      <c r="Q1493" t="s">
        <v>47</v>
      </c>
      <c r="R1493" t="s">
        <v>48</v>
      </c>
      <c r="V1493" t="s">
        <v>49</v>
      </c>
      <c r="X1493" t="s">
        <v>49</v>
      </c>
      <c r="Y1493" t="s">
        <v>74</v>
      </c>
      <c r="Z1493" t="s">
        <v>2525</v>
      </c>
      <c r="AA1493" t="s">
        <v>2525</v>
      </c>
    </row>
    <row r="1494" spans="1:27" x14ac:dyDescent="0.35">
      <c r="A1494" t="str">
        <f t="shared" si="47"/>
        <v>609_C2</v>
      </c>
      <c r="B1494" t="str">
        <f t="shared" si="46"/>
        <v>609_</v>
      </c>
      <c r="C1494" t="s">
        <v>2527</v>
      </c>
      <c r="D1494" t="s">
        <v>1</v>
      </c>
      <c r="E1494" t="s">
        <v>65</v>
      </c>
      <c r="F1494" t="s">
        <v>66</v>
      </c>
      <c r="G1494" t="s">
        <v>757</v>
      </c>
      <c r="H1494" t="s">
        <v>42</v>
      </c>
      <c r="I1494" t="s">
        <v>67</v>
      </c>
      <c r="J1494" t="s">
        <v>2524</v>
      </c>
      <c r="M1494" t="s">
        <v>106</v>
      </c>
      <c r="P1494" t="s">
        <v>69</v>
      </c>
      <c r="Q1494" t="s">
        <v>47</v>
      </c>
      <c r="R1494" t="s">
        <v>48</v>
      </c>
      <c r="V1494" t="s">
        <v>49</v>
      </c>
      <c r="X1494" t="s">
        <v>49</v>
      </c>
      <c r="Y1494" t="s">
        <v>70</v>
      </c>
      <c r="Z1494" t="s">
        <v>1565</v>
      </c>
      <c r="AA1494" t="s">
        <v>1565</v>
      </c>
    </row>
    <row r="1495" spans="1:27" x14ac:dyDescent="0.35">
      <c r="A1495" t="str">
        <f t="shared" si="47"/>
        <v>609_D2</v>
      </c>
      <c r="B1495" t="str">
        <f t="shared" si="46"/>
        <v>609_</v>
      </c>
      <c r="C1495" t="s">
        <v>2528</v>
      </c>
      <c r="D1495" t="s">
        <v>2</v>
      </c>
      <c r="E1495" t="s">
        <v>62</v>
      </c>
      <c r="F1495" t="s">
        <v>63</v>
      </c>
      <c r="G1495" t="s">
        <v>757</v>
      </c>
      <c r="H1495" t="s">
        <v>42</v>
      </c>
      <c r="I1495" t="s">
        <v>67</v>
      </c>
      <c r="J1495" t="s">
        <v>2524</v>
      </c>
      <c r="K1495" t="s">
        <v>56</v>
      </c>
      <c r="M1495" t="s">
        <v>106</v>
      </c>
      <c r="P1495" t="s">
        <v>58</v>
      </c>
      <c r="Q1495" t="s">
        <v>47</v>
      </c>
      <c r="R1495" t="s">
        <v>48</v>
      </c>
      <c r="V1495" t="s">
        <v>49</v>
      </c>
      <c r="X1495" t="s">
        <v>49</v>
      </c>
      <c r="Y1495" t="s">
        <v>59</v>
      </c>
      <c r="Z1495" t="s">
        <v>1464</v>
      </c>
      <c r="AA1495" t="s">
        <v>1464</v>
      </c>
    </row>
    <row r="1496" spans="1:27" x14ac:dyDescent="0.35">
      <c r="A1496" t="str">
        <f t="shared" si="47"/>
        <v>609_D7</v>
      </c>
      <c r="B1496" t="str">
        <f t="shared" si="46"/>
        <v>609_</v>
      </c>
      <c r="C1496" t="s">
        <v>2529</v>
      </c>
      <c r="D1496" t="s">
        <v>6</v>
      </c>
      <c r="E1496" t="s">
        <v>94</v>
      </c>
      <c r="F1496" t="s">
        <v>111</v>
      </c>
      <c r="G1496" t="s">
        <v>757</v>
      </c>
      <c r="H1496" t="s">
        <v>42</v>
      </c>
      <c r="I1496" t="s">
        <v>67</v>
      </c>
      <c r="J1496" t="s">
        <v>2524</v>
      </c>
      <c r="M1496" t="s">
        <v>106</v>
      </c>
      <c r="P1496" t="s">
        <v>46</v>
      </c>
      <c r="Q1496" t="s">
        <v>47</v>
      </c>
      <c r="R1496" t="s">
        <v>48</v>
      </c>
      <c r="V1496" t="s">
        <v>49</v>
      </c>
      <c r="X1496" t="s">
        <v>49</v>
      </c>
      <c r="Y1496" t="s">
        <v>59</v>
      </c>
      <c r="Z1496" t="s">
        <v>2530</v>
      </c>
      <c r="AA1496" t="s">
        <v>2530</v>
      </c>
    </row>
    <row r="1497" spans="1:27" x14ac:dyDescent="0.35">
      <c r="A1497" t="str">
        <f t="shared" si="47"/>
        <v>609_D4</v>
      </c>
      <c r="B1497" t="str">
        <f t="shared" si="46"/>
        <v>609_</v>
      </c>
      <c r="C1497" t="s">
        <v>2531</v>
      </c>
      <c r="D1497" t="s">
        <v>3</v>
      </c>
      <c r="E1497" t="s">
        <v>52</v>
      </c>
      <c r="F1497" t="s">
        <v>53</v>
      </c>
      <c r="G1497" t="s">
        <v>757</v>
      </c>
      <c r="H1497" t="s">
        <v>42</v>
      </c>
      <c r="I1497" t="s">
        <v>67</v>
      </c>
      <c r="J1497" t="s">
        <v>2524</v>
      </c>
      <c r="K1497" t="s">
        <v>56</v>
      </c>
      <c r="M1497" t="s">
        <v>106</v>
      </c>
      <c r="P1497" t="s">
        <v>58</v>
      </c>
      <c r="Q1497" t="s">
        <v>47</v>
      </c>
      <c r="R1497" t="s">
        <v>48</v>
      </c>
      <c r="V1497" t="s">
        <v>49</v>
      </c>
      <c r="X1497" t="s">
        <v>49</v>
      </c>
      <c r="Y1497" t="s">
        <v>59</v>
      </c>
      <c r="Z1497" t="s">
        <v>3607</v>
      </c>
      <c r="AA1497" t="s">
        <v>3607</v>
      </c>
    </row>
    <row r="1498" spans="1:27" x14ac:dyDescent="0.35">
      <c r="A1498" t="str">
        <f t="shared" si="47"/>
        <v>608_F3</v>
      </c>
      <c r="B1498" t="str">
        <f t="shared" si="46"/>
        <v>608_</v>
      </c>
      <c r="C1498" t="s">
        <v>2532</v>
      </c>
      <c r="D1498" t="s">
        <v>5</v>
      </c>
      <c r="E1498" t="s">
        <v>40</v>
      </c>
      <c r="F1498" t="s">
        <v>73</v>
      </c>
      <c r="G1498" t="s">
        <v>757</v>
      </c>
      <c r="H1498" t="s">
        <v>42</v>
      </c>
      <c r="I1498" t="s">
        <v>67</v>
      </c>
      <c r="J1498" t="s">
        <v>2533</v>
      </c>
      <c r="M1498" t="s">
        <v>106</v>
      </c>
      <c r="P1498" t="s">
        <v>46</v>
      </c>
      <c r="Q1498" t="s">
        <v>47</v>
      </c>
      <c r="R1498" t="s">
        <v>48</v>
      </c>
      <c r="V1498" t="s">
        <v>49</v>
      </c>
      <c r="X1498" t="s">
        <v>49</v>
      </c>
      <c r="Y1498" t="s">
        <v>74</v>
      </c>
      <c r="Z1498" t="s">
        <v>2534</v>
      </c>
      <c r="AA1498" t="s">
        <v>2534</v>
      </c>
    </row>
    <row r="1499" spans="1:27" x14ac:dyDescent="0.35">
      <c r="A1499" t="str">
        <f t="shared" si="47"/>
        <v>1508F2</v>
      </c>
      <c r="B1499" t="str">
        <f t="shared" si="46"/>
        <v>1508</v>
      </c>
      <c r="C1499" t="s">
        <v>2535</v>
      </c>
      <c r="D1499" t="s">
        <v>4</v>
      </c>
      <c r="E1499" t="s">
        <v>77</v>
      </c>
      <c r="F1499" t="s">
        <v>78</v>
      </c>
      <c r="G1499" t="s">
        <v>757</v>
      </c>
      <c r="H1499" t="s">
        <v>42</v>
      </c>
      <c r="I1499" t="s">
        <v>67</v>
      </c>
      <c r="J1499" t="s">
        <v>2536</v>
      </c>
      <c r="M1499" t="s">
        <v>106</v>
      </c>
      <c r="P1499" t="s">
        <v>189</v>
      </c>
      <c r="Q1499" t="s">
        <v>47</v>
      </c>
      <c r="R1499" t="s">
        <v>48</v>
      </c>
      <c r="V1499" t="s">
        <v>49</v>
      </c>
      <c r="X1499" t="s">
        <v>49</v>
      </c>
      <c r="Y1499" t="s">
        <v>74</v>
      </c>
      <c r="Z1499" t="s">
        <v>2476</v>
      </c>
      <c r="AA1499" t="s">
        <v>2476</v>
      </c>
    </row>
    <row r="1500" spans="1:27" x14ac:dyDescent="0.35">
      <c r="A1500" t="str">
        <f t="shared" si="47"/>
        <v>1508D4</v>
      </c>
      <c r="B1500" t="str">
        <f t="shared" si="46"/>
        <v>1508</v>
      </c>
      <c r="C1500" t="s">
        <v>2537</v>
      </c>
      <c r="D1500" t="s">
        <v>3</v>
      </c>
      <c r="E1500" t="s">
        <v>52</v>
      </c>
      <c r="F1500" t="s">
        <v>53</v>
      </c>
      <c r="G1500" t="s">
        <v>757</v>
      </c>
      <c r="H1500" t="s">
        <v>42</v>
      </c>
      <c r="I1500" t="s">
        <v>43</v>
      </c>
      <c r="J1500" t="s">
        <v>2536</v>
      </c>
      <c r="K1500" t="s">
        <v>56</v>
      </c>
      <c r="M1500" t="s">
        <v>106</v>
      </c>
      <c r="P1500" t="s">
        <v>58</v>
      </c>
      <c r="Q1500" t="s">
        <v>47</v>
      </c>
      <c r="R1500" t="s">
        <v>48</v>
      </c>
      <c r="V1500" t="s">
        <v>49</v>
      </c>
      <c r="X1500" t="s">
        <v>49</v>
      </c>
      <c r="Y1500" t="s">
        <v>59</v>
      </c>
      <c r="Z1500" t="s">
        <v>2507</v>
      </c>
      <c r="AA1500" t="s">
        <v>2507</v>
      </c>
    </row>
    <row r="1501" spans="1:27" x14ac:dyDescent="0.35">
      <c r="A1501" t="str">
        <f t="shared" si="47"/>
        <v>1508D2</v>
      </c>
      <c r="B1501" t="str">
        <f t="shared" si="46"/>
        <v>1508</v>
      </c>
      <c r="C1501" t="s">
        <v>2538</v>
      </c>
      <c r="D1501" t="s">
        <v>2</v>
      </c>
      <c r="E1501" t="s">
        <v>62</v>
      </c>
      <c r="F1501" t="s">
        <v>63</v>
      </c>
      <c r="G1501" t="s">
        <v>757</v>
      </c>
      <c r="H1501" t="s">
        <v>42</v>
      </c>
      <c r="I1501" t="s">
        <v>43</v>
      </c>
      <c r="J1501" t="s">
        <v>2536</v>
      </c>
      <c r="K1501" t="s">
        <v>56</v>
      </c>
      <c r="M1501" t="s">
        <v>106</v>
      </c>
      <c r="P1501" t="s">
        <v>58</v>
      </c>
      <c r="Q1501" t="s">
        <v>47</v>
      </c>
      <c r="R1501" t="s">
        <v>48</v>
      </c>
      <c r="V1501" t="s">
        <v>49</v>
      </c>
      <c r="X1501" t="s">
        <v>49</v>
      </c>
      <c r="Y1501" t="s">
        <v>59</v>
      </c>
      <c r="Z1501" t="s">
        <v>2539</v>
      </c>
      <c r="AA1501" t="s">
        <v>2539</v>
      </c>
    </row>
    <row r="1502" spans="1:27" x14ac:dyDescent="0.35">
      <c r="A1502" t="str">
        <f t="shared" si="47"/>
        <v>1508F3</v>
      </c>
      <c r="B1502" t="str">
        <f t="shared" si="46"/>
        <v>1508</v>
      </c>
      <c r="C1502" t="s">
        <v>2540</v>
      </c>
      <c r="D1502" t="s">
        <v>5</v>
      </c>
      <c r="E1502" t="s">
        <v>40</v>
      </c>
      <c r="F1502" t="s">
        <v>73</v>
      </c>
      <c r="G1502" t="s">
        <v>757</v>
      </c>
      <c r="H1502" t="s">
        <v>42</v>
      </c>
      <c r="I1502" t="s">
        <v>67</v>
      </c>
      <c r="J1502" t="s">
        <v>2536</v>
      </c>
      <c r="M1502" t="s">
        <v>106</v>
      </c>
      <c r="P1502" t="s">
        <v>58</v>
      </c>
      <c r="Q1502" t="s">
        <v>47</v>
      </c>
      <c r="R1502" t="s">
        <v>48</v>
      </c>
      <c r="V1502" t="s">
        <v>49</v>
      </c>
      <c r="X1502" t="s">
        <v>49</v>
      </c>
      <c r="Y1502" t="s">
        <v>74</v>
      </c>
      <c r="Z1502" t="s">
        <v>594</v>
      </c>
      <c r="AA1502" t="s">
        <v>594</v>
      </c>
    </row>
    <row r="1503" spans="1:27" x14ac:dyDescent="0.35">
      <c r="A1503" t="str">
        <f t="shared" si="47"/>
        <v>1508C2</v>
      </c>
      <c r="B1503" t="str">
        <f t="shared" si="46"/>
        <v>1508</v>
      </c>
      <c r="C1503" t="s">
        <v>2541</v>
      </c>
      <c r="D1503" t="s">
        <v>1</v>
      </c>
      <c r="E1503" t="s">
        <v>65</v>
      </c>
      <c r="F1503" t="s">
        <v>66</v>
      </c>
      <c r="G1503" t="s">
        <v>757</v>
      </c>
      <c r="H1503" t="s">
        <v>42</v>
      </c>
      <c r="I1503" t="s">
        <v>67</v>
      </c>
      <c r="J1503" t="s">
        <v>2536</v>
      </c>
      <c r="M1503" t="s">
        <v>106</v>
      </c>
      <c r="P1503" t="s">
        <v>69</v>
      </c>
      <c r="Q1503" t="s">
        <v>47</v>
      </c>
      <c r="R1503" t="s">
        <v>48</v>
      </c>
      <c r="V1503" t="s">
        <v>49</v>
      </c>
      <c r="X1503" t="s">
        <v>49</v>
      </c>
      <c r="Y1503" t="s">
        <v>70</v>
      </c>
      <c r="Z1503" t="s">
        <v>2542</v>
      </c>
      <c r="AA1503" t="s">
        <v>2542</v>
      </c>
    </row>
    <row r="1504" spans="1:27" x14ac:dyDescent="0.35">
      <c r="A1504" t="str">
        <f t="shared" si="47"/>
        <v>608_F2</v>
      </c>
      <c r="B1504" t="str">
        <f t="shared" si="46"/>
        <v>608_</v>
      </c>
      <c r="C1504" t="s">
        <v>2543</v>
      </c>
      <c r="D1504" t="s">
        <v>4</v>
      </c>
      <c r="E1504" t="s">
        <v>77</v>
      </c>
      <c r="F1504" t="s">
        <v>78</v>
      </c>
      <c r="G1504" t="s">
        <v>757</v>
      </c>
      <c r="H1504" t="s">
        <v>42</v>
      </c>
      <c r="I1504" t="s">
        <v>67</v>
      </c>
      <c r="J1504" t="s">
        <v>2533</v>
      </c>
      <c r="M1504" t="s">
        <v>106</v>
      </c>
      <c r="P1504" t="s">
        <v>438</v>
      </c>
      <c r="Q1504" t="s">
        <v>47</v>
      </c>
      <c r="R1504" t="s">
        <v>48</v>
      </c>
      <c r="V1504" t="s">
        <v>49</v>
      </c>
      <c r="X1504" t="s">
        <v>49</v>
      </c>
      <c r="Y1504" t="s">
        <v>74</v>
      </c>
      <c r="Z1504" t="s">
        <v>2534</v>
      </c>
      <c r="AA1504" t="s">
        <v>2534</v>
      </c>
    </row>
    <row r="1505" spans="1:27" x14ac:dyDescent="0.35">
      <c r="A1505" t="str">
        <f t="shared" si="47"/>
        <v>608_C2</v>
      </c>
      <c r="B1505" t="str">
        <f t="shared" si="46"/>
        <v>608_</v>
      </c>
      <c r="C1505" t="s">
        <v>2544</v>
      </c>
      <c r="D1505" t="s">
        <v>1</v>
      </c>
      <c r="E1505" t="s">
        <v>65</v>
      </c>
      <c r="F1505" t="s">
        <v>66</v>
      </c>
      <c r="G1505" t="s">
        <v>757</v>
      </c>
      <c r="H1505" t="s">
        <v>42</v>
      </c>
      <c r="I1505" t="s">
        <v>67</v>
      </c>
      <c r="J1505" t="s">
        <v>2533</v>
      </c>
      <c r="M1505" t="s">
        <v>106</v>
      </c>
      <c r="P1505" t="s">
        <v>69</v>
      </c>
      <c r="Q1505" t="s">
        <v>47</v>
      </c>
      <c r="R1505" t="s">
        <v>48</v>
      </c>
      <c r="V1505" t="s">
        <v>49</v>
      </c>
      <c r="X1505" t="s">
        <v>49</v>
      </c>
      <c r="Y1505" t="s">
        <v>70</v>
      </c>
      <c r="Z1505" t="s">
        <v>2545</v>
      </c>
      <c r="AA1505" t="s">
        <v>2545</v>
      </c>
    </row>
    <row r="1506" spans="1:27" x14ac:dyDescent="0.35">
      <c r="A1506" t="str">
        <f t="shared" si="47"/>
        <v>1508D7</v>
      </c>
      <c r="B1506" t="str">
        <f t="shared" si="46"/>
        <v>1508</v>
      </c>
      <c r="C1506" t="s">
        <v>2546</v>
      </c>
      <c r="D1506" t="s">
        <v>6</v>
      </c>
      <c r="E1506" t="s">
        <v>94</v>
      </c>
      <c r="F1506" t="s">
        <v>111</v>
      </c>
      <c r="G1506" t="s">
        <v>757</v>
      </c>
      <c r="H1506" t="s">
        <v>42</v>
      </c>
      <c r="I1506" t="s">
        <v>43</v>
      </c>
      <c r="J1506" t="s">
        <v>2536</v>
      </c>
      <c r="M1506" t="s">
        <v>106</v>
      </c>
      <c r="P1506" t="s">
        <v>46</v>
      </c>
      <c r="Q1506" t="s">
        <v>47</v>
      </c>
      <c r="R1506" t="s">
        <v>48</v>
      </c>
      <c r="V1506" t="s">
        <v>49</v>
      </c>
      <c r="X1506" t="s">
        <v>49</v>
      </c>
      <c r="Y1506" t="s">
        <v>59</v>
      </c>
      <c r="Z1506" t="s">
        <v>2491</v>
      </c>
      <c r="AA1506" t="s">
        <v>2491</v>
      </c>
    </row>
    <row r="1507" spans="1:27" x14ac:dyDescent="0.35">
      <c r="A1507" t="str">
        <f t="shared" si="47"/>
        <v>608_D2</v>
      </c>
      <c r="B1507" t="str">
        <f t="shared" si="46"/>
        <v>608_</v>
      </c>
      <c r="C1507" t="s">
        <v>2547</v>
      </c>
      <c r="D1507" t="s">
        <v>2</v>
      </c>
      <c r="E1507" t="s">
        <v>62</v>
      </c>
      <c r="F1507" t="s">
        <v>63</v>
      </c>
      <c r="G1507" t="s">
        <v>757</v>
      </c>
      <c r="H1507" t="s">
        <v>42</v>
      </c>
      <c r="I1507" t="s">
        <v>67</v>
      </c>
      <c r="J1507" t="s">
        <v>2533</v>
      </c>
      <c r="K1507" t="s">
        <v>56</v>
      </c>
      <c r="M1507" t="s">
        <v>106</v>
      </c>
      <c r="P1507" t="s">
        <v>58</v>
      </c>
      <c r="Q1507" t="s">
        <v>47</v>
      </c>
      <c r="R1507" t="s">
        <v>48</v>
      </c>
      <c r="V1507" t="s">
        <v>49</v>
      </c>
      <c r="X1507" t="s">
        <v>49</v>
      </c>
      <c r="Y1507" t="s">
        <v>59</v>
      </c>
      <c r="Z1507" t="s">
        <v>1464</v>
      </c>
      <c r="AA1507" t="s">
        <v>1464</v>
      </c>
    </row>
    <row r="1508" spans="1:27" x14ac:dyDescent="0.35">
      <c r="A1508" t="str">
        <f t="shared" si="47"/>
        <v>608_D7</v>
      </c>
      <c r="B1508" t="str">
        <f t="shared" si="46"/>
        <v>608_</v>
      </c>
      <c r="C1508" t="s">
        <v>2548</v>
      </c>
      <c r="D1508" t="s">
        <v>6</v>
      </c>
      <c r="E1508" t="s">
        <v>94</v>
      </c>
      <c r="F1508" t="s">
        <v>111</v>
      </c>
      <c r="G1508" t="s">
        <v>757</v>
      </c>
      <c r="H1508" t="s">
        <v>42</v>
      </c>
      <c r="I1508" t="s">
        <v>67</v>
      </c>
      <c r="J1508" t="s">
        <v>2533</v>
      </c>
      <c r="M1508" t="s">
        <v>106</v>
      </c>
      <c r="P1508" t="s">
        <v>273</v>
      </c>
      <c r="Q1508" t="s">
        <v>47</v>
      </c>
      <c r="R1508" t="s">
        <v>48</v>
      </c>
      <c r="V1508" t="s">
        <v>49</v>
      </c>
      <c r="X1508" t="s">
        <v>49</v>
      </c>
      <c r="Y1508" t="s">
        <v>59</v>
      </c>
      <c r="Z1508" t="s">
        <v>2549</v>
      </c>
      <c r="AA1508" t="s">
        <v>2550</v>
      </c>
    </row>
    <row r="1509" spans="1:27" x14ac:dyDescent="0.35">
      <c r="A1509" t="str">
        <f t="shared" si="47"/>
        <v>608_D4</v>
      </c>
      <c r="B1509" t="str">
        <f t="shared" si="46"/>
        <v>608_</v>
      </c>
      <c r="C1509" t="s">
        <v>2551</v>
      </c>
      <c r="D1509" t="s">
        <v>3</v>
      </c>
      <c r="E1509" t="s">
        <v>52</v>
      </c>
      <c r="F1509" t="s">
        <v>53</v>
      </c>
      <c r="G1509" t="s">
        <v>757</v>
      </c>
      <c r="H1509" t="s">
        <v>42</v>
      </c>
      <c r="I1509" t="s">
        <v>67</v>
      </c>
      <c r="J1509" t="s">
        <v>2533</v>
      </c>
      <c r="K1509" t="s">
        <v>56</v>
      </c>
      <c r="M1509" t="s">
        <v>106</v>
      </c>
      <c r="P1509" t="s">
        <v>58</v>
      </c>
      <c r="Q1509" t="s">
        <v>47</v>
      </c>
      <c r="R1509" t="s">
        <v>48</v>
      </c>
      <c r="V1509" t="s">
        <v>49</v>
      </c>
      <c r="X1509" t="s">
        <v>49</v>
      </c>
      <c r="Y1509" t="s">
        <v>59</v>
      </c>
      <c r="Z1509" t="s">
        <v>3877</v>
      </c>
      <c r="AA1509" t="s">
        <v>3877</v>
      </c>
    </row>
    <row r="1510" spans="1:27" x14ac:dyDescent="0.35">
      <c r="A1510" t="str">
        <f t="shared" si="47"/>
        <v>607_F3</v>
      </c>
      <c r="B1510" t="str">
        <f t="shared" si="46"/>
        <v>607_</v>
      </c>
      <c r="C1510" t="s">
        <v>2552</v>
      </c>
      <c r="D1510" t="s">
        <v>5</v>
      </c>
      <c r="E1510" t="s">
        <v>40</v>
      </c>
      <c r="F1510" t="s">
        <v>73</v>
      </c>
      <c r="G1510" t="s">
        <v>757</v>
      </c>
      <c r="H1510" t="s">
        <v>42</v>
      </c>
      <c r="I1510" t="s">
        <v>67</v>
      </c>
      <c r="J1510" t="s">
        <v>2553</v>
      </c>
      <c r="M1510" t="s">
        <v>106</v>
      </c>
      <c r="P1510" t="s">
        <v>46</v>
      </c>
      <c r="Q1510" t="s">
        <v>47</v>
      </c>
      <c r="R1510" t="s">
        <v>48</v>
      </c>
      <c r="V1510" t="s">
        <v>49</v>
      </c>
      <c r="X1510" t="s">
        <v>49</v>
      </c>
      <c r="Y1510" t="s">
        <v>74</v>
      </c>
      <c r="Z1510" t="s">
        <v>2554</v>
      </c>
      <c r="AA1510" t="s">
        <v>2554</v>
      </c>
    </row>
    <row r="1511" spans="1:27" x14ac:dyDescent="0.35">
      <c r="A1511" t="str">
        <f t="shared" si="47"/>
        <v>607_F2</v>
      </c>
      <c r="B1511" t="str">
        <f t="shared" si="46"/>
        <v>607_</v>
      </c>
      <c r="C1511" t="s">
        <v>2555</v>
      </c>
      <c r="D1511" t="s">
        <v>4</v>
      </c>
      <c r="E1511" t="s">
        <v>77</v>
      </c>
      <c r="F1511" t="s">
        <v>78</v>
      </c>
      <c r="G1511" t="s">
        <v>757</v>
      </c>
      <c r="H1511" t="s">
        <v>42</v>
      </c>
      <c r="I1511" t="s">
        <v>67</v>
      </c>
      <c r="J1511" t="s">
        <v>2553</v>
      </c>
      <c r="M1511" t="s">
        <v>106</v>
      </c>
      <c r="P1511" t="s">
        <v>189</v>
      </c>
      <c r="Q1511" t="s">
        <v>47</v>
      </c>
      <c r="R1511" t="s">
        <v>48</v>
      </c>
      <c r="V1511" t="s">
        <v>49</v>
      </c>
      <c r="X1511" t="s">
        <v>49</v>
      </c>
      <c r="Y1511" t="s">
        <v>74</v>
      </c>
      <c r="Z1511" t="s">
        <v>2556</v>
      </c>
      <c r="AA1511" t="s">
        <v>2556</v>
      </c>
    </row>
    <row r="1512" spans="1:27" x14ac:dyDescent="0.35">
      <c r="A1512" t="str">
        <f t="shared" si="47"/>
        <v>607_C2</v>
      </c>
      <c r="B1512" t="str">
        <f t="shared" si="46"/>
        <v>607_</v>
      </c>
      <c r="C1512" t="s">
        <v>2557</v>
      </c>
      <c r="D1512" t="s">
        <v>1</v>
      </c>
      <c r="E1512" t="s">
        <v>65</v>
      </c>
      <c r="F1512" t="s">
        <v>66</v>
      </c>
      <c r="G1512" t="s">
        <v>757</v>
      </c>
      <c r="H1512" t="s">
        <v>42</v>
      </c>
      <c r="I1512" t="s">
        <v>67</v>
      </c>
      <c r="J1512" t="s">
        <v>2553</v>
      </c>
      <c r="M1512" t="s">
        <v>106</v>
      </c>
      <c r="P1512" t="s">
        <v>69</v>
      </c>
      <c r="Q1512" t="s">
        <v>47</v>
      </c>
      <c r="R1512" t="s">
        <v>48</v>
      </c>
      <c r="V1512" t="s">
        <v>49</v>
      </c>
      <c r="X1512" t="s">
        <v>49</v>
      </c>
      <c r="Y1512" t="s">
        <v>70</v>
      </c>
      <c r="Z1512" t="s">
        <v>2545</v>
      </c>
      <c r="AA1512" t="s">
        <v>2545</v>
      </c>
    </row>
    <row r="1513" spans="1:27" x14ac:dyDescent="0.35">
      <c r="A1513" t="str">
        <f t="shared" si="47"/>
        <v>607_D2</v>
      </c>
      <c r="B1513" t="str">
        <f t="shared" si="46"/>
        <v>607_</v>
      </c>
      <c r="C1513" t="s">
        <v>2558</v>
      </c>
      <c r="D1513" t="s">
        <v>2</v>
      </c>
      <c r="E1513" t="s">
        <v>62</v>
      </c>
      <c r="F1513" t="s">
        <v>63</v>
      </c>
      <c r="G1513" t="s">
        <v>757</v>
      </c>
      <c r="H1513" t="s">
        <v>42</v>
      </c>
      <c r="I1513" t="s">
        <v>67</v>
      </c>
      <c r="J1513" t="s">
        <v>2553</v>
      </c>
      <c r="K1513" t="s">
        <v>56</v>
      </c>
      <c r="M1513" t="s">
        <v>106</v>
      </c>
      <c r="P1513" t="s">
        <v>58</v>
      </c>
      <c r="Q1513" t="s">
        <v>47</v>
      </c>
      <c r="R1513" t="s">
        <v>48</v>
      </c>
      <c r="V1513" t="s">
        <v>49</v>
      </c>
      <c r="X1513" t="s">
        <v>49</v>
      </c>
      <c r="Y1513" t="s">
        <v>59</v>
      </c>
      <c r="Z1513" t="s">
        <v>3846</v>
      </c>
      <c r="AA1513" t="s">
        <v>3846</v>
      </c>
    </row>
    <row r="1514" spans="1:27" x14ac:dyDescent="0.35">
      <c r="A1514" t="str">
        <f t="shared" si="47"/>
        <v>1507F2</v>
      </c>
      <c r="B1514" t="str">
        <f t="shared" si="46"/>
        <v>1507</v>
      </c>
      <c r="C1514" t="s">
        <v>2559</v>
      </c>
      <c r="D1514" t="s">
        <v>4</v>
      </c>
      <c r="E1514" t="s">
        <v>77</v>
      </c>
      <c r="F1514" t="s">
        <v>78</v>
      </c>
      <c r="G1514" t="s">
        <v>757</v>
      </c>
      <c r="H1514" t="s">
        <v>42</v>
      </c>
      <c r="I1514" t="s">
        <v>67</v>
      </c>
      <c r="J1514" t="s">
        <v>2560</v>
      </c>
      <c r="M1514" t="s">
        <v>106</v>
      </c>
      <c r="P1514" t="s">
        <v>79</v>
      </c>
      <c r="Q1514" t="s">
        <v>47</v>
      </c>
      <c r="R1514" t="s">
        <v>48</v>
      </c>
      <c r="V1514" t="s">
        <v>49</v>
      </c>
      <c r="X1514" t="s">
        <v>49</v>
      </c>
      <c r="Y1514" t="s">
        <v>74</v>
      </c>
      <c r="Z1514" t="s">
        <v>2561</v>
      </c>
      <c r="AA1514" t="s">
        <v>2561</v>
      </c>
    </row>
    <row r="1515" spans="1:27" x14ac:dyDescent="0.35">
      <c r="A1515" t="str">
        <f t="shared" si="47"/>
        <v>607_D7</v>
      </c>
      <c r="B1515" t="str">
        <f t="shared" si="46"/>
        <v>607_</v>
      </c>
      <c r="C1515" t="s">
        <v>2562</v>
      </c>
      <c r="D1515" t="s">
        <v>6</v>
      </c>
      <c r="E1515" t="s">
        <v>94</v>
      </c>
      <c r="F1515" t="s">
        <v>111</v>
      </c>
      <c r="G1515" t="s">
        <v>757</v>
      </c>
      <c r="H1515" t="s">
        <v>42</v>
      </c>
      <c r="I1515" t="s">
        <v>67</v>
      </c>
      <c r="J1515" t="s">
        <v>2553</v>
      </c>
      <c r="M1515" t="s">
        <v>106</v>
      </c>
      <c r="P1515" t="s">
        <v>46</v>
      </c>
      <c r="Q1515" t="s">
        <v>47</v>
      </c>
      <c r="R1515" t="s">
        <v>48</v>
      </c>
      <c r="V1515" t="s">
        <v>49</v>
      </c>
      <c r="X1515" t="s">
        <v>49</v>
      </c>
      <c r="Y1515" t="s">
        <v>59</v>
      </c>
      <c r="Z1515" t="s">
        <v>2550</v>
      </c>
      <c r="AA1515" t="s">
        <v>2550</v>
      </c>
    </row>
    <row r="1516" spans="1:27" x14ac:dyDescent="0.35">
      <c r="A1516" t="str">
        <f t="shared" si="47"/>
        <v>1507D4</v>
      </c>
      <c r="B1516" t="str">
        <f t="shared" si="46"/>
        <v>1507</v>
      </c>
      <c r="C1516" t="s">
        <v>2563</v>
      </c>
      <c r="D1516" t="s">
        <v>3</v>
      </c>
      <c r="E1516" t="s">
        <v>52</v>
      </c>
      <c r="F1516" t="s">
        <v>53</v>
      </c>
      <c r="G1516" t="s">
        <v>757</v>
      </c>
      <c r="H1516" t="s">
        <v>42</v>
      </c>
      <c r="I1516" t="s">
        <v>43</v>
      </c>
      <c r="J1516" t="s">
        <v>2560</v>
      </c>
      <c r="K1516" t="s">
        <v>56</v>
      </c>
      <c r="M1516" t="s">
        <v>106</v>
      </c>
      <c r="P1516" t="s">
        <v>58</v>
      </c>
      <c r="Q1516" t="s">
        <v>47</v>
      </c>
      <c r="R1516" t="s">
        <v>48</v>
      </c>
      <c r="V1516" t="s">
        <v>49</v>
      </c>
      <c r="X1516" t="s">
        <v>49</v>
      </c>
      <c r="Y1516" t="s">
        <v>59</v>
      </c>
      <c r="Z1516" t="s">
        <v>2043</v>
      </c>
      <c r="AA1516" t="s">
        <v>2043</v>
      </c>
    </row>
    <row r="1517" spans="1:27" x14ac:dyDescent="0.35">
      <c r="A1517" t="str">
        <f t="shared" si="47"/>
        <v>607_D4</v>
      </c>
      <c r="B1517" t="str">
        <f t="shared" si="46"/>
        <v>607_</v>
      </c>
      <c r="C1517" t="s">
        <v>2564</v>
      </c>
      <c r="D1517" t="s">
        <v>3</v>
      </c>
      <c r="E1517" t="s">
        <v>52</v>
      </c>
      <c r="F1517" t="s">
        <v>53</v>
      </c>
      <c r="G1517" t="s">
        <v>757</v>
      </c>
      <c r="H1517" t="s">
        <v>42</v>
      </c>
      <c r="I1517" t="s">
        <v>67</v>
      </c>
      <c r="J1517" t="s">
        <v>2553</v>
      </c>
      <c r="K1517" t="s">
        <v>56</v>
      </c>
      <c r="M1517" t="s">
        <v>106</v>
      </c>
      <c r="P1517" t="s">
        <v>58</v>
      </c>
      <c r="Q1517" t="s">
        <v>47</v>
      </c>
      <c r="R1517" t="s">
        <v>48</v>
      </c>
      <c r="V1517" t="s">
        <v>49</v>
      </c>
      <c r="X1517" t="s">
        <v>49</v>
      </c>
      <c r="Y1517" t="s">
        <v>59</v>
      </c>
      <c r="Z1517" t="s">
        <v>3846</v>
      </c>
      <c r="AA1517" t="s">
        <v>3846</v>
      </c>
    </row>
    <row r="1518" spans="1:27" x14ac:dyDescent="0.35">
      <c r="A1518" t="str">
        <f t="shared" si="47"/>
        <v>1507D2</v>
      </c>
      <c r="B1518" t="str">
        <f t="shared" si="46"/>
        <v>1507</v>
      </c>
      <c r="C1518" t="s">
        <v>2565</v>
      </c>
      <c r="D1518" t="s">
        <v>2</v>
      </c>
      <c r="E1518" t="s">
        <v>62</v>
      </c>
      <c r="F1518" t="s">
        <v>63</v>
      </c>
      <c r="G1518" t="s">
        <v>757</v>
      </c>
      <c r="H1518" t="s">
        <v>42</v>
      </c>
      <c r="I1518" t="s">
        <v>43</v>
      </c>
      <c r="J1518" t="s">
        <v>2560</v>
      </c>
      <c r="K1518" t="s">
        <v>56</v>
      </c>
      <c r="M1518" t="s">
        <v>106</v>
      </c>
      <c r="P1518" t="s">
        <v>58</v>
      </c>
      <c r="Q1518" t="s">
        <v>47</v>
      </c>
      <c r="R1518" t="s">
        <v>48</v>
      </c>
      <c r="V1518" t="s">
        <v>49</v>
      </c>
      <c r="X1518" t="s">
        <v>49</v>
      </c>
      <c r="Y1518" t="s">
        <v>59</v>
      </c>
      <c r="Z1518" t="s">
        <v>2566</v>
      </c>
      <c r="AA1518" t="s">
        <v>2566</v>
      </c>
    </row>
    <row r="1519" spans="1:27" x14ac:dyDescent="0.35">
      <c r="A1519" t="str">
        <f t="shared" si="47"/>
        <v>606_F3</v>
      </c>
      <c r="B1519" t="str">
        <f t="shared" si="46"/>
        <v>606_</v>
      </c>
      <c r="C1519" t="s">
        <v>2567</v>
      </c>
      <c r="D1519" t="s">
        <v>5</v>
      </c>
      <c r="E1519" t="s">
        <v>40</v>
      </c>
      <c r="F1519" t="s">
        <v>73</v>
      </c>
      <c r="G1519" t="s">
        <v>757</v>
      </c>
      <c r="H1519" t="s">
        <v>42</v>
      </c>
      <c r="I1519" t="s">
        <v>67</v>
      </c>
      <c r="J1519" t="s">
        <v>2568</v>
      </c>
      <c r="M1519" t="s">
        <v>106</v>
      </c>
      <c r="P1519" t="s">
        <v>46</v>
      </c>
      <c r="Q1519" t="s">
        <v>47</v>
      </c>
      <c r="R1519" t="s">
        <v>48</v>
      </c>
      <c r="V1519" t="s">
        <v>49</v>
      </c>
      <c r="X1519" t="s">
        <v>49</v>
      </c>
      <c r="Y1519" t="s">
        <v>74</v>
      </c>
      <c r="Z1519" t="s">
        <v>2556</v>
      </c>
      <c r="AA1519" t="s">
        <v>2556</v>
      </c>
    </row>
    <row r="1520" spans="1:27" x14ac:dyDescent="0.35">
      <c r="A1520" t="str">
        <f t="shared" si="47"/>
        <v>1507F3</v>
      </c>
      <c r="B1520" t="str">
        <f t="shared" si="46"/>
        <v>1507</v>
      </c>
      <c r="C1520" t="s">
        <v>2569</v>
      </c>
      <c r="D1520" t="s">
        <v>5</v>
      </c>
      <c r="E1520" t="s">
        <v>40</v>
      </c>
      <c r="F1520" t="s">
        <v>73</v>
      </c>
      <c r="G1520" t="s">
        <v>757</v>
      </c>
      <c r="H1520" t="s">
        <v>42</v>
      </c>
      <c r="I1520" t="s">
        <v>67</v>
      </c>
      <c r="J1520" t="s">
        <v>2560</v>
      </c>
      <c r="M1520" t="s">
        <v>106</v>
      </c>
      <c r="P1520" t="s">
        <v>58</v>
      </c>
      <c r="Q1520" t="s">
        <v>47</v>
      </c>
      <c r="R1520" t="s">
        <v>48</v>
      </c>
      <c r="V1520" t="s">
        <v>49</v>
      </c>
      <c r="X1520" t="s">
        <v>49</v>
      </c>
      <c r="Y1520" t="s">
        <v>74</v>
      </c>
      <c r="Z1520" t="s">
        <v>2570</v>
      </c>
      <c r="AA1520" t="s">
        <v>2570</v>
      </c>
    </row>
    <row r="1521" spans="1:27" x14ac:dyDescent="0.35">
      <c r="A1521" t="str">
        <f t="shared" si="47"/>
        <v>1507C2</v>
      </c>
      <c r="B1521" t="str">
        <f t="shared" si="46"/>
        <v>1507</v>
      </c>
      <c r="C1521" t="s">
        <v>2571</v>
      </c>
      <c r="D1521" t="s">
        <v>1</v>
      </c>
      <c r="E1521" t="s">
        <v>65</v>
      </c>
      <c r="F1521" t="s">
        <v>66</v>
      </c>
      <c r="G1521" t="s">
        <v>757</v>
      </c>
      <c r="H1521" t="s">
        <v>42</v>
      </c>
      <c r="I1521" t="s">
        <v>67</v>
      </c>
      <c r="J1521" t="s">
        <v>2560</v>
      </c>
      <c r="M1521" t="s">
        <v>106</v>
      </c>
      <c r="P1521" t="s">
        <v>69</v>
      </c>
      <c r="Q1521" t="s">
        <v>47</v>
      </c>
      <c r="R1521" t="s">
        <v>48</v>
      </c>
      <c r="V1521" t="s">
        <v>49</v>
      </c>
      <c r="X1521" t="s">
        <v>49</v>
      </c>
      <c r="Y1521" t="s">
        <v>70</v>
      </c>
      <c r="Z1521" t="s">
        <v>225</v>
      </c>
      <c r="AA1521" t="s">
        <v>225</v>
      </c>
    </row>
    <row r="1522" spans="1:27" x14ac:dyDescent="0.35">
      <c r="A1522" t="str">
        <f t="shared" si="47"/>
        <v>1507D7</v>
      </c>
      <c r="B1522" t="str">
        <f t="shared" si="46"/>
        <v>1507</v>
      </c>
      <c r="C1522" t="s">
        <v>2572</v>
      </c>
      <c r="D1522" t="s">
        <v>6</v>
      </c>
      <c r="E1522" t="s">
        <v>94</v>
      </c>
      <c r="F1522" t="s">
        <v>111</v>
      </c>
      <c r="G1522" t="s">
        <v>757</v>
      </c>
      <c r="H1522" t="s">
        <v>42</v>
      </c>
      <c r="I1522" t="s">
        <v>43</v>
      </c>
      <c r="J1522" t="s">
        <v>2560</v>
      </c>
      <c r="M1522" t="s">
        <v>106</v>
      </c>
      <c r="P1522" t="s">
        <v>46</v>
      </c>
      <c r="Q1522" t="s">
        <v>47</v>
      </c>
      <c r="R1522" t="s">
        <v>48</v>
      </c>
      <c r="V1522" t="s">
        <v>49</v>
      </c>
      <c r="X1522" t="s">
        <v>49</v>
      </c>
      <c r="Y1522" t="s">
        <v>59</v>
      </c>
      <c r="Z1522" t="s">
        <v>2573</v>
      </c>
      <c r="AA1522" t="s">
        <v>2573</v>
      </c>
    </row>
    <row r="1523" spans="1:27" x14ac:dyDescent="0.35">
      <c r="A1523" t="str">
        <f t="shared" si="47"/>
        <v>606_F2</v>
      </c>
      <c r="B1523" t="str">
        <f t="shared" si="46"/>
        <v>606_</v>
      </c>
      <c r="C1523" t="s">
        <v>2574</v>
      </c>
      <c r="D1523" t="s">
        <v>4</v>
      </c>
      <c r="E1523" t="s">
        <v>77</v>
      </c>
      <c r="F1523" t="s">
        <v>78</v>
      </c>
      <c r="G1523" t="s">
        <v>757</v>
      </c>
      <c r="H1523" t="s">
        <v>42</v>
      </c>
      <c r="I1523" t="s">
        <v>67</v>
      </c>
      <c r="J1523" t="s">
        <v>2568</v>
      </c>
      <c r="M1523" t="s">
        <v>106</v>
      </c>
      <c r="P1523" t="s">
        <v>79</v>
      </c>
      <c r="Q1523" t="s">
        <v>47</v>
      </c>
      <c r="R1523" t="s">
        <v>48</v>
      </c>
      <c r="V1523" t="s">
        <v>49</v>
      </c>
      <c r="X1523" t="s">
        <v>49</v>
      </c>
      <c r="Y1523" t="s">
        <v>74</v>
      </c>
      <c r="Z1523" t="s">
        <v>2575</v>
      </c>
      <c r="AA1523" t="s">
        <v>2575</v>
      </c>
    </row>
    <row r="1524" spans="1:27" x14ac:dyDescent="0.35">
      <c r="A1524" t="str">
        <f t="shared" si="47"/>
        <v>606_C2</v>
      </c>
      <c r="B1524" t="str">
        <f t="shared" si="46"/>
        <v>606_</v>
      </c>
      <c r="C1524" t="s">
        <v>2576</v>
      </c>
      <c r="D1524" t="s">
        <v>1</v>
      </c>
      <c r="E1524" t="s">
        <v>65</v>
      </c>
      <c r="F1524" t="s">
        <v>66</v>
      </c>
      <c r="G1524" t="s">
        <v>757</v>
      </c>
      <c r="H1524" t="s">
        <v>42</v>
      </c>
      <c r="I1524" t="s">
        <v>67</v>
      </c>
      <c r="J1524" t="s">
        <v>2568</v>
      </c>
      <c r="M1524" t="s">
        <v>106</v>
      </c>
      <c r="P1524" t="s">
        <v>69</v>
      </c>
      <c r="Q1524" t="s">
        <v>47</v>
      </c>
      <c r="R1524" t="s">
        <v>48</v>
      </c>
      <c r="V1524" t="s">
        <v>49</v>
      </c>
      <c r="X1524" t="s">
        <v>49</v>
      </c>
      <c r="Y1524" t="s">
        <v>70</v>
      </c>
      <c r="Z1524" t="s">
        <v>2577</v>
      </c>
      <c r="AA1524" t="s">
        <v>2577</v>
      </c>
    </row>
    <row r="1525" spans="1:27" x14ac:dyDescent="0.35">
      <c r="A1525" t="str">
        <f t="shared" si="47"/>
        <v>606_D2</v>
      </c>
      <c r="B1525" t="str">
        <f t="shared" si="46"/>
        <v>606_</v>
      </c>
      <c r="C1525" t="s">
        <v>2578</v>
      </c>
      <c r="D1525" t="s">
        <v>2</v>
      </c>
      <c r="E1525" t="s">
        <v>62</v>
      </c>
      <c r="F1525" t="s">
        <v>63</v>
      </c>
      <c r="G1525" t="s">
        <v>757</v>
      </c>
      <c r="H1525" t="s">
        <v>42</v>
      </c>
      <c r="I1525" t="s">
        <v>67</v>
      </c>
      <c r="J1525" t="s">
        <v>2568</v>
      </c>
      <c r="K1525" t="s">
        <v>56</v>
      </c>
      <c r="M1525" t="s">
        <v>106</v>
      </c>
      <c r="P1525" t="s">
        <v>58</v>
      </c>
      <c r="Q1525" t="s">
        <v>47</v>
      </c>
      <c r="R1525" t="s">
        <v>48</v>
      </c>
      <c r="V1525" t="s">
        <v>49</v>
      </c>
      <c r="X1525" t="s">
        <v>49</v>
      </c>
      <c r="Y1525" t="s">
        <v>59</v>
      </c>
      <c r="Z1525" t="s">
        <v>2579</v>
      </c>
      <c r="AA1525" t="s">
        <v>2579</v>
      </c>
    </row>
    <row r="1526" spans="1:27" x14ac:dyDescent="0.35">
      <c r="A1526" t="str">
        <f t="shared" si="47"/>
        <v>606_D7</v>
      </c>
      <c r="B1526" t="str">
        <f t="shared" si="46"/>
        <v>606_</v>
      </c>
      <c r="C1526" t="s">
        <v>2580</v>
      </c>
      <c r="D1526" t="s">
        <v>6</v>
      </c>
      <c r="E1526" t="s">
        <v>94</v>
      </c>
      <c r="F1526" t="s">
        <v>111</v>
      </c>
      <c r="G1526" t="s">
        <v>757</v>
      </c>
      <c r="H1526" t="s">
        <v>42</v>
      </c>
      <c r="I1526" t="s">
        <v>67</v>
      </c>
      <c r="J1526" t="s">
        <v>2568</v>
      </c>
      <c r="M1526" t="s">
        <v>106</v>
      </c>
      <c r="P1526" t="s">
        <v>46</v>
      </c>
      <c r="Q1526" t="s">
        <v>47</v>
      </c>
      <c r="R1526" t="s">
        <v>48</v>
      </c>
      <c r="V1526" t="s">
        <v>49</v>
      </c>
      <c r="X1526" t="s">
        <v>49</v>
      </c>
      <c r="Y1526" t="s">
        <v>59</v>
      </c>
      <c r="Z1526" t="s">
        <v>2550</v>
      </c>
      <c r="AA1526" t="s">
        <v>2550</v>
      </c>
    </row>
    <row r="1527" spans="1:27" x14ac:dyDescent="0.35">
      <c r="A1527" t="str">
        <f t="shared" si="47"/>
        <v>606_D4</v>
      </c>
      <c r="B1527" t="str">
        <f t="shared" si="46"/>
        <v>606_</v>
      </c>
      <c r="C1527" t="s">
        <v>2581</v>
      </c>
      <c r="D1527" t="s">
        <v>3</v>
      </c>
      <c r="E1527" t="s">
        <v>52</v>
      </c>
      <c r="F1527" t="s">
        <v>53</v>
      </c>
      <c r="G1527" t="s">
        <v>757</v>
      </c>
      <c r="H1527" t="s">
        <v>42</v>
      </c>
      <c r="I1527" t="s">
        <v>67</v>
      </c>
      <c r="J1527" t="s">
        <v>2568</v>
      </c>
      <c r="K1527" t="s">
        <v>56</v>
      </c>
      <c r="M1527" t="s">
        <v>106</v>
      </c>
      <c r="P1527" t="s">
        <v>58</v>
      </c>
      <c r="Q1527" t="s">
        <v>47</v>
      </c>
      <c r="R1527" t="s">
        <v>48</v>
      </c>
      <c r="V1527" t="s">
        <v>49</v>
      </c>
      <c r="X1527" t="s">
        <v>49</v>
      </c>
      <c r="Y1527" t="s">
        <v>59</v>
      </c>
      <c r="Z1527" t="s">
        <v>3864</v>
      </c>
      <c r="AA1527" t="s">
        <v>3864</v>
      </c>
    </row>
    <row r="1528" spans="1:27" x14ac:dyDescent="0.35">
      <c r="A1528" t="str">
        <f t="shared" si="47"/>
        <v>605_F3</v>
      </c>
      <c r="B1528" t="str">
        <f t="shared" si="46"/>
        <v>605_</v>
      </c>
      <c r="C1528" t="s">
        <v>2582</v>
      </c>
      <c r="D1528" t="s">
        <v>5</v>
      </c>
      <c r="E1528" t="s">
        <v>40</v>
      </c>
      <c r="F1528" t="s">
        <v>73</v>
      </c>
      <c r="G1528" t="s">
        <v>757</v>
      </c>
      <c r="H1528" t="s">
        <v>42</v>
      </c>
      <c r="I1528" t="s">
        <v>67</v>
      </c>
      <c r="J1528" t="s">
        <v>2583</v>
      </c>
      <c r="M1528" t="s">
        <v>106</v>
      </c>
      <c r="P1528" t="s">
        <v>46</v>
      </c>
      <c r="Q1528" t="s">
        <v>47</v>
      </c>
      <c r="R1528" t="s">
        <v>48</v>
      </c>
      <c r="V1528" t="s">
        <v>49</v>
      </c>
      <c r="X1528" t="s">
        <v>49</v>
      </c>
      <c r="Y1528" t="s">
        <v>74</v>
      </c>
      <c r="Z1528" t="s">
        <v>2575</v>
      </c>
      <c r="AA1528" t="s">
        <v>2575</v>
      </c>
    </row>
    <row r="1529" spans="1:27" x14ac:dyDescent="0.35">
      <c r="A1529" t="str">
        <f t="shared" si="47"/>
        <v>605_F2</v>
      </c>
      <c r="B1529" t="str">
        <f t="shared" si="46"/>
        <v>605_</v>
      </c>
      <c r="C1529" t="s">
        <v>2584</v>
      </c>
      <c r="D1529" t="s">
        <v>4</v>
      </c>
      <c r="E1529" t="s">
        <v>77</v>
      </c>
      <c r="F1529" t="s">
        <v>78</v>
      </c>
      <c r="G1529" t="s">
        <v>757</v>
      </c>
      <c r="H1529" t="s">
        <v>42</v>
      </c>
      <c r="I1529" t="s">
        <v>67</v>
      </c>
      <c r="J1529" t="s">
        <v>2583</v>
      </c>
      <c r="M1529" t="s">
        <v>106</v>
      </c>
      <c r="P1529" t="s">
        <v>91</v>
      </c>
      <c r="Q1529" t="s">
        <v>47</v>
      </c>
      <c r="R1529" t="s">
        <v>48</v>
      </c>
      <c r="V1529" t="s">
        <v>49</v>
      </c>
      <c r="X1529" t="s">
        <v>49</v>
      </c>
      <c r="Y1529" t="s">
        <v>74</v>
      </c>
      <c r="Z1529" t="s">
        <v>2575</v>
      </c>
      <c r="AA1529" t="s">
        <v>2575</v>
      </c>
    </row>
    <row r="1530" spans="1:27" x14ac:dyDescent="0.35">
      <c r="A1530" t="str">
        <f t="shared" si="47"/>
        <v>1506F2</v>
      </c>
      <c r="B1530" t="str">
        <f t="shared" si="46"/>
        <v>1506</v>
      </c>
      <c r="C1530" t="s">
        <v>2585</v>
      </c>
      <c r="D1530" t="s">
        <v>4</v>
      </c>
      <c r="E1530" t="s">
        <v>77</v>
      </c>
      <c r="F1530" t="s">
        <v>78</v>
      </c>
      <c r="G1530" t="s">
        <v>757</v>
      </c>
      <c r="H1530" t="s">
        <v>42</v>
      </c>
      <c r="I1530" t="s">
        <v>67</v>
      </c>
      <c r="J1530" t="s">
        <v>2586</v>
      </c>
      <c r="M1530" t="s">
        <v>106</v>
      </c>
      <c r="P1530" t="s">
        <v>189</v>
      </c>
      <c r="Q1530" t="s">
        <v>47</v>
      </c>
      <c r="R1530" t="s">
        <v>48</v>
      </c>
      <c r="V1530" t="s">
        <v>49</v>
      </c>
      <c r="X1530" t="s">
        <v>49</v>
      </c>
      <c r="Y1530" t="s">
        <v>74</v>
      </c>
      <c r="Z1530" t="s">
        <v>2587</v>
      </c>
      <c r="AA1530" t="s">
        <v>2587</v>
      </c>
    </row>
    <row r="1531" spans="1:27" x14ac:dyDescent="0.35">
      <c r="A1531" t="str">
        <f t="shared" si="47"/>
        <v>605_C2</v>
      </c>
      <c r="B1531" t="str">
        <f t="shared" si="46"/>
        <v>605_</v>
      </c>
      <c r="C1531" t="s">
        <v>2588</v>
      </c>
      <c r="D1531" t="s">
        <v>1</v>
      </c>
      <c r="E1531" t="s">
        <v>65</v>
      </c>
      <c r="F1531" t="s">
        <v>66</v>
      </c>
      <c r="G1531" t="s">
        <v>757</v>
      </c>
      <c r="H1531" t="s">
        <v>42</v>
      </c>
      <c r="I1531" t="s">
        <v>67</v>
      </c>
      <c r="J1531" t="s">
        <v>2583</v>
      </c>
      <c r="M1531" t="s">
        <v>106</v>
      </c>
      <c r="P1531" t="s">
        <v>69</v>
      </c>
      <c r="Q1531" t="s">
        <v>47</v>
      </c>
      <c r="R1531" t="s">
        <v>48</v>
      </c>
      <c r="V1531" t="s">
        <v>49</v>
      </c>
      <c r="X1531" t="s">
        <v>49</v>
      </c>
      <c r="Y1531" t="s">
        <v>70</v>
      </c>
      <c r="Z1531" t="s">
        <v>2577</v>
      </c>
      <c r="AA1531" t="s">
        <v>2577</v>
      </c>
    </row>
    <row r="1532" spans="1:27" x14ac:dyDescent="0.35">
      <c r="A1532" t="str">
        <f t="shared" si="47"/>
        <v>1506D4</v>
      </c>
      <c r="B1532" t="str">
        <f t="shared" si="46"/>
        <v>1506</v>
      </c>
      <c r="C1532" t="s">
        <v>2589</v>
      </c>
      <c r="D1532" t="s">
        <v>3</v>
      </c>
      <c r="E1532" t="s">
        <v>52</v>
      </c>
      <c r="F1532" t="s">
        <v>53</v>
      </c>
      <c r="G1532" t="s">
        <v>757</v>
      </c>
      <c r="H1532" t="s">
        <v>42</v>
      </c>
      <c r="I1532" t="s">
        <v>43</v>
      </c>
      <c r="J1532" t="s">
        <v>2586</v>
      </c>
      <c r="K1532" t="s">
        <v>56</v>
      </c>
      <c r="M1532" t="s">
        <v>106</v>
      </c>
      <c r="P1532" t="s">
        <v>58</v>
      </c>
      <c r="Q1532" t="s">
        <v>47</v>
      </c>
      <c r="R1532" t="s">
        <v>48</v>
      </c>
      <c r="V1532" t="s">
        <v>49</v>
      </c>
      <c r="X1532" t="s">
        <v>49</v>
      </c>
      <c r="Y1532" t="s">
        <v>59</v>
      </c>
      <c r="Z1532" t="s">
        <v>2590</v>
      </c>
      <c r="AA1532" t="s">
        <v>2590</v>
      </c>
    </row>
    <row r="1533" spans="1:27" x14ac:dyDescent="0.35">
      <c r="A1533" t="str">
        <f t="shared" si="47"/>
        <v>605_D2</v>
      </c>
      <c r="B1533" t="str">
        <f t="shared" si="46"/>
        <v>605_</v>
      </c>
      <c r="C1533" t="s">
        <v>2591</v>
      </c>
      <c r="D1533" t="s">
        <v>2</v>
      </c>
      <c r="E1533" t="s">
        <v>62</v>
      </c>
      <c r="F1533" t="s">
        <v>63</v>
      </c>
      <c r="G1533" t="s">
        <v>757</v>
      </c>
      <c r="H1533" t="s">
        <v>42</v>
      </c>
      <c r="I1533" t="s">
        <v>67</v>
      </c>
      <c r="J1533" t="s">
        <v>2583</v>
      </c>
      <c r="K1533" t="s">
        <v>56</v>
      </c>
      <c r="M1533" t="s">
        <v>106</v>
      </c>
      <c r="P1533" t="s">
        <v>58</v>
      </c>
      <c r="Q1533" t="s">
        <v>47</v>
      </c>
      <c r="R1533" t="s">
        <v>48</v>
      </c>
      <c r="V1533" t="s">
        <v>49</v>
      </c>
      <c r="X1533" t="s">
        <v>49</v>
      </c>
      <c r="Y1533" t="s">
        <v>59</v>
      </c>
      <c r="Z1533" t="s">
        <v>3848</v>
      </c>
      <c r="AA1533" t="s">
        <v>3848</v>
      </c>
    </row>
    <row r="1534" spans="1:27" x14ac:dyDescent="0.35">
      <c r="A1534" t="str">
        <f t="shared" si="47"/>
        <v>1506D2</v>
      </c>
      <c r="B1534" t="str">
        <f t="shared" si="46"/>
        <v>1506</v>
      </c>
      <c r="C1534" t="s">
        <v>2592</v>
      </c>
      <c r="D1534" t="s">
        <v>2</v>
      </c>
      <c r="E1534" t="s">
        <v>62</v>
      </c>
      <c r="F1534" t="s">
        <v>63</v>
      </c>
      <c r="G1534" t="s">
        <v>757</v>
      </c>
      <c r="H1534" t="s">
        <v>42</v>
      </c>
      <c r="I1534" t="s">
        <v>43</v>
      </c>
      <c r="J1534" t="s">
        <v>2586</v>
      </c>
      <c r="K1534" t="s">
        <v>56</v>
      </c>
      <c r="M1534" t="s">
        <v>106</v>
      </c>
      <c r="P1534" t="s">
        <v>58</v>
      </c>
      <c r="Q1534" t="s">
        <v>47</v>
      </c>
      <c r="R1534" t="s">
        <v>48</v>
      </c>
      <c r="V1534" t="s">
        <v>49</v>
      </c>
      <c r="X1534" t="s">
        <v>49</v>
      </c>
      <c r="Y1534" t="s">
        <v>59</v>
      </c>
      <c r="Z1534" t="s">
        <v>2566</v>
      </c>
      <c r="AA1534" t="s">
        <v>2566</v>
      </c>
    </row>
    <row r="1535" spans="1:27" x14ac:dyDescent="0.35">
      <c r="A1535" t="str">
        <f t="shared" si="47"/>
        <v>605_D7</v>
      </c>
      <c r="B1535" t="str">
        <f t="shared" si="46"/>
        <v>605_</v>
      </c>
      <c r="C1535" t="s">
        <v>2593</v>
      </c>
      <c r="D1535" t="s">
        <v>6</v>
      </c>
      <c r="E1535" t="s">
        <v>94</v>
      </c>
      <c r="F1535" t="s">
        <v>111</v>
      </c>
      <c r="G1535" t="s">
        <v>757</v>
      </c>
      <c r="H1535" t="s">
        <v>42</v>
      </c>
      <c r="I1535" t="s">
        <v>67</v>
      </c>
      <c r="J1535" t="s">
        <v>2583</v>
      </c>
      <c r="M1535" t="s">
        <v>106</v>
      </c>
      <c r="P1535" t="s">
        <v>46</v>
      </c>
      <c r="Q1535" t="s">
        <v>47</v>
      </c>
      <c r="R1535" t="s">
        <v>48</v>
      </c>
      <c r="V1535" t="s">
        <v>49</v>
      </c>
      <c r="X1535" t="s">
        <v>49</v>
      </c>
      <c r="Y1535" t="s">
        <v>59</v>
      </c>
      <c r="Z1535" t="s">
        <v>2594</v>
      </c>
      <c r="AA1535" t="s">
        <v>2594</v>
      </c>
    </row>
    <row r="1536" spans="1:27" x14ac:dyDescent="0.35">
      <c r="A1536" t="str">
        <f t="shared" si="47"/>
        <v>1506F3</v>
      </c>
      <c r="B1536" t="str">
        <f t="shared" si="46"/>
        <v>1506</v>
      </c>
      <c r="C1536" t="s">
        <v>2595</v>
      </c>
      <c r="D1536" t="s">
        <v>5</v>
      </c>
      <c r="E1536" t="s">
        <v>40</v>
      </c>
      <c r="F1536" t="s">
        <v>73</v>
      </c>
      <c r="G1536" t="s">
        <v>757</v>
      </c>
      <c r="H1536" t="s">
        <v>42</v>
      </c>
      <c r="I1536" t="s">
        <v>67</v>
      </c>
      <c r="J1536" t="s">
        <v>2586</v>
      </c>
      <c r="M1536" t="s">
        <v>106</v>
      </c>
      <c r="P1536" t="s">
        <v>58</v>
      </c>
      <c r="Q1536" t="s">
        <v>47</v>
      </c>
      <c r="R1536" t="s">
        <v>48</v>
      </c>
      <c r="V1536" t="s">
        <v>49</v>
      </c>
      <c r="X1536" t="s">
        <v>49</v>
      </c>
      <c r="Y1536" t="s">
        <v>74</v>
      </c>
      <c r="Z1536" t="s">
        <v>2596</v>
      </c>
      <c r="AA1536" t="s">
        <v>2596</v>
      </c>
    </row>
    <row r="1537" spans="1:27" x14ac:dyDescent="0.35">
      <c r="A1537" t="str">
        <f t="shared" si="47"/>
        <v>605_D4</v>
      </c>
      <c r="B1537" t="str">
        <f t="shared" si="46"/>
        <v>605_</v>
      </c>
      <c r="C1537" t="s">
        <v>2597</v>
      </c>
      <c r="D1537" t="s">
        <v>3</v>
      </c>
      <c r="E1537" t="s">
        <v>52</v>
      </c>
      <c r="F1537" t="s">
        <v>53</v>
      </c>
      <c r="G1537" t="s">
        <v>757</v>
      </c>
      <c r="H1537" t="s">
        <v>42</v>
      </c>
      <c r="I1537" t="s">
        <v>67</v>
      </c>
      <c r="J1537" t="s">
        <v>2583</v>
      </c>
      <c r="K1537" t="s">
        <v>56</v>
      </c>
      <c r="M1537" t="s">
        <v>106</v>
      </c>
      <c r="P1537" t="s">
        <v>58</v>
      </c>
      <c r="Q1537" t="s">
        <v>47</v>
      </c>
      <c r="R1537" t="s">
        <v>48</v>
      </c>
      <c r="V1537" t="s">
        <v>49</v>
      </c>
      <c r="X1537" t="s">
        <v>49</v>
      </c>
      <c r="Y1537" t="s">
        <v>59</v>
      </c>
      <c r="Z1537" t="s">
        <v>3864</v>
      </c>
      <c r="AA1537" t="s">
        <v>3864</v>
      </c>
    </row>
    <row r="1538" spans="1:27" x14ac:dyDescent="0.35">
      <c r="A1538" t="str">
        <f t="shared" si="47"/>
        <v>1506C2</v>
      </c>
      <c r="B1538" t="str">
        <f t="shared" ref="B1538:B1601" si="48">LEFT($J:$J,4)</f>
        <v>1506</v>
      </c>
      <c r="C1538" t="s">
        <v>2598</v>
      </c>
      <c r="D1538" t="s">
        <v>1</v>
      </c>
      <c r="E1538" t="s">
        <v>65</v>
      </c>
      <c r="F1538" t="s">
        <v>66</v>
      </c>
      <c r="G1538" t="s">
        <v>757</v>
      </c>
      <c r="H1538" t="s">
        <v>42</v>
      </c>
      <c r="I1538" t="s">
        <v>67</v>
      </c>
      <c r="J1538" t="s">
        <v>2586</v>
      </c>
      <c r="M1538" t="s">
        <v>106</v>
      </c>
      <c r="P1538" t="s">
        <v>69</v>
      </c>
      <c r="Q1538" t="s">
        <v>47</v>
      </c>
      <c r="R1538" t="s">
        <v>48</v>
      </c>
      <c r="V1538" t="s">
        <v>49</v>
      </c>
      <c r="X1538" t="s">
        <v>49</v>
      </c>
      <c r="Y1538" t="s">
        <v>70</v>
      </c>
      <c r="Z1538" t="s">
        <v>2599</v>
      </c>
      <c r="AA1538" t="s">
        <v>2599</v>
      </c>
    </row>
    <row r="1539" spans="1:27" x14ac:dyDescent="0.35">
      <c r="A1539" t="str">
        <f t="shared" ref="A1539:A1602" si="49">B1539&amp;D1539</f>
        <v>604_F3</v>
      </c>
      <c r="B1539" t="str">
        <f t="shared" si="48"/>
        <v>604_</v>
      </c>
      <c r="C1539" t="s">
        <v>2600</v>
      </c>
      <c r="D1539" t="s">
        <v>5</v>
      </c>
      <c r="E1539" t="s">
        <v>40</v>
      </c>
      <c r="F1539" t="s">
        <v>73</v>
      </c>
      <c r="G1539" t="s">
        <v>757</v>
      </c>
      <c r="H1539" t="s">
        <v>42</v>
      </c>
      <c r="I1539" t="s">
        <v>67</v>
      </c>
      <c r="J1539" t="s">
        <v>2601</v>
      </c>
      <c r="M1539" t="s">
        <v>106</v>
      </c>
      <c r="P1539" t="s">
        <v>46</v>
      </c>
      <c r="Q1539" t="s">
        <v>47</v>
      </c>
      <c r="R1539" t="s">
        <v>48</v>
      </c>
      <c r="V1539" t="s">
        <v>49</v>
      </c>
      <c r="X1539" t="s">
        <v>49</v>
      </c>
      <c r="Y1539" t="s">
        <v>74</v>
      </c>
      <c r="Z1539" t="s">
        <v>2575</v>
      </c>
      <c r="AA1539" t="s">
        <v>2575</v>
      </c>
    </row>
    <row r="1540" spans="1:27" x14ac:dyDescent="0.35">
      <c r="A1540" t="str">
        <f t="shared" si="49"/>
        <v>1506D7</v>
      </c>
      <c r="B1540" t="str">
        <f t="shared" si="48"/>
        <v>1506</v>
      </c>
      <c r="C1540" t="s">
        <v>2602</v>
      </c>
      <c r="D1540" t="s">
        <v>6</v>
      </c>
      <c r="E1540" t="s">
        <v>94</v>
      </c>
      <c r="F1540" t="s">
        <v>111</v>
      </c>
      <c r="G1540" t="s">
        <v>757</v>
      </c>
      <c r="H1540" t="s">
        <v>42</v>
      </c>
      <c r="I1540" t="s">
        <v>43</v>
      </c>
      <c r="J1540" t="s">
        <v>2586</v>
      </c>
      <c r="M1540" t="s">
        <v>106</v>
      </c>
      <c r="P1540" t="s">
        <v>46</v>
      </c>
      <c r="Q1540" t="s">
        <v>47</v>
      </c>
      <c r="R1540" t="s">
        <v>48</v>
      </c>
      <c r="V1540" t="s">
        <v>49</v>
      </c>
      <c r="X1540" t="s">
        <v>49</v>
      </c>
      <c r="Y1540" t="s">
        <v>59</v>
      </c>
      <c r="Z1540" t="s">
        <v>2573</v>
      </c>
      <c r="AA1540" t="s">
        <v>2573</v>
      </c>
    </row>
    <row r="1541" spans="1:27" x14ac:dyDescent="0.35">
      <c r="A1541" t="str">
        <f t="shared" si="49"/>
        <v>604_F2</v>
      </c>
      <c r="B1541" t="str">
        <f t="shared" si="48"/>
        <v>604_</v>
      </c>
      <c r="C1541" t="s">
        <v>2603</v>
      </c>
      <c r="D1541" t="s">
        <v>4</v>
      </c>
      <c r="E1541" t="s">
        <v>77</v>
      </c>
      <c r="F1541" t="s">
        <v>78</v>
      </c>
      <c r="G1541" t="s">
        <v>757</v>
      </c>
      <c r="H1541" t="s">
        <v>42</v>
      </c>
      <c r="I1541" t="s">
        <v>67</v>
      </c>
      <c r="J1541" t="s">
        <v>2601</v>
      </c>
      <c r="M1541" t="s">
        <v>106</v>
      </c>
      <c r="P1541" t="s">
        <v>710</v>
      </c>
      <c r="Q1541" t="s">
        <v>47</v>
      </c>
      <c r="R1541" t="s">
        <v>48</v>
      </c>
      <c r="V1541" t="s">
        <v>49</v>
      </c>
      <c r="X1541" t="s">
        <v>49</v>
      </c>
      <c r="Y1541" t="s">
        <v>74</v>
      </c>
      <c r="Z1541" t="s">
        <v>2604</v>
      </c>
      <c r="AA1541" t="s">
        <v>2604</v>
      </c>
    </row>
    <row r="1542" spans="1:27" x14ac:dyDescent="0.35">
      <c r="A1542" t="str">
        <f t="shared" si="49"/>
        <v>604_C2</v>
      </c>
      <c r="B1542" t="str">
        <f t="shared" si="48"/>
        <v>604_</v>
      </c>
      <c r="C1542" t="s">
        <v>2605</v>
      </c>
      <c r="D1542" t="s">
        <v>1</v>
      </c>
      <c r="E1542" t="s">
        <v>65</v>
      </c>
      <c r="F1542" t="s">
        <v>66</v>
      </c>
      <c r="G1542" t="s">
        <v>757</v>
      </c>
      <c r="H1542" t="s">
        <v>42</v>
      </c>
      <c r="I1542" t="s">
        <v>67</v>
      </c>
      <c r="J1542" t="s">
        <v>2601</v>
      </c>
      <c r="M1542" t="s">
        <v>106</v>
      </c>
      <c r="P1542" t="s">
        <v>69</v>
      </c>
      <c r="Q1542" t="s">
        <v>47</v>
      </c>
      <c r="R1542" t="s">
        <v>48</v>
      </c>
      <c r="V1542" t="s">
        <v>49</v>
      </c>
      <c r="X1542" t="s">
        <v>49</v>
      </c>
      <c r="Y1542" t="s">
        <v>70</v>
      </c>
      <c r="Z1542" t="s">
        <v>2577</v>
      </c>
      <c r="AA1542" t="s">
        <v>2577</v>
      </c>
    </row>
    <row r="1543" spans="1:27" x14ac:dyDescent="0.35">
      <c r="A1543" t="str">
        <f t="shared" si="49"/>
        <v>604_D2</v>
      </c>
      <c r="B1543" t="str">
        <f t="shared" si="48"/>
        <v>604_</v>
      </c>
      <c r="C1543" t="s">
        <v>2606</v>
      </c>
      <c r="D1543" t="s">
        <v>2</v>
      </c>
      <c r="E1543" t="s">
        <v>62</v>
      </c>
      <c r="F1543" t="s">
        <v>63</v>
      </c>
      <c r="G1543" t="s">
        <v>757</v>
      </c>
      <c r="H1543" t="s">
        <v>42</v>
      </c>
      <c r="I1543" t="s">
        <v>67</v>
      </c>
      <c r="J1543" t="s">
        <v>2601</v>
      </c>
      <c r="K1543" t="s">
        <v>56</v>
      </c>
      <c r="M1543" t="s">
        <v>106</v>
      </c>
      <c r="P1543" t="s">
        <v>58</v>
      </c>
      <c r="Q1543" t="s">
        <v>47</v>
      </c>
      <c r="R1543" t="s">
        <v>48</v>
      </c>
      <c r="V1543" t="s">
        <v>49</v>
      </c>
      <c r="X1543" t="s">
        <v>49</v>
      </c>
      <c r="Y1543" t="s">
        <v>59</v>
      </c>
      <c r="Z1543" t="s">
        <v>2607</v>
      </c>
      <c r="AA1543" t="s">
        <v>2607</v>
      </c>
    </row>
    <row r="1544" spans="1:27" x14ac:dyDescent="0.35">
      <c r="A1544" t="str">
        <f t="shared" si="49"/>
        <v>604_D7</v>
      </c>
      <c r="B1544" t="str">
        <f t="shared" si="48"/>
        <v>604_</v>
      </c>
      <c r="C1544" t="s">
        <v>2608</v>
      </c>
      <c r="D1544" t="s">
        <v>6</v>
      </c>
      <c r="E1544" t="s">
        <v>94</v>
      </c>
      <c r="F1544" t="s">
        <v>111</v>
      </c>
      <c r="G1544" t="s">
        <v>757</v>
      </c>
      <c r="H1544" t="s">
        <v>42</v>
      </c>
      <c r="I1544" t="s">
        <v>67</v>
      </c>
      <c r="J1544" t="s">
        <v>2601</v>
      </c>
      <c r="M1544" t="s">
        <v>106</v>
      </c>
      <c r="P1544" t="s">
        <v>46</v>
      </c>
      <c r="Q1544" t="s">
        <v>47</v>
      </c>
      <c r="R1544" t="s">
        <v>48</v>
      </c>
      <c r="V1544" t="s">
        <v>49</v>
      </c>
      <c r="X1544" t="s">
        <v>49</v>
      </c>
      <c r="Y1544" t="s">
        <v>59</v>
      </c>
      <c r="Z1544" t="s">
        <v>2594</v>
      </c>
      <c r="AA1544" t="s">
        <v>2594</v>
      </c>
    </row>
    <row r="1545" spans="1:27" x14ac:dyDescent="0.35">
      <c r="A1545" t="str">
        <f t="shared" si="49"/>
        <v>604_D4</v>
      </c>
      <c r="B1545" t="str">
        <f t="shared" si="48"/>
        <v>604_</v>
      </c>
      <c r="C1545" t="s">
        <v>2609</v>
      </c>
      <c r="D1545" t="s">
        <v>3</v>
      </c>
      <c r="E1545" t="s">
        <v>52</v>
      </c>
      <c r="F1545" t="s">
        <v>53</v>
      </c>
      <c r="G1545" t="s">
        <v>757</v>
      </c>
      <c r="H1545" t="s">
        <v>42</v>
      </c>
      <c r="I1545" t="s">
        <v>67</v>
      </c>
      <c r="J1545" t="s">
        <v>2601</v>
      </c>
      <c r="K1545" t="s">
        <v>56</v>
      </c>
      <c r="M1545" t="s">
        <v>106</v>
      </c>
      <c r="P1545" t="s">
        <v>58</v>
      </c>
      <c r="Q1545" t="s">
        <v>47</v>
      </c>
      <c r="R1545" t="s">
        <v>48</v>
      </c>
      <c r="V1545" t="s">
        <v>49</v>
      </c>
      <c r="X1545" t="s">
        <v>49</v>
      </c>
      <c r="Y1545" t="s">
        <v>59</v>
      </c>
      <c r="Z1545" t="s">
        <v>2610</v>
      </c>
      <c r="AA1545" t="s">
        <v>2610</v>
      </c>
    </row>
    <row r="1546" spans="1:27" x14ac:dyDescent="0.35">
      <c r="A1546" t="str">
        <f t="shared" si="49"/>
        <v>603_F3</v>
      </c>
      <c r="B1546" t="str">
        <f t="shared" si="48"/>
        <v>603_</v>
      </c>
      <c r="C1546" t="s">
        <v>2611</v>
      </c>
      <c r="D1546" t="s">
        <v>5</v>
      </c>
      <c r="E1546" t="s">
        <v>40</v>
      </c>
      <c r="F1546" t="s">
        <v>73</v>
      </c>
      <c r="G1546" t="s">
        <v>757</v>
      </c>
      <c r="H1546" t="s">
        <v>42</v>
      </c>
      <c r="I1546" t="s">
        <v>67</v>
      </c>
      <c r="J1546" t="s">
        <v>2612</v>
      </c>
      <c r="M1546" t="s">
        <v>106</v>
      </c>
      <c r="P1546" t="s">
        <v>46</v>
      </c>
      <c r="Q1546" t="s">
        <v>47</v>
      </c>
      <c r="R1546" t="s">
        <v>48</v>
      </c>
      <c r="V1546" t="s">
        <v>49</v>
      </c>
      <c r="X1546" t="s">
        <v>49</v>
      </c>
      <c r="Y1546" t="s">
        <v>74</v>
      </c>
      <c r="Z1546" t="s">
        <v>2510</v>
      </c>
      <c r="AA1546" t="s">
        <v>2510</v>
      </c>
    </row>
    <row r="1547" spans="1:27" x14ac:dyDescent="0.35">
      <c r="A1547" t="str">
        <f t="shared" si="49"/>
        <v>1505F2</v>
      </c>
      <c r="B1547" t="str">
        <f t="shared" si="48"/>
        <v>1505</v>
      </c>
      <c r="C1547" t="s">
        <v>2613</v>
      </c>
      <c r="D1547" t="s">
        <v>4</v>
      </c>
      <c r="E1547" t="s">
        <v>77</v>
      </c>
      <c r="F1547" t="s">
        <v>78</v>
      </c>
      <c r="G1547" t="s">
        <v>757</v>
      </c>
      <c r="H1547" t="s">
        <v>42</v>
      </c>
      <c r="I1547" t="s">
        <v>67</v>
      </c>
      <c r="J1547" t="s">
        <v>2614</v>
      </c>
      <c r="M1547" t="s">
        <v>106</v>
      </c>
      <c r="P1547" t="s">
        <v>91</v>
      </c>
      <c r="Q1547" t="s">
        <v>47</v>
      </c>
      <c r="R1547" t="s">
        <v>48</v>
      </c>
      <c r="V1547" t="s">
        <v>49</v>
      </c>
      <c r="X1547" t="s">
        <v>49</v>
      </c>
      <c r="Y1547" t="s">
        <v>74</v>
      </c>
      <c r="Z1547" t="s">
        <v>2587</v>
      </c>
      <c r="AA1547" t="s">
        <v>2587</v>
      </c>
    </row>
    <row r="1548" spans="1:27" x14ac:dyDescent="0.35">
      <c r="A1548" t="str">
        <f t="shared" si="49"/>
        <v>1505D4</v>
      </c>
      <c r="B1548" t="str">
        <f t="shared" si="48"/>
        <v>1505</v>
      </c>
      <c r="C1548" t="s">
        <v>2615</v>
      </c>
      <c r="D1548" t="s">
        <v>3</v>
      </c>
      <c r="E1548" t="s">
        <v>52</v>
      </c>
      <c r="F1548" t="s">
        <v>53</v>
      </c>
      <c r="G1548" t="s">
        <v>757</v>
      </c>
      <c r="H1548" t="s">
        <v>42</v>
      </c>
      <c r="I1548" t="s">
        <v>43</v>
      </c>
      <c r="J1548" t="s">
        <v>2614</v>
      </c>
      <c r="K1548" t="s">
        <v>56</v>
      </c>
      <c r="M1548" t="s">
        <v>106</v>
      </c>
      <c r="P1548" t="s">
        <v>58</v>
      </c>
      <c r="Q1548" t="s">
        <v>47</v>
      </c>
      <c r="R1548" t="s">
        <v>48</v>
      </c>
      <c r="V1548" t="s">
        <v>49</v>
      </c>
      <c r="X1548" t="s">
        <v>49</v>
      </c>
      <c r="Y1548" t="s">
        <v>59</v>
      </c>
      <c r="Z1548" t="s">
        <v>2590</v>
      </c>
      <c r="AA1548" t="s">
        <v>2590</v>
      </c>
    </row>
    <row r="1549" spans="1:27" x14ac:dyDescent="0.35">
      <c r="A1549" t="str">
        <f t="shared" si="49"/>
        <v>603_F2</v>
      </c>
      <c r="B1549" t="str">
        <f t="shared" si="48"/>
        <v>603_</v>
      </c>
      <c r="C1549" t="s">
        <v>2616</v>
      </c>
      <c r="D1549" t="s">
        <v>4</v>
      </c>
      <c r="E1549" t="s">
        <v>77</v>
      </c>
      <c r="F1549" t="s">
        <v>78</v>
      </c>
      <c r="G1549" t="s">
        <v>757</v>
      </c>
      <c r="H1549" t="s">
        <v>42</v>
      </c>
      <c r="I1549" t="s">
        <v>67</v>
      </c>
      <c r="J1549" t="s">
        <v>2612</v>
      </c>
      <c r="M1549" t="s">
        <v>106</v>
      </c>
      <c r="P1549" t="s">
        <v>91</v>
      </c>
      <c r="Q1549" t="s">
        <v>47</v>
      </c>
      <c r="R1549" t="s">
        <v>48</v>
      </c>
      <c r="V1549" t="s">
        <v>49</v>
      </c>
      <c r="X1549" t="s">
        <v>49</v>
      </c>
      <c r="Y1549" t="s">
        <v>74</v>
      </c>
      <c r="Z1549" t="s">
        <v>2604</v>
      </c>
      <c r="AA1549" t="s">
        <v>2604</v>
      </c>
    </row>
    <row r="1550" spans="1:27" x14ac:dyDescent="0.35">
      <c r="A1550" t="str">
        <f t="shared" si="49"/>
        <v>1505D2</v>
      </c>
      <c r="B1550" t="str">
        <f t="shared" si="48"/>
        <v>1505</v>
      </c>
      <c r="C1550" t="s">
        <v>2617</v>
      </c>
      <c r="D1550" t="s">
        <v>2</v>
      </c>
      <c r="E1550" t="s">
        <v>62</v>
      </c>
      <c r="F1550" t="s">
        <v>63</v>
      </c>
      <c r="G1550" t="s">
        <v>757</v>
      </c>
      <c r="H1550" t="s">
        <v>42</v>
      </c>
      <c r="I1550" t="s">
        <v>43</v>
      </c>
      <c r="J1550" t="s">
        <v>2614</v>
      </c>
      <c r="K1550" t="s">
        <v>56</v>
      </c>
      <c r="M1550" t="s">
        <v>106</v>
      </c>
      <c r="P1550" t="s">
        <v>58</v>
      </c>
      <c r="Q1550" t="s">
        <v>47</v>
      </c>
      <c r="R1550" t="s">
        <v>48</v>
      </c>
      <c r="V1550" t="s">
        <v>49</v>
      </c>
      <c r="X1550" t="s">
        <v>49</v>
      </c>
      <c r="Y1550" t="s">
        <v>59</v>
      </c>
      <c r="Z1550" t="s">
        <v>2618</v>
      </c>
      <c r="AA1550" t="s">
        <v>2618</v>
      </c>
    </row>
    <row r="1551" spans="1:27" x14ac:dyDescent="0.35">
      <c r="A1551" t="str">
        <f t="shared" si="49"/>
        <v>603_C2</v>
      </c>
      <c r="B1551" t="str">
        <f t="shared" si="48"/>
        <v>603_</v>
      </c>
      <c r="C1551" t="s">
        <v>2619</v>
      </c>
      <c r="D1551" t="s">
        <v>1</v>
      </c>
      <c r="E1551" t="s">
        <v>65</v>
      </c>
      <c r="F1551" t="s">
        <v>66</v>
      </c>
      <c r="G1551" t="s">
        <v>757</v>
      </c>
      <c r="H1551" t="s">
        <v>42</v>
      </c>
      <c r="I1551" t="s">
        <v>67</v>
      </c>
      <c r="J1551" t="s">
        <v>2612</v>
      </c>
      <c r="M1551" t="s">
        <v>106</v>
      </c>
      <c r="P1551" t="s">
        <v>69</v>
      </c>
      <c r="Q1551" t="s">
        <v>47</v>
      </c>
      <c r="R1551" t="s">
        <v>48</v>
      </c>
      <c r="V1551" t="s">
        <v>49</v>
      </c>
      <c r="X1551" t="s">
        <v>49</v>
      </c>
      <c r="Y1551" t="s">
        <v>70</v>
      </c>
      <c r="Z1551" t="s">
        <v>2620</v>
      </c>
      <c r="AA1551" t="s">
        <v>2577</v>
      </c>
    </row>
    <row r="1552" spans="1:27" x14ac:dyDescent="0.35">
      <c r="A1552" t="str">
        <f t="shared" si="49"/>
        <v>1505F3</v>
      </c>
      <c r="B1552" t="str">
        <f t="shared" si="48"/>
        <v>1505</v>
      </c>
      <c r="C1552" t="s">
        <v>2621</v>
      </c>
      <c r="D1552" t="s">
        <v>5</v>
      </c>
      <c r="E1552" t="s">
        <v>40</v>
      </c>
      <c r="F1552" t="s">
        <v>73</v>
      </c>
      <c r="G1552" t="s">
        <v>757</v>
      </c>
      <c r="H1552" t="s">
        <v>42</v>
      </c>
      <c r="I1552" t="s">
        <v>67</v>
      </c>
      <c r="J1552" t="s">
        <v>2614</v>
      </c>
      <c r="M1552" t="s">
        <v>106</v>
      </c>
      <c r="P1552" t="s">
        <v>58</v>
      </c>
      <c r="Q1552" t="s">
        <v>47</v>
      </c>
      <c r="R1552" t="s">
        <v>48</v>
      </c>
      <c r="V1552" t="s">
        <v>49</v>
      </c>
      <c r="X1552" t="s">
        <v>49</v>
      </c>
      <c r="Y1552" t="s">
        <v>74</v>
      </c>
      <c r="Z1552" t="s">
        <v>2596</v>
      </c>
      <c r="AA1552" t="s">
        <v>2596</v>
      </c>
    </row>
    <row r="1553" spans="1:27" x14ac:dyDescent="0.35">
      <c r="A1553" t="str">
        <f t="shared" si="49"/>
        <v>603_D2</v>
      </c>
      <c r="B1553" t="str">
        <f t="shared" si="48"/>
        <v>603_</v>
      </c>
      <c r="C1553" t="s">
        <v>2622</v>
      </c>
      <c r="D1553" t="s">
        <v>2</v>
      </c>
      <c r="E1553" t="s">
        <v>62</v>
      </c>
      <c r="F1553" t="s">
        <v>63</v>
      </c>
      <c r="G1553" t="s">
        <v>757</v>
      </c>
      <c r="H1553" t="s">
        <v>42</v>
      </c>
      <c r="I1553" t="s">
        <v>67</v>
      </c>
      <c r="J1553" t="s">
        <v>2612</v>
      </c>
      <c r="K1553" t="s">
        <v>56</v>
      </c>
      <c r="M1553" t="s">
        <v>106</v>
      </c>
      <c r="P1553" t="s">
        <v>58</v>
      </c>
      <c r="Q1553" t="s">
        <v>47</v>
      </c>
      <c r="R1553" t="s">
        <v>48</v>
      </c>
      <c r="V1553" t="s">
        <v>49</v>
      </c>
      <c r="X1553" t="s">
        <v>49</v>
      </c>
      <c r="Y1553" t="s">
        <v>59</v>
      </c>
      <c r="Z1553" t="s">
        <v>2623</v>
      </c>
      <c r="AA1553" t="s">
        <v>2623</v>
      </c>
    </row>
    <row r="1554" spans="1:27" x14ac:dyDescent="0.35">
      <c r="A1554" t="str">
        <f t="shared" si="49"/>
        <v>1505C2</v>
      </c>
      <c r="B1554" t="str">
        <f t="shared" si="48"/>
        <v>1505</v>
      </c>
      <c r="C1554" t="s">
        <v>2624</v>
      </c>
      <c r="D1554" t="s">
        <v>1</v>
      </c>
      <c r="E1554" t="s">
        <v>65</v>
      </c>
      <c r="F1554" t="s">
        <v>66</v>
      </c>
      <c r="G1554" t="s">
        <v>757</v>
      </c>
      <c r="H1554" t="s">
        <v>42</v>
      </c>
      <c r="I1554" t="s">
        <v>67</v>
      </c>
      <c r="J1554" t="s">
        <v>2614</v>
      </c>
      <c r="M1554" t="s">
        <v>106</v>
      </c>
      <c r="P1554" t="s">
        <v>69</v>
      </c>
      <c r="Q1554" t="s">
        <v>47</v>
      </c>
      <c r="R1554" t="s">
        <v>48</v>
      </c>
      <c r="V1554" t="s">
        <v>49</v>
      </c>
      <c r="X1554" t="s">
        <v>49</v>
      </c>
      <c r="Y1554" t="s">
        <v>70</v>
      </c>
      <c r="Z1554" t="s">
        <v>225</v>
      </c>
      <c r="AA1554" t="s">
        <v>225</v>
      </c>
    </row>
    <row r="1555" spans="1:27" x14ac:dyDescent="0.35">
      <c r="A1555" t="str">
        <f t="shared" si="49"/>
        <v>603_D7</v>
      </c>
      <c r="B1555" t="str">
        <f t="shared" si="48"/>
        <v>603_</v>
      </c>
      <c r="C1555" t="s">
        <v>2625</v>
      </c>
      <c r="D1555" t="s">
        <v>6</v>
      </c>
      <c r="E1555" t="s">
        <v>94</v>
      </c>
      <c r="F1555" t="s">
        <v>111</v>
      </c>
      <c r="G1555" t="s">
        <v>757</v>
      </c>
      <c r="H1555" t="s">
        <v>42</v>
      </c>
      <c r="I1555" t="s">
        <v>67</v>
      </c>
      <c r="J1555" t="s">
        <v>2612</v>
      </c>
      <c r="M1555" t="s">
        <v>106</v>
      </c>
      <c r="P1555" t="s">
        <v>46</v>
      </c>
      <c r="Q1555" t="s">
        <v>47</v>
      </c>
      <c r="R1555" t="s">
        <v>48</v>
      </c>
      <c r="V1555" t="s">
        <v>49</v>
      </c>
      <c r="X1555" t="s">
        <v>49</v>
      </c>
      <c r="Y1555" t="s">
        <v>59</v>
      </c>
      <c r="Z1555" t="s">
        <v>2594</v>
      </c>
      <c r="AA1555" t="s">
        <v>2594</v>
      </c>
    </row>
    <row r="1556" spans="1:27" x14ac:dyDescent="0.35">
      <c r="A1556" t="str">
        <f t="shared" si="49"/>
        <v>1505D7</v>
      </c>
      <c r="B1556" t="str">
        <f t="shared" si="48"/>
        <v>1505</v>
      </c>
      <c r="C1556" t="s">
        <v>2626</v>
      </c>
      <c r="D1556" t="s">
        <v>6</v>
      </c>
      <c r="E1556" t="s">
        <v>94</v>
      </c>
      <c r="F1556" t="s">
        <v>111</v>
      </c>
      <c r="G1556" t="s">
        <v>757</v>
      </c>
      <c r="H1556" t="s">
        <v>42</v>
      </c>
      <c r="I1556" t="s">
        <v>43</v>
      </c>
      <c r="J1556" t="s">
        <v>2614</v>
      </c>
      <c r="M1556" t="s">
        <v>106</v>
      </c>
      <c r="P1556" t="s">
        <v>46</v>
      </c>
      <c r="Q1556" t="s">
        <v>47</v>
      </c>
      <c r="R1556" t="s">
        <v>48</v>
      </c>
      <c r="V1556" t="s">
        <v>49</v>
      </c>
      <c r="X1556" t="s">
        <v>49</v>
      </c>
      <c r="Y1556" t="s">
        <v>59</v>
      </c>
      <c r="Z1556" t="s">
        <v>2395</v>
      </c>
      <c r="AA1556" t="s">
        <v>2395</v>
      </c>
    </row>
    <row r="1557" spans="1:27" x14ac:dyDescent="0.35">
      <c r="A1557" t="str">
        <f t="shared" si="49"/>
        <v>603_D4</v>
      </c>
      <c r="B1557" t="str">
        <f t="shared" si="48"/>
        <v>603_</v>
      </c>
      <c r="C1557" t="s">
        <v>2627</v>
      </c>
      <c r="D1557" t="s">
        <v>3</v>
      </c>
      <c r="E1557" t="s">
        <v>52</v>
      </c>
      <c r="F1557" t="s">
        <v>53</v>
      </c>
      <c r="G1557" t="s">
        <v>757</v>
      </c>
      <c r="H1557" t="s">
        <v>42</v>
      </c>
      <c r="I1557" t="s">
        <v>67</v>
      </c>
      <c r="J1557" t="s">
        <v>2612</v>
      </c>
      <c r="K1557" t="s">
        <v>56</v>
      </c>
      <c r="M1557" t="s">
        <v>106</v>
      </c>
      <c r="P1557" t="s">
        <v>58</v>
      </c>
      <c r="Q1557" t="s">
        <v>47</v>
      </c>
      <c r="R1557" t="s">
        <v>48</v>
      </c>
      <c r="V1557" t="s">
        <v>49</v>
      </c>
      <c r="X1557" t="s">
        <v>49</v>
      </c>
      <c r="Y1557" t="s">
        <v>59</v>
      </c>
      <c r="Z1557" t="s">
        <v>2628</v>
      </c>
      <c r="AA1557" t="s">
        <v>2628</v>
      </c>
    </row>
    <row r="1558" spans="1:27" x14ac:dyDescent="0.35">
      <c r="A1558" t="str">
        <f t="shared" si="49"/>
        <v>602_F3</v>
      </c>
      <c r="B1558" t="str">
        <f t="shared" si="48"/>
        <v>602_</v>
      </c>
      <c r="C1558" t="s">
        <v>2629</v>
      </c>
      <c r="D1558" t="s">
        <v>5</v>
      </c>
      <c r="E1558" t="s">
        <v>40</v>
      </c>
      <c r="F1558" t="s">
        <v>73</v>
      </c>
      <c r="G1558" t="s">
        <v>757</v>
      </c>
      <c r="H1558" t="s">
        <v>42</v>
      </c>
      <c r="I1558" t="s">
        <v>67</v>
      </c>
      <c r="J1558" t="s">
        <v>2630</v>
      </c>
      <c r="M1558" t="s">
        <v>106</v>
      </c>
      <c r="P1558" t="s">
        <v>46</v>
      </c>
      <c r="Q1558" t="s">
        <v>47</v>
      </c>
      <c r="R1558" t="s">
        <v>48</v>
      </c>
      <c r="V1558" t="s">
        <v>49</v>
      </c>
      <c r="X1558" t="s">
        <v>49</v>
      </c>
      <c r="Y1558" t="s">
        <v>74</v>
      </c>
      <c r="Z1558" t="s">
        <v>2510</v>
      </c>
      <c r="AA1558" t="s">
        <v>2510</v>
      </c>
    </row>
    <row r="1559" spans="1:27" x14ac:dyDescent="0.35">
      <c r="A1559" t="str">
        <f t="shared" si="49"/>
        <v>602_F2</v>
      </c>
      <c r="B1559" t="str">
        <f t="shared" si="48"/>
        <v>602_</v>
      </c>
      <c r="C1559" t="s">
        <v>2631</v>
      </c>
      <c r="D1559" t="s">
        <v>4</v>
      </c>
      <c r="E1559" t="s">
        <v>77</v>
      </c>
      <c r="F1559" t="s">
        <v>78</v>
      </c>
      <c r="G1559" t="s">
        <v>757</v>
      </c>
      <c r="H1559" t="s">
        <v>42</v>
      </c>
      <c r="I1559" t="s">
        <v>67</v>
      </c>
      <c r="J1559" t="s">
        <v>2630</v>
      </c>
      <c r="M1559" t="s">
        <v>106</v>
      </c>
      <c r="P1559" t="s">
        <v>91</v>
      </c>
      <c r="Q1559" t="s">
        <v>47</v>
      </c>
      <c r="R1559" t="s">
        <v>48</v>
      </c>
      <c r="V1559" t="s">
        <v>49</v>
      </c>
      <c r="X1559" t="s">
        <v>49</v>
      </c>
      <c r="Y1559" t="s">
        <v>74</v>
      </c>
      <c r="Z1559" t="s">
        <v>2632</v>
      </c>
      <c r="AA1559" t="s">
        <v>2632</v>
      </c>
    </row>
    <row r="1560" spans="1:27" x14ac:dyDescent="0.35">
      <c r="A1560" t="str">
        <f t="shared" si="49"/>
        <v>602_C2</v>
      </c>
      <c r="B1560" t="str">
        <f t="shared" si="48"/>
        <v>602_</v>
      </c>
      <c r="C1560" t="s">
        <v>2633</v>
      </c>
      <c r="D1560" t="s">
        <v>1</v>
      </c>
      <c r="E1560" t="s">
        <v>65</v>
      </c>
      <c r="F1560" t="s">
        <v>66</v>
      </c>
      <c r="G1560" t="s">
        <v>757</v>
      </c>
      <c r="H1560" t="s">
        <v>42</v>
      </c>
      <c r="I1560" t="s">
        <v>67</v>
      </c>
      <c r="J1560" t="s">
        <v>2630</v>
      </c>
      <c r="M1560" t="s">
        <v>106</v>
      </c>
      <c r="P1560" t="s">
        <v>69</v>
      </c>
      <c r="Q1560" t="s">
        <v>47</v>
      </c>
      <c r="R1560" t="s">
        <v>48</v>
      </c>
      <c r="V1560" t="s">
        <v>49</v>
      </c>
      <c r="X1560" t="s">
        <v>49</v>
      </c>
      <c r="Y1560" t="s">
        <v>70</v>
      </c>
      <c r="Z1560" t="s">
        <v>2634</v>
      </c>
      <c r="AA1560" t="s">
        <v>2634</v>
      </c>
    </row>
    <row r="1561" spans="1:27" x14ac:dyDescent="0.35">
      <c r="A1561" t="str">
        <f t="shared" si="49"/>
        <v>602_D2</v>
      </c>
      <c r="B1561" t="str">
        <f t="shared" si="48"/>
        <v>602_</v>
      </c>
      <c r="C1561" t="s">
        <v>2635</v>
      </c>
      <c r="D1561" t="s">
        <v>2</v>
      </c>
      <c r="E1561" t="s">
        <v>62</v>
      </c>
      <c r="F1561" t="s">
        <v>63</v>
      </c>
      <c r="G1561" t="s">
        <v>757</v>
      </c>
      <c r="H1561" t="s">
        <v>42</v>
      </c>
      <c r="I1561" t="s">
        <v>67</v>
      </c>
      <c r="J1561" t="s">
        <v>2630</v>
      </c>
      <c r="K1561" t="s">
        <v>56</v>
      </c>
      <c r="M1561" t="s">
        <v>106</v>
      </c>
      <c r="P1561" t="s">
        <v>58</v>
      </c>
      <c r="Q1561" t="s">
        <v>47</v>
      </c>
      <c r="R1561" t="s">
        <v>48</v>
      </c>
      <c r="V1561" t="s">
        <v>49</v>
      </c>
      <c r="X1561" t="s">
        <v>49</v>
      </c>
      <c r="Y1561" t="s">
        <v>59</v>
      </c>
      <c r="Z1561" t="s">
        <v>2636</v>
      </c>
      <c r="AA1561" t="s">
        <v>2637</v>
      </c>
    </row>
    <row r="1562" spans="1:27" x14ac:dyDescent="0.35">
      <c r="A1562" t="str">
        <f t="shared" si="49"/>
        <v>602_D7</v>
      </c>
      <c r="B1562" t="str">
        <f t="shared" si="48"/>
        <v>602_</v>
      </c>
      <c r="C1562" t="s">
        <v>2638</v>
      </c>
      <c r="D1562" t="s">
        <v>6</v>
      </c>
      <c r="E1562" t="s">
        <v>94</v>
      </c>
      <c r="F1562" t="s">
        <v>111</v>
      </c>
      <c r="G1562" t="s">
        <v>757</v>
      </c>
      <c r="H1562" t="s">
        <v>42</v>
      </c>
      <c r="I1562" t="s">
        <v>67</v>
      </c>
      <c r="J1562" t="s">
        <v>2630</v>
      </c>
      <c r="M1562" t="s">
        <v>106</v>
      </c>
      <c r="P1562" t="s">
        <v>46</v>
      </c>
      <c r="Q1562" t="s">
        <v>47</v>
      </c>
      <c r="R1562" t="s">
        <v>48</v>
      </c>
      <c r="V1562" t="s">
        <v>49</v>
      </c>
      <c r="X1562" t="s">
        <v>49</v>
      </c>
      <c r="Y1562" t="s">
        <v>59</v>
      </c>
      <c r="Z1562" t="s">
        <v>2639</v>
      </c>
      <c r="AA1562" t="s">
        <v>2639</v>
      </c>
    </row>
    <row r="1563" spans="1:27" x14ac:dyDescent="0.35">
      <c r="A1563" t="str">
        <f t="shared" si="49"/>
        <v>602_D4</v>
      </c>
      <c r="B1563" t="str">
        <f t="shared" si="48"/>
        <v>602_</v>
      </c>
      <c r="C1563" t="s">
        <v>2640</v>
      </c>
      <c r="D1563" t="s">
        <v>3</v>
      </c>
      <c r="E1563" t="s">
        <v>52</v>
      </c>
      <c r="F1563" t="s">
        <v>53</v>
      </c>
      <c r="G1563" t="s">
        <v>757</v>
      </c>
      <c r="H1563" t="s">
        <v>42</v>
      </c>
      <c r="I1563" t="s">
        <v>67</v>
      </c>
      <c r="J1563" t="s">
        <v>2630</v>
      </c>
      <c r="K1563" t="s">
        <v>56</v>
      </c>
      <c r="M1563" t="s">
        <v>106</v>
      </c>
      <c r="P1563" t="s">
        <v>58</v>
      </c>
      <c r="Q1563" t="s">
        <v>47</v>
      </c>
      <c r="R1563" t="s">
        <v>48</v>
      </c>
      <c r="V1563" t="s">
        <v>49</v>
      </c>
      <c r="X1563" t="s">
        <v>49</v>
      </c>
      <c r="Y1563" t="s">
        <v>59</v>
      </c>
      <c r="Z1563" t="s">
        <v>2636</v>
      </c>
      <c r="AA1563" t="s">
        <v>2636</v>
      </c>
    </row>
    <row r="1564" spans="1:27" x14ac:dyDescent="0.35">
      <c r="A1564" t="str">
        <f t="shared" si="49"/>
        <v>601_F3</v>
      </c>
      <c r="B1564" t="str">
        <f t="shared" si="48"/>
        <v>601_</v>
      </c>
      <c r="C1564" t="s">
        <v>2641</v>
      </c>
      <c r="D1564" t="s">
        <v>5</v>
      </c>
      <c r="E1564" t="s">
        <v>40</v>
      </c>
      <c r="F1564" t="s">
        <v>73</v>
      </c>
      <c r="G1564" t="s">
        <v>757</v>
      </c>
      <c r="H1564" t="s">
        <v>42</v>
      </c>
      <c r="I1564" t="s">
        <v>67</v>
      </c>
      <c r="J1564" t="s">
        <v>2642</v>
      </c>
      <c r="M1564" t="s">
        <v>106</v>
      </c>
      <c r="P1564" t="s">
        <v>46</v>
      </c>
      <c r="Q1564" t="s">
        <v>47</v>
      </c>
      <c r="R1564" t="s">
        <v>48</v>
      </c>
      <c r="V1564" t="s">
        <v>49</v>
      </c>
      <c r="X1564" t="s">
        <v>49</v>
      </c>
      <c r="Y1564" t="s">
        <v>74</v>
      </c>
      <c r="Z1564" t="s">
        <v>2632</v>
      </c>
      <c r="AA1564" t="s">
        <v>2632</v>
      </c>
    </row>
    <row r="1565" spans="1:27" x14ac:dyDescent="0.35">
      <c r="A1565" t="str">
        <f t="shared" si="49"/>
        <v>1504F2</v>
      </c>
      <c r="B1565" t="str">
        <f t="shared" si="48"/>
        <v>1504</v>
      </c>
      <c r="C1565" t="s">
        <v>2643</v>
      </c>
      <c r="D1565" t="s">
        <v>4</v>
      </c>
      <c r="E1565" t="s">
        <v>77</v>
      </c>
      <c r="F1565" t="s">
        <v>78</v>
      </c>
      <c r="G1565" t="s">
        <v>757</v>
      </c>
      <c r="H1565" t="s">
        <v>42</v>
      </c>
      <c r="I1565" t="s">
        <v>67</v>
      </c>
      <c r="J1565" t="s">
        <v>2644</v>
      </c>
      <c r="M1565" t="s">
        <v>106</v>
      </c>
      <c r="P1565" t="s">
        <v>138</v>
      </c>
      <c r="Q1565" t="s">
        <v>47</v>
      </c>
      <c r="R1565" t="s">
        <v>48</v>
      </c>
      <c r="V1565" t="s">
        <v>49</v>
      </c>
      <c r="X1565" t="s">
        <v>49</v>
      </c>
      <c r="Y1565" t="s">
        <v>74</v>
      </c>
      <c r="Z1565" t="s">
        <v>2645</v>
      </c>
      <c r="AA1565" t="s">
        <v>2645</v>
      </c>
    </row>
    <row r="1566" spans="1:27" x14ac:dyDescent="0.35">
      <c r="A1566" t="str">
        <f t="shared" si="49"/>
        <v>1504D4</v>
      </c>
      <c r="B1566" t="str">
        <f t="shared" si="48"/>
        <v>1504</v>
      </c>
      <c r="C1566" t="s">
        <v>2646</v>
      </c>
      <c r="D1566" t="s">
        <v>3</v>
      </c>
      <c r="E1566" t="s">
        <v>52</v>
      </c>
      <c r="F1566" t="s">
        <v>53</v>
      </c>
      <c r="G1566" t="s">
        <v>757</v>
      </c>
      <c r="H1566" t="s">
        <v>42</v>
      </c>
      <c r="I1566" t="s">
        <v>43</v>
      </c>
      <c r="J1566" t="s">
        <v>2644</v>
      </c>
      <c r="K1566" t="s">
        <v>56</v>
      </c>
      <c r="M1566" t="s">
        <v>106</v>
      </c>
      <c r="P1566" t="s">
        <v>58</v>
      </c>
      <c r="Q1566" t="s">
        <v>47</v>
      </c>
      <c r="R1566" t="s">
        <v>48</v>
      </c>
      <c r="V1566" t="s">
        <v>49</v>
      </c>
      <c r="X1566" t="s">
        <v>49</v>
      </c>
      <c r="Y1566" t="s">
        <v>59</v>
      </c>
      <c r="Z1566" t="s">
        <v>2647</v>
      </c>
      <c r="AA1566" t="s">
        <v>2647</v>
      </c>
    </row>
    <row r="1567" spans="1:27" x14ac:dyDescent="0.35">
      <c r="A1567" t="str">
        <f t="shared" si="49"/>
        <v>1504D2</v>
      </c>
      <c r="B1567" t="str">
        <f t="shared" si="48"/>
        <v>1504</v>
      </c>
      <c r="C1567" t="s">
        <v>2648</v>
      </c>
      <c r="D1567" t="s">
        <v>2</v>
      </c>
      <c r="E1567" t="s">
        <v>62</v>
      </c>
      <c r="F1567" t="s">
        <v>63</v>
      </c>
      <c r="G1567" t="s">
        <v>757</v>
      </c>
      <c r="H1567" t="s">
        <v>42</v>
      </c>
      <c r="I1567" t="s">
        <v>43</v>
      </c>
      <c r="J1567" t="s">
        <v>2644</v>
      </c>
      <c r="K1567" t="s">
        <v>56</v>
      </c>
      <c r="M1567" t="s">
        <v>106</v>
      </c>
      <c r="P1567" t="s">
        <v>58</v>
      </c>
      <c r="Q1567" t="s">
        <v>47</v>
      </c>
      <c r="R1567" t="s">
        <v>48</v>
      </c>
      <c r="V1567" t="s">
        <v>49</v>
      </c>
      <c r="X1567" t="s">
        <v>49</v>
      </c>
      <c r="Y1567" t="s">
        <v>59</v>
      </c>
      <c r="Z1567" t="s">
        <v>2649</v>
      </c>
      <c r="AA1567" t="s">
        <v>2649</v>
      </c>
    </row>
    <row r="1568" spans="1:27" x14ac:dyDescent="0.35">
      <c r="A1568" t="str">
        <f t="shared" si="49"/>
        <v>1504F3</v>
      </c>
      <c r="B1568" t="str">
        <f t="shared" si="48"/>
        <v>1504</v>
      </c>
      <c r="C1568" t="s">
        <v>2650</v>
      </c>
      <c r="D1568" t="s">
        <v>5</v>
      </c>
      <c r="E1568" t="s">
        <v>40</v>
      </c>
      <c r="F1568" t="s">
        <v>73</v>
      </c>
      <c r="G1568" t="s">
        <v>757</v>
      </c>
      <c r="H1568" t="s">
        <v>42</v>
      </c>
      <c r="I1568" t="s">
        <v>67</v>
      </c>
      <c r="J1568" t="s">
        <v>2644</v>
      </c>
      <c r="M1568" t="s">
        <v>106</v>
      </c>
      <c r="P1568" t="s">
        <v>58</v>
      </c>
      <c r="Q1568" t="s">
        <v>47</v>
      </c>
      <c r="R1568" t="s">
        <v>48</v>
      </c>
      <c r="V1568" t="s">
        <v>49</v>
      </c>
      <c r="X1568" t="s">
        <v>49</v>
      </c>
      <c r="Y1568" t="s">
        <v>74</v>
      </c>
      <c r="Z1568" t="s">
        <v>2651</v>
      </c>
      <c r="AA1568" t="s">
        <v>2651</v>
      </c>
    </row>
    <row r="1569" spans="1:27" x14ac:dyDescent="0.35">
      <c r="A1569" t="str">
        <f t="shared" si="49"/>
        <v>601_F2</v>
      </c>
      <c r="B1569" t="str">
        <f t="shared" si="48"/>
        <v>601_</v>
      </c>
      <c r="C1569" t="s">
        <v>2652</v>
      </c>
      <c r="D1569" t="s">
        <v>4</v>
      </c>
      <c r="E1569" t="s">
        <v>77</v>
      </c>
      <c r="F1569" t="s">
        <v>78</v>
      </c>
      <c r="G1569" t="s">
        <v>757</v>
      </c>
      <c r="H1569" t="s">
        <v>42</v>
      </c>
      <c r="I1569" t="s">
        <v>67</v>
      </c>
      <c r="J1569" t="s">
        <v>2642</v>
      </c>
      <c r="M1569" t="s">
        <v>106</v>
      </c>
      <c r="P1569" t="s">
        <v>138</v>
      </c>
      <c r="Q1569" t="s">
        <v>47</v>
      </c>
      <c r="R1569" t="s">
        <v>48</v>
      </c>
      <c r="V1569" t="s">
        <v>49</v>
      </c>
      <c r="X1569" t="s">
        <v>49</v>
      </c>
      <c r="Y1569" t="s">
        <v>74</v>
      </c>
      <c r="Z1569" t="s">
        <v>2632</v>
      </c>
      <c r="AA1569" t="s">
        <v>2632</v>
      </c>
    </row>
    <row r="1570" spans="1:27" x14ac:dyDescent="0.35">
      <c r="A1570" t="str">
        <f t="shared" si="49"/>
        <v>601_C2</v>
      </c>
      <c r="B1570" t="str">
        <f t="shared" si="48"/>
        <v>601_</v>
      </c>
      <c r="C1570" t="s">
        <v>2653</v>
      </c>
      <c r="D1570" t="s">
        <v>1</v>
      </c>
      <c r="E1570" t="s">
        <v>65</v>
      </c>
      <c r="F1570" t="s">
        <v>66</v>
      </c>
      <c r="G1570" t="s">
        <v>757</v>
      </c>
      <c r="H1570" t="s">
        <v>42</v>
      </c>
      <c r="I1570" t="s">
        <v>67</v>
      </c>
      <c r="J1570" t="s">
        <v>2642</v>
      </c>
      <c r="M1570" t="s">
        <v>106</v>
      </c>
      <c r="P1570" t="s">
        <v>69</v>
      </c>
      <c r="Q1570" t="s">
        <v>47</v>
      </c>
      <c r="R1570" t="s">
        <v>48</v>
      </c>
      <c r="V1570" t="s">
        <v>49</v>
      </c>
      <c r="X1570" t="s">
        <v>49</v>
      </c>
      <c r="Y1570" t="s">
        <v>70</v>
      </c>
      <c r="Z1570" t="s">
        <v>2654</v>
      </c>
      <c r="AA1570" t="s">
        <v>2654</v>
      </c>
    </row>
    <row r="1571" spans="1:27" x14ac:dyDescent="0.35">
      <c r="A1571" t="str">
        <f t="shared" si="49"/>
        <v>1504C2</v>
      </c>
      <c r="B1571" t="str">
        <f t="shared" si="48"/>
        <v>1504</v>
      </c>
      <c r="C1571" t="s">
        <v>2655</v>
      </c>
      <c r="D1571" t="s">
        <v>1</v>
      </c>
      <c r="E1571" t="s">
        <v>65</v>
      </c>
      <c r="F1571" t="s">
        <v>66</v>
      </c>
      <c r="G1571" t="s">
        <v>757</v>
      </c>
      <c r="H1571" t="s">
        <v>42</v>
      </c>
      <c r="I1571" t="s">
        <v>67</v>
      </c>
      <c r="J1571" t="s">
        <v>2644</v>
      </c>
      <c r="M1571" t="s">
        <v>106</v>
      </c>
      <c r="P1571" t="s">
        <v>69</v>
      </c>
      <c r="Q1571" t="s">
        <v>47</v>
      </c>
      <c r="R1571" t="s">
        <v>48</v>
      </c>
      <c r="V1571" t="s">
        <v>49</v>
      </c>
      <c r="X1571" t="s">
        <v>49</v>
      </c>
      <c r="Y1571" t="s">
        <v>70</v>
      </c>
      <c r="Z1571" t="s">
        <v>2656</v>
      </c>
      <c r="AA1571" t="s">
        <v>2656</v>
      </c>
    </row>
    <row r="1572" spans="1:27" x14ac:dyDescent="0.35">
      <c r="A1572" t="str">
        <f t="shared" si="49"/>
        <v>1504D7</v>
      </c>
      <c r="B1572" t="str">
        <f t="shared" si="48"/>
        <v>1504</v>
      </c>
      <c r="C1572" t="s">
        <v>2657</v>
      </c>
      <c r="D1572" t="s">
        <v>6</v>
      </c>
      <c r="E1572" t="s">
        <v>94</v>
      </c>
      <c r="F1572" t="s">
        <v>111</v>
      </c>
      <c r="G1572" t="s">
        <v>757</v>
      </c>
      <c r="H1572" t="s">
        <v>42</v>
      </c>
      <c r="I1572" t="s">
        <v>43</v>
      </c>
      <c r="J1572" t="s">
        <v>2644</v>
      </c>
      <c r="M1572" t="s">
        <v>106</v>
      </c>
      <c r="P1572" t="s">
        <v>46</v>
      </c>
      <c r="Q1572" t="s">
        <v>47</v>
      </c>
      <c r="R1572" t="s">
        <v>48</v>
      </c>
      <c r="V1572" t="s">
        <v>49</v>
      </c>
      <c r="X1572" t="s">
        <v>49</v>
      </c>
      <c r="Y1572" t="s">
        <v>59</v>
      </c>
      <c r="Z1572" t="s">
        <v>2658</v>
      </c>
      <c r="AA1572" t="s">
        <v>2658</v>
      </c>
    </row>
    <row r="1573" spans="1:27" x14ac:dyDescent="0.35">
      <c r="A1573" t="str">
        <f t="shared" si="49"/>
        <v>601_D2</v>
      </c>
      <c r="B1573" t="str">
        <f t="shared" si="48"/>
        <v>601_</v>
      </c>
      <c r="C1573" t="s">
        <v>2659</v>
      </c>
      <c r="D1573" t="s">
        <v>2</v>
      </c>
      <c r="E1573" t="s">
        <v>62</v>
      </c>
      <c r="F1573" t="s">
        <v>63</v>
      </c>
      <c r="G1573" t="s">
        <v>757</v>
      </c>
      <c r="H1573" t="s">
        <v>42</v>
      </c>
      <c r="I1573" t="s">
        <v>67</v>
      </c>
      <c r="J1573" t="s">
        <v>2642</v>
      </c>
      <c r="K1573" t="s">
        <v>56</v>
      </c>
      <c r="M1573" t="s">
        <v>106</v>
      </c>
      <c r="P1573" t="s">
        <v>58</v>
      </c>
      <c r="Q1573" t="s">
        <v>47</v>
      </c>
      <c r="R1573" t="s">
        <v>48</v>
      </c>
      <c r="V1573" t="s">
        <v>49</v>
      </c>
      <c r="X1573" t="s">
        <v>49</v>
      </c>
      <c r="Y1573" t="s">
        <v>59</v>
      </c>
      <c r="Z1573" t="s">
        <v>995</v>
      </c>
      <c r="AA1573" t="s">
        <v>995</v>
      </c>
    </row>
    <row r="1574" spans="1:27" x14ac:dyDescent="0.35">
      <c r="A1574" t="str">
        <f t="shared" si="49"/>
        <v>601_D7</v>
      </c>
      <c r="B1574" t="str">
        <f t="shared" si="48"/>
        <v>601_</v>
      </c>
      <c r="C1574" t="s">
        <v>2660</v>
      </c>
      <c r="D1574" t="s">
        <v>6</v>
      </c>
      <c r="E1574" t="s">
        <v>94</v>
      </c>
      <c r="F1574" t="s">
        <v>111</v>
      </c>
      <c r="G1574" t="s">
        <v>757</v>
      </c>
      <c r="H1574" t="s">
        <v>42</v>
      </c>
      <c r="I1574" t="s">
        <v>67</v>
      </c>
      <c r="J1574" t="s">
        <v>2642</v>
      </c>
      <c r="M1574" t="s">
        <v>106</v>
      </c>
      <c r="P1574" t="s">
        <v>46</v>
      </c>
      <c r="Q1574" t="s">
        <v>47</v>
      </c>
      <c r="R1574" t="s">
        <v>48</v>
      </c>
      <c r="V1574" t="s">
        <v>49</v>
      </c>
      <c r="X1574" t="s">
        <v>49</v>
      </c>
      <c r="Y1574" t="s">
        <v>59</v>
      </c>
      <c r="Z1574" t="s">
        <v>2594</v>
      </c>
      <c r="AA1574" t="s">
        <v>2594</v>
      </c>
    </row>
    <row r="1575" spans="1:27" x14ac:dyDescent="0.35">
      <c r="A1575" t="str">
        <f t="shared" si="49"/>
        <v>601_D4</v>
      </c>
      <c r="B1575" t="str">
        <f t="shared" si="48"/>
        <v>601_</v>
      </c>
      <c r="C1575" t="s">
        <v>2661</v>
      </c>
      <c r="D1575" t="s">
        <v>3</v>
      </c>
      <c r="E1575" t="s">
        <v>52</v>
      </c>
      <c r="F1575" t="s">
        <v>53</v>
      </c>
      <c r="G1575" t="s">
        <v>757</v>
      </c>
      <c r="H1575" t="s">
        <v>42</v>
      </c>
      <c r="I1575" t="s">
        <v>67</v>
      </c>
      <c r="J1575" t="s">
        <v>2642</v>
      </c>
      <c r="K1575" t="s">
        <v>56</v>
      </c>
      <c r="M1575" t="s">
        <v>106</v>
      </c>
      <c r="P1575" t="s">
        <v>58</v>
      </c>
      <c r="Q1575" t="s">
        <v>47</v>
      </c>
      <c r="R1575" t="s">
        <v>48</v>
      </c>
      <c r="V1575" t="s">
        <v>49</v>
      </c>
      <c r="X1575" t="s">
        <v>49</v>
      </c>
      <c r="Y1575" t="s">
        <v>59</v>
      </c>
      <c r="Z1575" t="s">
        <v>995</v>
      </c>
      <c r="AA1575" t="s">
        <v>995</v>
      </c>
    </row>
    <row r="1576" spans="1:27" x14ac:dyDescent="0.35">
      <c r="A1576" t="str">
        <f t="shared" si="49"/>
        <v>512_F3</v>
      </c>
      <c r="B1576" t="str">
        <f t="shared" si="48"/>
        <v>512_</v>
      </c>
      <c r="C1576" t="s">
        <v>2662</v>
      </c>
      <c r="D1576" t="s">
        <v>5</v>
      </c>
      <c r="E1576" t="s">
        <v>40</v>
      </c>
      <c r="F1576" t="s">
        <v>73</v>
      </c>
      <c r="G1576" t="s">
        <v>757</v>
      </c>
      <c r="H1576" t="s">
        <v>42</v>
      </c>
      <c r="I1576" t="s">
        <v>67</v>
      </c>
      <c r="J1576" t="s">
        <v>2663</v>
      </c>
      <c r="M1576" t="s">
        <v>106</v>
      </c>
      <c r="P1576" t="s">
        <v>58</v>
      </c>
      <c r="Q1576" t="s">
        <v>47</v>
      </c>
      <c r="R1576" t="s">
        <v>48</v>
      </c>
      <c r="V1576" t="s">
        <v>49</v>
      </c>
      <c r="X1576" t="s">
        <v>49</v>
      </c>
      <c r="Y1576" t="s">
        <v>74</v>
      </c>
      <c r="Z1576" t="s">
        <v>3596</v>
      </c>
      <c r="AA1576" t="s">
        <v>3596</v>
      </c>
    </row>
    <row r="1577" spans="1:27" x14ac:dyDescent="0.35">
      <c r="A1577" t="str">
        <f t="shared" si="49"/>
        <v>512_F2</v>
      </c>
      <c r="B1577" t="str">
        <f t="shared" si="48"/>
        <v>512_</v>
      </c>
      <c r="C1577" t="s">
        <v>2664</v>
      </c>
      <c r="D1577" t="s">
        <v>4</v>
      </c>
      <c r="E1577" t="s">
        <v>77</v>
      </c>
      <c r="F1577" t="s">
        <v>78</v>
      </c>
      <c r="G1577" t="s">
        <v>757</v>
      </c>
      <c r="H1577" t="s">
        <v>42</v>
      </c>
      <c r="I1577" t="s">
        <v>67</v>
      </c>
      <c r="J1577" t="s">
        <v>2663</v>
      </c>
      <c r="M1577" t="s">
        <v>106</v>
      </c>
      <c r="P1577" t="s">
        <v>710</v>
      </c>
      <c r="Q1577" t="s">
        <v>47</v>
      </c>
      <c r="R1577" t="s">
        <v>48</v>
      </c>
      <c r="V1577" t="s">
        <v>49</v>
      </c>
      <c r="X1577" t="s">
        <v>49</v>
      </c>
      <c r="Y1577" t="s">
        <v>74</v>
      </c>
      <c r="Z1577" t="s">
        <v>3597</v>
      </c>
      <c r="AA1577" t="s">
        <v>3597</v>
      </c>
    </row>
    <row r="1578" spans="1:27" x14ac:dyDescent="0.35">
      <c r="A1578" t="str">
        <f t="shared" si="49"/>
        <v>512_C2</v>
      </c>
      <c r="B1578" t="str">
        <f t="shared" si="48"/>
        <v>512_</v>
      </c>
      <c r="C1578" t="s">
        <v>2665</v>
      </c>
      <c r="D1578" t="s">
        <v>1</v>
      </c>
      <c r="E1578" t="s">
        <v>65</v>
      </c>
      <c r="F1578" t="s">
        <v>66</v>
      </c>
      <c r="G1578" t="s">
        <v>757</v>
      </c>
      <c r="H1578" t="s">
        <v>42</v>
      </c>
      <c r="I1578" t="s">
        <v>67</v>
      </c>
      <c r="J1578" t="s">
        <v>2663</v>
      </c>
      <c r="M1578" t="s">
        <v>106</v>
      </c>
      <c r="P1578" t="s">
        <v>69</v>
      </c>
      <c r="Q1578" t="s">
        <v>47</v>
      </c>
      <c r="R1578" t="s">
        <v>48</v>
      </c>
      <c r="V1578" t="s">
        <v>49</v>
      </c>
      <c r="X1578" t="s">
        <v>49</v>
      </c>
      <c r="Y1578" t="s">
        <v>70</v>
      </c>
      <c r="Z1578" t="s">
        <v>3849</v>
      </c>
      <c r="AA1578" t="s">
        <v>3849</v>
      </c>
    </row>
    <row r="1579" spans="1:27" x14ac:dyDescent="0.35">
      <c r="A1579" t="str">
        <f t="shared" si="49"/>
        <v>512_D2</v>
      </c>
      <c r="B1579" t="str">
        <f t="shared" si="48"/>
        <v>512_</v>
      </c>
      <c r="C1579" t="s">
        <v>2666</v>
      </c>
      <c r="D1579" t="s">
        <v>2</v>
      </c>
      <c r="E1579" t="s">
        <v>62</v>
      </c>
      <c r="F1579" t="s">
        <v>63</v>
      </c>
      <c r="G1579" t="s">
        <v>757</v>
      </c>
      <c r="H1579" t="s">
        <v>42</v>
      </c>
      <c r="I1579" t="s">
        <v>67</v>
      </c>
      <c r="J1579" t="s">
        <v>2663</v>
      </c>
      <c r="K1579" t="s">
        <v>56</v>
      </c>
      <c r="M1579" t="s">
        <v>106</v>
      </c>
      <c r="P1579" t="s">
        <v>58</v>
      </c>
      <c r="Q1579" t="s">
        <v>47</v>
      </c>
      <c r="R1579" t="s">
        <v>48</v>
      </c>
      <c r="V1579" t="s">
        <v>49</v>
      </c>
      <c r="X1579" t="s">
        <v>49</v>
      </c>
      <c r="Y1579" t="s">
        <v>59</v>
      </c>
      <c r="Z1579" t="s">
        <v>3848</v>
      </c>
      <c r="AA1579" t="s">
        <v>3848</v>
      </c>
    </row>
    <row r="1580" spans="1:27" x14ac:dyDescent="0.35">
      <c r="A1580" t="str">
        <f t="shared" si="49"/>
        <v>512_D7</v>
      </c>
      <c r="B1580" t="str">
        <f t="shared" si="48"/>
        <v>512_</v>
      </c>
      <c r="C1580" t="s">
        <v>2667</v>
      </c>
      <c r="D1580" t="s">
        <v>6</v>
      </c>
      <c r="E1580" t="s">
        <v>94</v>
      </c>
      <c r="F1580" t="s">
        <v>111</v>
      </c>
      <c r="G1580" t="s">
        <v>757</v>
      </c>
      <c r="H1580" t="s">
        <v>42</v>
      </c>
      <c r="I1580" t="s">
        <v>67</v>
      </c>
      <c r="J1580" t="s">
        <v>2663</v>
      </c>
      <c r="M1580" t="s">
        <v>106</v>
      </c>
      <c r="P1580" t="s">
        <v>46</v>
      </c>
      <c r="Q1580" t="s">
        <v>47</v>
      </c>
      <c r="R1580" t="s">
        <v>48</v>
      </c>
      <c r="V1580" t="s">
        <v>49</v>
      </c>
      <c r="X1580" t="s">
        <v>49</v>
      </c>
      <c r="Y1580" t="s">
        <v>59</v>
      </c>
      <c r="Z1580" t="s">
        <v>2668</v>
      </c>
      <c r="AA1580" t="s">
        <v>2668</v>
      </c>
    </row>
    <row r="1581" spans="1:27" x14ac:dyDescent="0.35">
      <c r="A1581" t="str">
        <f t="shared" si="49"/>
        <v>512_D4</v>
      </c>
      <c r="B1581" t="str">
        <f t="shared" si="48"/>
        <v>512_</v>
      </c>
      <c r="C1581" t="s">
        <v>2669</v>
      </c>
      <c r="D1581" t="s">
        <v>3</v>
      </c>
      <c r="E1581" t="s">
        <v>52</v>
      </c>
      <c r="F1581" t="s">
        <v>53</v>
      </c>
      <c r="G1581" t="s">
        <v>757</v>
      </c>
      <c r="H1581" t="s">
        <v>42</v>
      </c>
      <c r="I1581" t="s">
        <v>67</v>
      </c>
      <c r="J1581" t="s">
        <v>2663</v>
      </c>
      <c r="K1581" t="s">
        <v>56</v>
      </c>
      <c r="M1581" t="s">
        <v>106</v>
      </c>
      <c r="P1581" t="s">
        <v>58</v>
      </c>
      <c r="Q1581" t="s">
        <v>47</v>
      </c>
      <c r="R1581" t="s">
        <v>48</v>
      </c>
      <c r="V1581" t="s">
        <v>49</v>
      </c>
      <c r="X1581" t="s">
        <v>49</v>
      </c>
      <c r="Y1581" t="s">
        <v>59</v>
      </c>
      <c r="Z1581" t="s">
        <v>3831</v>
      </c>
      <c r="AA1581" t="s">
        <v>3832</v>
      </c>
    </row>
    <row r="1582" spans="1:27" x14ac:dyDescent="0.35">
      <c r="A1582" t="str">
        <f t="shared" si="49"/>
        <v>1503F2</v>
      </c>
      <c r="B1582" t="str">
        <f t="shared" si="48"/>
        <v>1503</v>
      </c>
      <c r="C1582" t="s">
        <v>2670</v>
      </c>
      <c r="D1582" t="s">
        <v>4</v>
      </c>
      <c r="E1582" t="s">
        <v>77</v>
      </c>
      <c r="F1582" t="s">
        <v>78</v>
      </c>
      <c r="G1582" t="s">
        <v>757</v>
      </c>
      <c r="H1582" t="s">
        <v>42</v>
      </c>
      <c r="I1582" t="s">
        <v>67</v>
      </c>
      <c r="J1582" t="s">
        <v>2671</v>
      </c>
      <c r="M1582" t="s">
        <v>106</v>
      </c>
      <c r="P1582" t="s">
        <v>138</v>
      </c>
      <c r="Q1582" t="s">
        <v>47</v>
      </c>
      <c r="R1582" t="s">
        <v>48</v>
      </c>
      <c r="V1582" t="s">
        <v>49</v>
      </c>
      <c r="X1582" t="s">
        <v>49</v>
      </c>
      <c r="Y1582" t="s">
        <v>74</v>
      </c>
      <c r="Z1582" t="s">
        <v>2645</v>
      </c>
      <c r="AA1582" t="s">
        <v>2645</v>
      </c>
    </row>
    <row r="1583" spans="1:27" x14ac:dyDescent="0.35">
      <c r="A1583" t="str">
        <f t="shared" si="49"/>
        <v>1503D4</v>
      </c>
      <c r="B1583" t="str">
        <f t="shared" si="48"/>
        <v>1503</v>
      </c>
      <c r="C1583" t="s">
        <v>2672</v>
      </c>
      <c r="D1583" t="s">
        <v>3</v>
      </c>
      <c r="E1583" t="s">
        <v>52</v>
      </c>
      <c r="F1583" t="s">
        <v>53</v>
      </c>
      <c r="G1583" t="s">
        <v>757</v>
      </c>
      <c r="H1583" t="s">
        <v>42</v>
      </c>
      <c r="I1583" t="s">
        <v>43</v>
      </c>
      <c r="J1583" t="s">
        <v>2671</v>
      </c>
      <c r="K1583" t="s">
        <v>56</v>
      </c>
      <c r="M1583" t="s">
        <v>106</v>
      </c>
      <c r="P1583" t="s">
        <v>58</v>
      </c>
      <c r="Q1583" t="s">
        <v>47</v>
      </c>
      <c r="R1583" t="s">
        <v>48</v>
      </c>
      <c r="V1583" t="s">
        <v>49</v>
      </c>
      <c r="X1583" t="s">
        <v>49</v>
      </c>
      <c r="Y1583" t="s">
        <v>59</v>
      </c>
      <c r="Z1583" t="s">
        <v>2647</v>
      </c>
      <c r="AA1583" t="s">
        <v>2647</v>
      </c>
    </row>
    <row r="1584" spans="1:27" x14ac:dyDescent="0.35">
      <c r="A1584" t="str">
        <f t="shared" si="49"/>
        <v>511_F3</v>
      </c>
      <c r="B1584" t="str">
        <f t="shared" si="48"/>
        <v>511_</v>
      </c>
      <c r="C1584" t="s">
        <v>2673</v>
      </c>
      <c r="D1584" t="s">
        <v>5</v>
      </c>
      <c r="E1584" t="s">
        <v>40</v>
      </c>
      <c r="F1584" t="s">
        <v>73</v>
      </c>
      <c r="G1584" t="s">
        <v>757</v>
      </c>
      <c r="H1584" t="s">
        <v>42</v>
      </c>
      <c r="I1584" t="s">
        <v>67</v>
      </c>
      <c r="J1584" t="s">
        <v>2674</v>
      </c>
      <c r="M1584" t="s">
        <v>106</v>
      </c>
      <c r="P1584" t="s">
        <v>58</v>
      </c>
      <c r="Q1584" t="s">
        <v>47</v>
      </c>
      <c r="R1584" t="s">
        <v>48</v>
      </c>
      <c r="V1584" t="s">
        <v>49</v>
      </c>
      <c r="X1584" t="s">
        <v>49</v>
      </c>
      <c r="Y1584" t="s">
        <v>74</v>
      </c>
      <c r="Z1584" t="s">
        <v>3597</v>
      </c>
      <c r="AA1584" t="s">
        <v>3597</v>
      </c>
    </row>
    <row r="1585" spans="1:27" x14ac:dyDescent="0.35">
      <c r="A1585" t="str">
        <f t="shared" si="49"/>
        <v>1503D2</v>
      </c>
      <c r="B1585" t="str">
        <f t="shared" si="48"/>
        <v>1503</v>
      </c>
      <c r="C1585" t="s">
        <v>2675</v>
      </c>
      <c r="D1585" t="s">
        <v>2</v>
      </c>
      <c r="E1585" t="s">
        <v>62</v>
      </c>
      <c r="F1585" t="s">
        <v>63</v>
      </c>
      <c r="G1585" t="s">
        <v>757</v>
      </c>
      <c r="H1585" t="s">
        <v>42</v>
      </c>
      <c r="I1585" t="s">
        <v>43</v>
      </c>
      <c r="J1585" t="s">
        <v>2671</v>
      </c>
      <c r="K1585" t="s">
        <v>56</v>
      </c>
      <c r="M1585" t="s">
        <v>106</v>
      </c>
      <c r="P1585" t="s">
        <v>58</v>
      </c>
      <c r="Q1585" t="s">
        <v>47</v>
      </c>
      <c r="R1585" t="s">
        <v>48</v>
      </c>
      <c r="V1585" t="s">
        <v>49</v>
      </c>
      <c r="X1585" t="s">
        <v>49</v>
      </c>
      <c r="Y1585" t="s">
        <v>59</v>
      </c>
      <c r="Z1585" t="s">
        <v>2676</v>
      </c>
      <c r="AA1585" t="s">
        <v>2676</v>
      </c>
    </row>
    <row r="1586" spans="1:27" x14ac:dyDescent="0.35">
      <c r="A1586" t="str">
        <f t="shared" si="49"/>
        <v>1503F3</v>
      </c>
      <c r="B1586" t="str">
        <f t="shared" si="48"/>
        <v>1503</v>
      </c>
      <c r="C1586" t="s">
        <v>2677</v>
      </c>
      <c r="D1586" t="s">
        <v>5</v>
      </c>
      <c r="E1586" t="s">
        <v>40</v>
      </c>
      <c r="F1586" t="s">
        <v>73</v>
      </c>
      <c r="G1586" t="s">
        <v>757</v>
      </c>
      <c r="H1586" t="s">
        <v>42</v>
      </c>
      <c r="I1586" t="s">
        <v>67</v>
      </c>
      <c r="J1586" t="s">
        <v>2671</v>
      </c>
      <c r="M1586" t="s">
        <v>106</v>
      </c>
      <c r="P1586" t="s">
        <v>69</v>
      </c>
      <c r="Q1586" t="s">
        <v>47</v>
      </c>
      <c r="R1586" t="s">
        <v>48</v>
      </c>
      <c r="V1586" t="s">
        <v>49</v>
      </c>
      <c r="X1586" t="s">
        <v>49</v>
      </c>
      <c r="Y1586" t="s">
        <v>74</v>
      </c>
      <c r="Z1586" t="s">
        <v>2651</v>
      </c>
      <c r="AA1586" t="s">
        <v>2678</v>
      </c>
    </row>
    <row r="1587" spans="1:27" x14ac:dyDescent="0.35">
      <c r="A1587" t="str">
        <f t="shared" si="49"/>
        <v>1503C2</v>
      </c>
      <c r="B1587" t="str">
        <f t="shared" si="48"/>
        <v>1503</v>
      </c>
      <c r="C1587" t="s">
        <v>2679</v>
      </c>
      <c r="D1587" t="s">
        <v>1</v>
      </c>
      <c r="E1587" t="s">
        <v>65</v>
      </c>
      <c r="F1587" t="s">
        <v>66</v>
      </c>
      <c r="G1587" t="s">
        <v>757</v>
      </c>
      <c r="H1587" t="s">
        <v>42</v>
      </c>
      <c r="I1587" t="s">
        <v>67</v>
      </c>
      <c r="J1587" t="s">
        <v>2671</v>
      </c>
      <c r="M1587" t="s">
        <v>106</v>
      </c>
      <c r="P1587" t="s">
        <v>69</v>
      </c>
      <c r="Q1587" t="s">
        <v>47</v>
      </c>
      <c r="R1587" t="s">
        <v>48</v>
      </c>
      <c r="V1587" t="s">
        <v>49</v>
      </c>
      <c r="X1587" t="s">
        <v>49</v>
      </c>
      <c r="Y1587" t="s">
        <v>70</v>
      </c>
      <c r="Z1587" t="s">
        <v>2680</v>
      </c>
      <c r="AA1587" t="s">
        <v>2680</v>
      </c>
    </row>
    <row r="1588" spans="1:27" x14ac:dyDescent="0.35">
      <c r="A1588" t="str">
        <f t="shared" si="49"/>
        <v>1503D7</v>
      </c>
      <c r="B1588" t="str">
        <f t="shared" si="48"/>
        <v>1503</v>
      </c>
      <c r="C1588" t="s">
        <v>2681</v>
      </c>
      <c r="D1588" t="s">
        <v>6</v>
      </c>
      <c r="E1588" t="s">
        <v>94</v>
      </c>
      <c r="F1588" t="s">
        <v>111</v>
      </c>
      <c r="G1588" t="s">
        <v>757</v>
      </c>
      <c r="H1588" t="s">
        <v>42</v>
      </c>
      <c r="I1588" t="s">
        <v>43</v>
      </c>
      <c r="J1588" t="s">
        <v>2671</v>
      </c>
      <c r="M1588" t="s">
        <v>106</v>
      </c>
      <c r="P1588" t="s">
        <v>46</v>
      </c>
      <c r="Q1588" t="s">
        <v>47</v>
      </c>
      <c r="R1588" t="s">
        <v>48</v>
      </c>
      <c r="V1588" t="s">
        <v>49</v>
      </c>
      <c r="X1588" t="s">
        <v>49</v>
      </c>
      <c r="Y1588" t="s">
        <v>59</v>
      </c>
      <c r="Z1588" t="s">
        <v>2682</v>
      </c>
      <c r="AA1588" t="s">
        <v>2682</v>
      </c>
    </row>
    <row r="1589" spans="1:27" x14ac:dyDescent="0.35">
      <c r="A1589" t="str">
        <f t="shared" si="49"/>
        <v>511_F2</v>
      </c>
      <c r="B1589" t="str">
        <f t="shared" si="48"/>
        <v>511_</v>
      </c>
      <c r="C1589" t="s">
        <v>2683</v>
      </c>
      <c r="D1589" t="s">
        <v>4</v>
      </c>
      <c r="E1589" t="s">
        <v>77</v>
      </c>
      <c r="F1589" t="s">
        <v>78</v>
      </c>
      <c r="G1589" t="s">
        <v>757</v>
      </c>
      <c r="H1589" t="s">
        <v>42</v>
      </c>
      <c r="I1589" t="s">
        <v>67</v>
      </c>
      <c r="J1589" t="s">
        <v>2674</v>
      </c>
      <c r="M1589" t="s">
        <v>106</v>
      </c>
      <c r="P1589" t="s">
        <v>710</v>
      </c>
      <c r="Q1589" t="s">
        <v>47</v>
      </c>
      <c r="R1589" t="s">
        <v>48</v>
      </c>
      <c r="V1589" t="s">
        <v>49</v>
      </c>
      <c r="X1589" t="s">
        <v>49</v>
      </c>
      <c r="Y1589" t="s">
        <v>74</v>
      </c>
      <c r="Z1589" t="s">
        <v>3597</v>
      </c>
      <c r="AA1589" t="s">
        <v>3597</v>
      </c>
    </row>
    <row r="1590" spans="1:27" x14ac:dyDescent="0.35">
      <c r="A1590" t="str">
        <f t="shared" si="49"/>
        <v>511_C2</v>
      </c>
      <c r="B1590" t="str">
        <f t="shared" si="48"/>
        <v>511_</v>
      </c>
      <c r="C1590" t="s">
        <v>2684</v>
      </c>
      <c r="D1590" t="s">
        <v>1</v>
      </c>
      <c r="E1590" t="s">
        <v>65</v>
      </c>
      <c r="F1590" t="s">
        <v>66</v>
      </c>
      <c r="G1590" t="s">
        <v>757</v>
      </c>
      <c r="H1590" t="s">
        <v>42</v>
      </c>
      <c r="I1590" t="s">
        <v>67</v>
      </c>
      <c r="J1590" t="s">
        <v>2674</v>
      </c>
      <c r="M1590" t="s">
        <v>106</v>
      </c>
      <c r="P1590" t="s">
        <v>69</v>
      </c>
      <c r="Q1590" t="s">
        <v>47</v>
      </c>
      <c r="R1590" t="s">
        <v>48</v>
      </c>
      <c r="V1590" t="s">
        <v>49</v>
      </c>
      <c r="X1590" t="s">
        <v>49</v>
      </c>
      <c r="Y1590" t="s">
        <v>70</v>
      </c>
      <c r="Z1590" t="s">
        <v>3849</v>
      </c>
      <c r="AA1590" t="s">
        <v>3849</v>
      </c>
    </row>
    <row r="1591" spans="1:27" x14ac:dyDescent="0.35">
      <c r="A1591" t="str">
        <f t="shared" si="49"/>
        <v>511_D2</v>
      </c>
      <c r="B1591" t="str">
        <f t="shared" si="48"/>
        <v>511_</v>
      </c>
      <c r="C1591" t="s">
        <v>2685</v>
      </c>
      <c r="D1591" t="s">
        <v>2</v>
      </c>
      <c r="E1591" t="s">
        <v>62</v>
      </c>
      <c r="F1591" t="s">
        <v>63</v>
      </c>
      <c r="G1591" t="s">
        <v>757</v>
      </c>
      <c r="H1591" t="s">
        <v>42</v>
      </c>
      <c r="I1591" t="s">
        <v>67</v>
      </c>
      <c r="J1591" t="s">
        <v>2674</v>
      </c>
      <c r="K1591" t="s">
        <v>56</v>
      </c>
      <c r="M1591" t="s">
        <v>106</v>
      </c>
      <c r="P1591" t="s">
        <v>58</v>
      </c>
      <c r="Q1591" t="s">
        <v>47</v>
      </c>
      <c r="R1591" t="s">
        <v>48</v>
      </c>
      <c r="V1591" t="s">
        <v>49</v>
      </c>
      <c r="X1591" t="s">
        <v>49</v>
      </c>
      <c r="Y1591" t="s">
        <v>59</v>
      </c>
      <c r="Z1591" t="s">
        <v>3850</v>
      </c>
      <c r="AA1591" t="s">
        <v>3850</v>
      </c>
    </row>
    <row r="1592" spans="1:27" x14ac:dyDescent="0.35">
      <c r="A1592" t="str">
        <f t="shared" si="49"/>
        <v>511_D7</v>
      </c>
      <c r="B1592" t="str">
        <f t="shared" si="48"/>
        <v>511_</v>
      </c>
      <c r="C1592" t="s">
        <v>2686</v>
      </c>
      <c r="D1592" t="s">
        <v>6</v>
      </c>
      <c r="E1592" t="s">
        <v>94</v>
      </c>
      <c r="F1592" t="s">
        <v>111</v>
      </c>
      <c r="G1592" t="s">
        <v>757</v>
      </c>
      <c r="H1592" t="s">
        <v>42</v>
      </c>
      <c r="I1592" t="s">
        <v>67</v>
      </c>
      <c r="J1592" t="s">
        <v>2674</v>
      </c>
      <c r="M1592" t="s">
        <v>106</v>
      </c>
      <c r="P1592" t="s">
        <v>46</v>
      </c>
      <c r="Q1592" t="s">
        <v>47</v>
      </c>
      <c r="R1592" t="s">
        <v>48</v>
      </c>
      <c r="V1592" t="s">
        <v>49</v>
      </c>
      <c r="X1592" t="s">
        <v>49</v>
      </c>
      <c r="Y1592" t="s">
        <v>59</v>
      </c>
      <c r="Z1592" t="s">
        <v>3675</v>
      </c>
      <c r="AA1592" t="s">
        <v>2668</v>
      </c>
    </row>
    <row r="1593" spans="1:27" x14ac:dyDescent="0.35">
      <c r="A1593" t="str">
        <f t="shared" si="49"/>
        <v>511_D4</v>
      </c>
      <c r="B1593" t="str">
        <f t="shared" si="48"/>
        <v>511_</v>
      </c>
      <c r="C1593" t="s">
        <v>2687</v>
      </c>
      <c r="D1593" t="s">
        <v>3</v>
      </c>
      <c r="E1593" t="s">
        <v>52</v>
      </c>
      <c r="F1593" t="s">
        <v>53</v>
      </c>
      <c r="G1593" t="s">
        <v>757</v>
      </c>
      <c r="H1593" t="s">
        <v>42</v>
      </c>
      <c r="I1593" t="s">
        <v>67</v>
      </c>
      <c r="J1593" t="s">
        <v>2674</v>
      </c>
      <c r="K1593" t="s">
        <v>56</v>
      </c>
      <c r="M1593" t="s">
        <v>106</v>
      </c>
      <c r="P1593" t="s">
        <v>58</v>
      </c>
      <c r="Q1593" t="s">
        <v>47</v>
      </c>
      <c r="R1593" t="s">
        <v>48</v>
      </c>
      <c r="V1593" t="s">
        <v>49</v>
      </c>
      <c r="X1593" t="s">
        <v>49</v>
      </c>
      <c r="Y1593" t="s">
        <v>59</v>
      </c>
      <c r="Z1593" t="s">
        <v>3833</v>
      </c>
      <c r="AA1593" t="s">
        <v>3832</v>
      </c>
    </row>
    <row r="1594" spans="1:27" x14ac:dyDescent="0.35">
      <c r="A1594" t="str">
        <f t="shared" si="49"/>
        <v>510_F3</v>
      </c>
      <c r="B1594" t="str">
        <f t="shared" si="48"/>
        <v>510_</v>
      </c>
      <c r="C1594" t="s">
        <v>2688</v>
      </c>
      <c r="D1594" t="s">
        <v>5</v>
      </c>
      <c r="E1594" t="s">
        <v>40</v>
      </c>
      <c r="F1594" t="s">
        <v>73</v>
      </c>
      <c r="G1594" t="s">
        <v>757</v>
      </c>
      <c r="H1594" t="s">
        <v>42</v>
      </c>
      <c r="I1594" t="s">
        <v>67</v>
      </c>
      <c r="J1594" t="s">
        <v>2689</v>
      </c>
      <c r="M1594" t="s">
        <v>106</v>
      </c>
      <c r="P1594" t="s">
        <v>58</v>
      </c>
      <c r="Q1594" t="s">
        <v>47</v>
      </c>
      <c r="R1594" t="s">
        <v>48</v>
      </c>
      <c r="V1594" t="s">
        <v>49</v>
      </c>
      <c r="X1594" t="s">
        <v>49</v>
      </c>
      <c r="Y1594" t="s">
        <v>74</v>
      </c>
      <c r="Z1594" t="s">
        <v>3597</v>
      </c>
      <c r="AA1594" t="s">
        <v>3597</v>
      </c>
    </row>
    <row r="1595" spans="1:27" x14ac:dyDescent="0.35">
      <c r="A1595" t="str">
        <f t="shared" si="49"/>
        <v>510_F2</v>
      </c>
      <c r="B1595" t="str">
        <f t="shared" si="48"/>
        <v>510_</v>
      </c>
      <c r="C1595" t="s">
        <v>2690</v>
      </c>
      <c r="D1595" t="s">
        <v>4</v>
      </c>
      <c r="E1595" t="s">
        <v>77</v>
      </c>
      <c r="F1595" t="s">
        <v>78</v>
      </c>
      <c r="G1595" t="s">
        <v>757</v>
      </c>
      <c r="H1595" t="s">
        <v>42</v>
      </c>
      <c r="I1595" t="s">
        <v>67</v>
      </c>
      <c r="J1595" t="s">
        <v>2689</v>
      </c>
      <c r="M1595" t="s">
        <v>106</v>
      </c>
      <c r="P1595" t="s">
        <v>710</v>
      </c>
      <c r="Q1595" t="s">
        <v>47</v>
      </c>
      <c r="R1595" t="s">
        <v>48</v>
      </c>
      <c r="V1595" t="s">
        <v>49</v>
      </c>
      <c r="X1595" t="s">
        <v>49</v>
      </c>
      <c r="Y1595" t="s">
        <v>74</v>
      </c>
      <c r="Z1595" t="s">
        <v>3598</v>
      </c>
      <c r="AA1595" t="s">
        <v>3598</v>
      </c>
    </row>
    <row r="1596" spans="1:27" x14ac:dyDescent="0.35">
      <c r="A1596" t="str">
        <f t="shared" si="49"/>
        <v>510_C2</v>
      </c>
      <c r="B1596" t="str">
        <f t="shared" si="48"/>
        <v>510_</v>
      </c>
      <c r="C1596" t="s">
        <v>2691</v>
      </c>
      <c r="D1596" t="s">
        <v>1</v>
      </c>
      <c r="E1596" t="s">
        <v>65</v>
      </c>
      <c r="F1596" t="s">
        <v>66</v>
      </c>
      <c r="G1596" t="s">
        <v>757</v>
      </c>
      <c r="H1596" t="s">
        <v>42</v>
      </c>
      <c r="I1596" t="s">
        <v>67</v>
      </c>
      <c r="J1596" t="s">
        <v>2689</v>
      </c>
      <c r="M1596" t="s">
        <v>106</v>
      </c>
      <c r="P1596" t="s">
        <v>69</v>
      </c>
      <c r="Q1596" t="s">
        <v>47</v>
      </c>
      <c r="R1596" t="s">
        <v>48</v>
      </c>
      <c r="V1596" t="s">
        <v>49</v>
      </c>
      <c r="X1596" t="s">
        <v>49</v>
      </c>
      <c r="Y1596" t="s">
        <v>70</v>
      </c>
      <c r="Z1596" t="s">
        <v>3851</v>
      </c>
      <c r="AA1596" t="s">
        <v>3851</v>
      </c>
    </row>
    <row r="1597" spans="1:27" x14ac:dyDescent="0.35">
      <c r="A1597" t="str">
        <f t="shared" si="49"/>
        <v>510_D2</v>
      </c>
      <c r="B1597" t="str">
        <f t="shared" si="48"/>
        <v>510_</v>
      </c>
      <c r="C1597" t="s">
        <v>2692</v>
      </c>
      <c r="D1597" t="s">
        <v>2</v>
      </c>
      <c r="E1597" t="s">
        <v>62</v>
      </c>
      <c r="F1597" t="s">
        <v>63</v>
      </c>
      <c r="G1597" t="s">
        <v>757</v>
      </c>
      <c r="H1597" t="s">
        <v>42</v>
      </c>
      <c r="I1597" t="s">
        <v>67</v>
      </c>
      <c r="J1597" t="s">
        <v>2689</v>
      </c>
      <c r="K1597" t="s">
        <v>56</v>
      </c>
      <c r="M1597" t="s">
        <v>106</v>
      </c>
      <c r="P1597" t="s">
        <v>58</v>
      </c>
      <c r="Q1597" t="s">
        <v>47</v>
      </c>
      <c r="R1597" t="s">
        <v>48</v>
      </c>
      <c r="V1597" t="s">
        <v>49</v>
      </c>
      <c r="X1597" t="s">
        <v>49</v>
      </c>
      <c r="Y1597" t="s">
        <v>59</v>
      </c>
      <c r="Z1597" t="s">
        <v>3850</v>
      </c>
      <c r="AA1597" t="s">
        <v>3850</v>
      </c>
    </row>
    <row r="1598" spans="1:27" x14ac:dyDescent="0.35">
      <c r="A1598" t="str">
        <f t="shared" si="49"/>
        <v>1502F2</v>
      </c>
      <c r="B1598" t="str">
        <f t="shared" si="48"/>
        <v>1502</v>
      </c>
      <c r="C1598" t="s">
        <v>2693</v>
      </c>
      <c r="D1598" t="s">
        <v>4</v>
      </c>
      <c r="E1598" t="s">
        <v>77</v>
      </c>
      <c r="F1598" t="s">
        <v>78</v>
      </c>
      <c r="G1598" t="s">
        <v>757</v>
      </c>
      <c r="H1598" t="s">
        <v>42</v>
      </c>
      <c r="I1598" t="s">
        <v>67</v>
      </c>
      <c r="J1598" t="s">
        <v>2694</v>
      </c>
      <c r="M1598" t="s">
        <v>106</v>
      </c>
      <c r="P1598" t="s">
        <v>91</v>
      </c>
      <c r="Q1598" t="s">
        <v>47</v>
      </c>
      <c r="R1598" t="s">
        <v>48</v>
      </c>
      <c r="V1598" t="s">
        <v>49</v>
      </c>
      <c r="X1598" t="s">
        <v>49</v>
      </c>
      <c r="Y1598" t="s">
        <v>74</v>
      </c>
      <c r="Z1598" t="s">
        <v>2645</v>
      </c>
      <c r="AA1598" t="s">
        <v>2645</v>
      </c>
    </row>
    <row r="1599" spans="1:27" x14ac:dyDescent="0.35">
      <c r="A1599" t="str">
        <f t="shared" si="49"/>
        <v>510_D7</v>
      </c>
      <c r="B1599" t="str">
        <f t="shared" si="48"/>
        <v>510_</v>
      </c>
      <c r="C1599" t="s">
        <v>2695</v>
      </c>
      <c r="D1599" t="s">
        <v>6</v>
      </c>
      <c r="E1599" t="s">
        <v>94</v>
      </c>
      <c r="F1599" t="s">
        <v>111</v>
      </c>
      <c r="G1599" t="s">
        <v>757</v>
      </c>
      <c r="H1599" t="s">
        <v>42</v>
      </c>
      <c r="I1599" t="s">
        <v>67</v>
      </c>
      <c r="J1599" t="s">
        <v>2689</v>
      </c>
      <c r="M1599" t="s">
        <v>106</v>
      </c>
      <c r="P1599" t="s">
        <v>46</v>
      </c>
      <c r="Q1599" t="s">
        <v>47</v>
      </c>
      <c r="R1599" t="s">
        <v>48</v>
      </c>
      <c r="V1599" t="s">
        <v>49</v>
      </c>
      <c r="X1599" t="s">
        <v>49</v>
      </c>
      <c r="Y1599" t="s">
        <v>59</v>
      </c>
      <c r="Z1599" t="s">
        <v>3676</v>
      </c>
      <c r="AA1599" t="s">
        <v>2696</v>
      </c>
    </row>
    <row r="1600" spans="1:27" x14ac:dyDescent="0.35">
      <c r="A1600" t="str">
        <f t="shared" si="49"/>
        <v>1502D4</v>
      </c>
      <c r="B1600" t="str">
        <f t="shared" si="48"/>
        <v>1502</v>
      </c>
      <c r="C1600" t="s">
        <v>2697</v>
      </c>
      <c r="D1600" t="s">
        <v>3</v>
      </c>
      <c r="E1600" t="s">
        <v>52</v>
      </c>
      <c r="F1600" t="s">
        <v>53</v>
      </c>
      <c r="G1600" t="s">
        <v>757</v>
      </c>
      <c r="H1600" t="s">
        <v>42</v>
      </c>
      <c r="I1600" t="s">
        <v>43</v>
      </c>
      <c r="J1600" t="s">
        <v>2694</v>
      </c>
      <c r="K1600" t="s">
        <v>56</v>
      </c>
      <c r="M1600" t="s">
        <v>106</v>
      </c>
      <c r="P1600" t="s">
        <v>58</v>
      </c>
      <c r="Q1600" t="s">
        <v>47</v>
      </c>
      <c r="R1600" t="s">
        <v>48</v>
      </c>
      <c r="V1600" t="s">
        <v>49</v>
      </c>
      <c r="X1600" t="s">
        <v>49</v>
      </c>
      <c r="Y1600" t="s">
        <v>59</v>
      </c>
      <c r="Z1600" t="s">
        <v>2647</v>
      </c>
      <c r="AA1600" t="s">
        <v>2647</v>
      </c>
    </row>
    <row r="1601" spans="1:27" x14ac:dyDescent="0.35">
      <c r="A1601" t="str">
        <f t="shared" si="49"/>
        <v>510_D4</v>
      </c>
      <c r="B1601" t="str">
        <f t="shared" si="48"/>
        <v>510_</v>
      </c>
      <c r="C1601" t="s">
        <v>2698</v>
      </c>
      <c r="D1601" t="s">
        <v>3</v>
      </c>
      <c r="E1601" t="s">
        <v>52</v>
      </c>
      <c r="F1601" t="s">
        <v>53</v>
      </c>
      <c r="G1601" t="s">
        <v>757</v>
      </c>
      <c r="H1601" t="s">
        <v>42</v>
      </c>
      <c r="I1601" t="s">
        <v>67</v>
      </c>
      <c r="J1601" t="s">
        <v>2689</v>
      </c>
      <c r="K1601" t="s">
        <v>56</v>
      </c>
      <c r="M1601" t="s">
        <v>106</v>
      </c>
      <c r="P1601" t="s">
        <v>58</v>
      </c>
      <c r="Q1601" t="s">
        <v>47</v>
      </c>
      <c r="R1601" t="s">
        <v>48</v>
      </c>
      <c r="V1601" t="s">
        <v>49</v>
      </c>
      <c r="X1601" t="s">
        <v>49</v>
      </c>
      <c r="Y1601" t="s">
        <v>59</v>
      </c>
      <c r="Z1601" t="s">
        <v>3834</v>
      </c>
      <c r="AA1601" t="s">
        <v>3832</v>
      </c>
    </row>
    <row r="1602" spans="1:27" x14ac:dyDescent="0.35">
      <c r="A1602" t="str">
        <f t="shared" si="49"/>
        <v>1502D2</v>
      </c>
      <c r="B1602" t="str">
        <f t="shared" ref="B1602:B1665" si="50">LEFT($J:$J,4)</f>
        <v>1502</v>
      </c>
      <c r="C1602" t="s">
        <v>2699</v>
      </c>
      <c r="D1602" t="s">
        <v>2</v>
      </c>
      <c r="E1602" t="s">
        <v>62</v>
      </c>
      <c r="F1602" t="s">
        <v>63</v>
      </c>
      <c r="G1602" t="s">
        <v>757</v>
      </c>
      <c r="H1602" t="s">
        <v>42</v>
      </c>
      <c r="I1602" t="s">
        <v>43</v>
      </c>
      <c r="J1602" t="s">
        <v>2694</v>
      </c>
      <c r="K1602" t="s">
        <v>56</v>
      </c>
      <c r="M1602" t="s">
        <v>106</v>
      </c>
      <c r="P1602" t="s">
        <v>58</v>
      </c>
      <c r="Q1602" t="s">
        <v>47</v>
      </c>
      <c r="R1602" t="s">
        <v>48</v>
      </c>
      <c r="V1602" t="s">
        <v>49</v>
      </c>
      <c r="X1602" t="s">
        <v>49</v>
      </c>
      <c r="Y1602" t="s">
        <v>59</v>
      </c>
      <c r="Z1602" t="s">
        <v>2700</v>
      </c>
      <c r="AA1602" t="s">
        <v>2700</v>
      </c>
    </row>
    <row r="1603" spans="1:27" x14ac:dyDescent="0.35">
      <c r="A1603" t="str">
        <f t="shared" ref="A1603:A1666" si="51">B1603&amp;D1603</f>
        <v>509_F3</v>
      </c>
      <c r="B1603" t="str">
        <f t="shared" si="50"/>
        <v>509_</v>
      </c>
      <c r="C1603" t="s">
        <v>2701</v>
      </c>
      <c r="D1603" t="s">
        <v>5</v>
      </c>
      <c r="E1603" t="s">
        <v>40</v>
      </c>
      <c r="F1603" t="s">
        <v>73</v>
      </c>
      <c r="G1603" t="s">
        <v>757</v>
      </c>
      <c r="H1603" t="s">
        <v>42</v>
      </c>
      <c r="I1603" t="s">
        <v>67</v>
      </c>
      <c r="J1603" t="s">
        <v>2702</v>
      </c>
      <c r="M1603" t="s">
        <v>106</v>
      </c>
      <c r="P1603" t="s">
        <v>58</v>
      </c>
      <c r="Q1603" t="s">
        <v>47</v>
      </c>
      <c r="R1603" t="s">
        <v>48</v>
      </c>
      <c r="V1603" t="s">
        <v>49</v>
      </c>
      <c r="X1603" t="s">
        <v>49</v>
      </c>
      <c r="Y1603" t="s">
        <v>74</v>
      </c>
      <c r="Z1603" t="s">
        <v>3598</v>
      </c>
      <c r="AA1603" t="s">
        <v>3598</v>
      </c>
    </row>
    <row r="1604" spans="1:27" x14ac:dyDescent="0.35">
      <c r="A1604" t="str">
        <f t="shared" si="51"/>
        <v>1502F3</v>
      </c>
      <c r="B1604" t="str">
        <f t="shared" si="50"/>
        <v>1502</v>
      </c>
      <c r="C1604" t="s">
        <v>2703</v>
      </c>
      <c r="D1604" t="s">
        <v>5</v>
      </c>
      <c r="E1604" t="s">
        <v>40</v>
      </c>
      <c r="F1604" t="s">
        <v>73</v>
      </c>
      <c r="G1604" t="s">
        <v>757</v>
      </c>
      <c r="H1604" t="s">
        <v>42</v>
      </c>
      <c r="I1604" t="s">
        <v>67</v>
      </c>
      <c r="J1604" t="s">
        <v>2694</v>
      </c>
      <c r="M1604" t="s">
        <v>106</v>
      </c>
      <c r="P1604" t="s">
        <v>58</v>
      </c>
      <c r="Q1604" t="s">
        <v>47</v>
      </c>
      <c r="R1604" t="s">
        <v>48</v>
      </c>
      <c r="V1604" t="s">
        <v>49</v>
      </c>
      <c r="X1604" t="s">
        <v>49</v>
      </c>
      <c r="Y1604" t="s">
        <v>74</v>
      </c>
      <c r="Z1604" t="s">
        <v>623</v>
      </c>
      <c r="AA1604" t="s">
        <v>623</v>
      </c>
    </row>
    <row r="1605" spans="1:27" x14ac:dyDescent="0.35">
      <c r="A1605" t="str">
        <f t="shared" si="51"/>
        <v>1502C2</v>
      </c>
      <c r="B1605" t="str">
        <f t="shared" si="50"/>
        <v>1502</v>
      </c>
      <c r="C1605" t="s">
        <v>2704</v>
      </c>
      <c r="D1605" t="s">
        <v>1</v>
      </c>
      <c r="E1605" t="s">
        <v>65</v>
      </c>
      <c r="F1605" t="s">
        <v>66</v>
      </c>
      <c r="G1605" t="s">
        <v>757</v>
      </c>
      <c r="H1605" t="s">
        <v>42</v>
      </c>
      <c r="I1605" t="s">
        <v>67</v>
      </c>
      <c r="J1605" t="s">
        <v>2694</v>
      </c>
      <c r="M1605" t="s">
        <v>106</v>
      </c>
      <c r="P1605" t="s">
        <v>69</v>
      </c>
      <c r="Q1605" t="s">
        <v>47</v>
      </c>
      <c r="R1605" t="s">
        <v>48</v>
      </c>
      <c r="V1605" t="s">
        <v>49</v>
      </c>
      <c r="X1605" t="s">
        <v>49</v>
      </c>
      <c r="Y1605" t="s">
        <v>70</v>
      </c>
      <c r="Z1605" t="s">
        <v>2705</v>
      </c>
      <c r="AA1605" t="s">
        <v>2705</v>
      </c>
    </row>
    <row r="1606" spans="1:27" x14ac:dyDescent="0.35">
      <c r="A1606" t="str">
        <f t="shared" si="51"/>
        <v>1502D7</v>
      </c>
      <c r="B1606" t="str">
        <f t="shared" si="50"/>
        <v>1502</v>
      </c>
      <c r="C1606" t="s">
        <v>2706</v>
      </c>
      <c r="D1606" t="s">
        <v>6</v>
      </c>
      <c r="E1606" t="s">
        <v>94</v>
      </c>
      <c r="F1606" t="s">
        <v>111</v>
      </c>
      <c r="G1606" t="s">
        <v>757</v>
      </c>
      <c r="H1606" t="s">
        <v>42</v>
      </c>
      <c r="I1606" t="s">
        <v>43</v>
      </c>
      <c r="J1606" t="s">
        <v>2694</v>
      </c>
      <c r="M1606" t="s">
        <v>106</v>
      </c>
      <c r="P1606" t="s">
        <v>46</v>
      </c>
      <c r="Q1606" t="s">
        <v>47</v>
      </c>
      <c r="R1606" t="s">
        <v>48</v>
      </c>
      <c r="V1606" t="s">
        <v>49</v>
      </c>
      <c r="X1606" t="s">
        <v>49</v>
      </c>
      <c r="Y1606" t="s">
        <v>59</v>
      </c>
      <c r="Z1606" t="s">
        <v>2682</v>
      </c>
      <c r="AA1606" t="s">
        <v>2682</v>
      </c>
    </row>
    <row r="1607" spans="1:27" x14ac:dyDescent="0.35">
      <c r="A1607" t="str">
        <f t="shared" si="51"/>
        <v>509_F2</v>
      </c>
      <c r="B1607" t="str">
        <f t="shared" si="50"/>
        <v>509_</v>
      </c>
      <c r="C1607" t="s">
        <v>2707</v>
      </c>
      <c r="D1607" t="s">
        <v>4</v>
      </c>
      <c r="E1607" t="s">
        <v>77</v>
      </c>
      <c r="F1607" t="s">
        <v>78</v>
      </c>
      <c r="G1607" t="s">
        <v>757</v>
      </c>
      <c r="H1607" t="s">
        <v>42</v>
      </c>
      <c r="I1607" t="s">
        <v>67</v>
      </c>
      <c r="J1607" t="s">
        <v>2702</v>
      </c>
      <c r="M1607" t="s">
        <v>106</v>
      </c>
      <c r="P1607" t="s">
        <v>79</v>
      </c>
      <c r="Q1607" t="s">
        <v>47</v>
      </c>
      <c r="R1607" t="s">
        <v>48</v>
      </c>
      <c r="V1607" t="s">
        <v>49</v>
      </c>
      <c r="X1607" t="s">
        <v>49</v>
      </c>
      <c r="Y1607" t="s">
        <v>74</v>
      </c>
      <c r="Z1607" t="s">
        <v>3598</v>
      </c>
      <c r="AA1607" t="s">
        <v>3598</v>
      </c>
    </row>
    <row r="1608" spans="1:27" x14ac:dyDescent="0.35">
      <c r="A1608" t="str">
        <f t="shared" si="51"/>
        <v>509_C2</v>
      </c>
      <c r="B1608" t="str">
        <f t="shared" si="50"/>
        <v>509_</v>
      </c>
      <c r="C1608" t="s">
        <v>2708</v>
      </c>
      <c r="D1608" t="s">
        <v>1</v>
      </c>
      <c r="E1608" t="s">
        <v>65</v>
      </c>
      <c r="F1608" t="s">
        <v>66</v>
      </c>
      <c r="G1608" t="s">
        <v>757</v>
      </c>
      <c r="H1608" t="s">
        <v>42</v>
      </c>
      <c r="I1608" t="s">
        <v>67</v>
      </c>
      <c r="J1608" t="s">
        <v>2702</v>
      </c>
      <c r="M1608" t="s">
        <v>106</v>
      </c>
      <c r="P1608" t="s">
        <v>69</v>
      </c>
      <c r="Q1608" t="s">
        <v>47</v>
      </c>
      <c r="R1608" t="s">
        <v>48</v>
      </c>
      <c r="V1608" t="s">
        <v>49</v>
      </c>
      <c r="X1608" t="s">
        <v>49</v>
      </c>
      <c r="Y1608" t="s">
        <v>70</v>
      </c>
      <c r="Z1608" t="s">
        <v>3957</v>
      </c>
      <c r="AA1608" t="s">
        <v>3957</v>
      </c>
    </row>
    <row r="1609" spans="1:27" x14ac:dyDescent="0.35">
      <c r="A1609" t="str">
        <f t="shared" si="51"/>
        <v>509_D2</v>
      </c>
      <c r="B1609" t="str">
        <f t="shared" si="50"/>
        <v>509_</v>
      </c>
      <c r="C1609" t="s">
        <v>2709</v>
      </c>
      <c r="D1609" t="s">
        <v>2</v>
      </c>
      <c r="E1609" t="s">
        <v>62</v>
      </c>
      <c r="F1609" t="s">
        <v>63</v>
      </c>
      <c r="G1609" t="s">
        <v>757</v>
      </c>
      <c r="H1609" t="s">
        <v>42</v>
      </c>
      <c r="I1609" t="s">
        <v>67</v>
      </c>
      <c r="J1609" t="s">
        <v>2702</v>
      </c>
      <c r="K1609" t="s">
        <v>56</v>
      </c>
      <c r="M1609" t="s">
        <v>106</v>
      </c>
      <c r="P1609" t="s">
        <v>58</v>
      </c>
      <c r="Q1609" t="s">
        <v>47</v>
      </c>
      <c r="R1609" t="s">
        <v>48</v>
      </c>
      <c r="V1609" t="s">
        <v>49</v>
      </c>
      <c r="X1609" t="s">
        <v>49</v>
      </c>
      <c r="Y1609" t="s">
        <v>59</v>
      </c>
      <c r="Z1609" t="s">
        <v>3850</v>
      </c>
      <c r="AA1609" t="s">
        <v>3850</v>
      </c>
    </row>
    <row r="1610" spans="1:27" x14ac:dyDescent="0.35">
      <c r="A1610" t="str">
        <f t="shared" si="51"/>
        <v>509_D7</v>
      </c>
      <c r="B1610" t="str">
        <f t="shared" si="50"/>
        <v>509_</v>
      </c>
      <c r="C1610" t="s">
        <v>2710</v>
      </c>
      <c r="D1610" t="s">
        <v>6</v>
      </c>
      <c r="E1610" t="s">
        <v>94</v>
      </c>
      <c r="F1610" t="s">
        <v>111</v>
      </c>
      <c r="G1610" t="s">
        <v>757</v>
      </c>
      <c r="H1610" t="s">
        <v>42</v>
      </c>
      <c r="I1610" t="s">
        <v>67</v>
      </c>
      <c r="J1610" t="s">
        <v>2702</v>
      </c>
      <c r="M1610" t="s">
        <v>106</v>
      </c>
      <c r="P1610" t="s">
        <v>46</v>
      </c>
      <c r="Q1610" t="s">
        <v>47</v>
      </c>
      <c r="R1610" t="s">
        <v>48</v>
      </c>
      <c r="V1610" t="s">
        <v>49</v>
      </c>
      <c r="X1610" t="s">
        <v>49</v>
      </c>
      <c r="Y1610" t="s">
        <v>59</v>
      </c>
      <c r="Z1610" t="s">
        <v>3677</v>
      </c>
      <c r="AA1610" t="s">
        <v>2696</v>
      </c>
    </row>
    <row r="1611" spans="1:27" x14ac:dyDescent="0.35">
      <c r="A1611" t="str">
        <f t="shared" si="51"/>
        <v>509_D4</v>
      </c>
      <c r="B1611" t="str">
        <f t="shared" si="50"/>
        <v>509_</v>
      </c>
      <c r="C1611" t="s">
        <v>2711</v>
      </c>
      <c r="D1611" t="s">
        <v>3</v>
      </c>
      <c r="E1611" t="s">
        <v>52</v>
      </c>
      <c r="F1611" t="s">
        <v>53</v>
      </c>
      <c r="G1611" t="s">
        <v>757</v>
      </c>
      <c r="H1611" t="s">
        <v>42</v>
      </c>
      <c r="I1611" t="s">
        <v>67</v>
      </c>
      <c r="J1611" t="s">
        <v>2702</v>
      </c>
      <c r="K1611" t="s">
        <v>56</v>
      </c>
      <c r="M1611" t="s">
        <v>106</v>
      </c>
      <c r="P1611" t="s">
        <v>58</v>
      </c>
      <c r="Q1611" t="s">
        <v>47</v>
      </c>
      <c r="R1611" t="s">
        <v>48</v>
      </c>
      <c r="V1611" t="s">
        <v>49</v>
      </c>
      <c r="X1611" t="s">
        <v>49</v>
      </c>
      <c r="Y1611" t="s">
        <v>59</v>
      </c>
      <c r="Z1611" t="s">
        <v>3835</v>
      </c>
      <c r="AA1611" t="s">
        <v>3832</v>
      </c>
    </row>
    <row r="1612" spans="1:27" x14ac:dyDescent="0.35">
      <c r="A1612" t="str">
        <f t="shared" si="51"/>
        <v>508_F3</v>
      </c>
      <c r="B1612" t="str">
        <f t="shared" si="50"/>
        <v>508_</v>
      </c>
      <c r="C1612" t="s">
        <v>2712</v>
      </c>
      <c r="D1612" t="s">
        <v>5</v>
      </c>
      <c r="E1612" t="s">
        <v>40</v>
      </c>
      <c r="F1612" t="s">
        <v>73</v>
      </c>
      <c r="G1612" t="s">
        <v>757</v>
      </c>
      <c r="H1612" t="s">
        <v>42</v>
      </c>
      <c r="I1612" t="s">
        <v>67</v>
      </c>
      <c r="J1612" t="s">
        <v>2713</v>
      </c>
      <c r="M1612" t="s">
        <v>106</v>
      </c>
      <c r="P1612" t="s">
        <v>58</v>
      </c>
      <c r="Q1612" t="s">
        <v>47</v>
      </c>
      <c r="R1612" t="s">
        <v>48</v>
      </c>
      <c r="V1612" t="s">
        <v>49</v>
      </c>
      <c r="X1612" t="s">
        <v>49</v>
      </c>
      <c r="Y1612" t="s">
        <v>74</v>
      </c>
      <c r="Z1612" t="s">
        <v>3598</v>
      </c>
      <c r="AA1612" t="s">
        <v>3598</v>
      </c>
    </row>
    <row r="1613" spans="1:27" x14ac:dyDescent="0.35">
      <c r="A1613" t="str">
        <f t="shared" si="51"/>
        <v>508_F2</v>
      </c>
      <c r="B1613" t="str">
        <f t="shared" si="50"/>
        <v>508_</v>
      </c>
      <c r="C1613" t="s">
        <v>2714</v>
      </c>
      <c r="D1613" t="s">
        <v>4</v>
      </c>
      <c r="E1613" t="s">
        <v>77</v>
      </c>
      <c r="F1613" t="s">
        <v>78</v>
      </c>
      <c r="G1613" t="s">
        <v>757</v>
      </c>
      <c r="H1613" t="s">
        <v>42</v>
      </c>
      <c r="I1613" t="s">
        <v>67</v>
      </c>
      <c r="J1613" t="s">
        <v>2713</v>
      </c>
      <c r="M1613" t="s">
        <v>106</v>
      </c>
      <c r="P1613" t="s">
        <v>138</v>
      </c>
      <c r="Q1613" t="s">
        <v>47</v>
      </c>
      <c r="R1613" t="s">
        <v>48</v>
      </c>
      <c r="V1613" t="s">
        <v>49</v>
      </c>
      <c r="X1613" t="s">
        <v>49</v>
      </c>
      <c r="Y1613" t="s">
        <v>74</v>
      </c>
      <c r="Z1613" t="s">
        <v>3598</v>
      </c>
      <c r="AA1613" t="s">
        <v>3598</v>
      </c>
    </row>
    <row r="1614" spans="1:27" x14ac:dyDescent="0.35">
      <c r="A1614" t="str">
        <f t="shared" si="51"/>
        <v>508_C2</v>
      </c>
      <c r="B1614" t="str">
        <f t="shared" si="50"/>
        <v>508_</v>
      </c>
      <c r="C1614" t="s">
        <v>2715</v>
      </c>
      <c r="D1614" t="s">
        <v>1</v>
      </c>
      <c r="E1614" t="s">
        <v>65</v>
      </c>
      <c r="F1614" t="s">
        <v>66</v>
      </c>
      <c r="G1614" t="s">
        <v>757</v>
      </c>
      <c r="H1614" t="s">
        <v>42</v>
      </c>
      <c r="I1614" t="s">
        <v>67</v>
      </c>
      <c r="J1614" t="s">
        <v>2713</v>
      </c>
      <c r="M1614" t="s">
        <v>106</v>
      </c>
      <c r="P1614" t="s">
        <v>69</v>
      </c>
      <c r="Q1614" t="s">
        <v>47</v>
      </c>
      <c r="R1614" t="s">
        <v>48</v>
      </c>
      <c r="V1614" t="s">
        <v>49</v>
      </c>
      <c r="X1614" t="s">
        <v>49</v>
      </c>
      <c r="Y1614" t="s">
        <v>70</v>
      </c>
      <c r="Z1614" t="s">
        <v>3851</v>
      </c>
      <c r="AA1614" t="s">
        <v>3851</v>
      </c>
    </row>
    <row r="1615" spans="1:27" x14ac:dyDescent="0.35">
      <c r="A1615" t="str">
        <f t="shared" si="51"/>
        <v>1501F2</v>
      </c>
      <c r="B1615" t="str">
        <f t="shared" si="50"/>
        <v>1501</v>
      </c>
      <c r="C1615" t="s">
        <v>2716</v>
      </c>
      <c r="D1615" t="s">
        <v>4</v>
      </c>
      <c r="E1615" t="s">
        <v>77</v>
      </c>
      <c r="F1615" t="s">
        <v>78</v>
      </c>
      <c r="G1615" t="s">
        <v>757</v>
      </c>
      <c r="H1615" t="s">
        <v>42</v>
      </c>
      <c r="I1615" t="s">
        <v>67</v>
      </c>
      <c r="J1615" t="s">
        <v>2717</v>
      </c>
      <c r="M1615" t="s">
        <v>106</v>
      </c>
      <c r="P1615" t="s">
        <v>138</v>
      </c>
      <c r="Q1615" t="s">
        <v>47</v>
      </c>
      <c r="R1615" t="s">
        <v>48</v>
      </c>
      <c r="V1615" t="s">
        <v>49</v>
      </c>
      <c r="X1615" t="s">
        <v>49</v>
      </c>
      <c r="Y1615" t="s">
        <v>74</v>
      </c>
      <c r="Z1615" t="s">
        <v>2718</v>
      </c>
      <c r="AA1615" t="s">
        <v>2718</v>
      </c>
    </row>
    <row r="1616" spans="1:27" x14ac:dyDescent="0.35">
      <c r="A1616" t="str">
        <f t="shared" si="51"/>
        <v>1501D4</v>
      </c>
      <c r="B1616" t="str">
        <f t="shared" si="50"/>
        <v>1501</v>
      </c>
      <c r="C1616" t="s">
        <v>2719</v>
      </c>
      <c r="D1616" t="s">
        <v>3</v>
      </c>
      <c r="E1616" t="s">
        <v>52</v>
      </c>
      <c r="F1616" t="s">
        <v>53</v>
      </c>
      <c r="G1616" t="s">
        <v>757</v>
      </c>
      <c r="H1616" t="s">
        <v>42</v>
      </c>
      <c r="I1616" t="s">
        <v>43</v>
      </c>
      <c r="J1616" t="s">
        <v>2717</v>
      </c>
      <c r="K1616" t="s">
        <v>56</v>
      </c>
      <c r="M1616" t="s">
        <v>106</v>
      </c>
      <c r="P1616" t="s">
        <v>58</v>
      </c>
      <c r="Q1616" t="s">
        <v>47</v>
      </c>
      <c r="R1616" t="s">
        <v>48</v>
      </c>
      <c r="V1616" t="s">
        <v>49</v>
      </c>
      <c r="X1616" t="s">
        <v>49</v>
      </c>
      <c r="Y1616" t="s">
        <v>59</v>
      </c>
      <c r="Z1616" t="s">
        <v>2720</v>
      </c>
      <c r="AA1616" t="s">
        <v>2720</v>
      </c>
    </row>
    <row r="1617" spans="1:27" x14ac:dyDescent="0.35">
      <c r="A1617" t="str">
        <f t="shared" si="51"/>
        <v>508_D2</v>
      </c>
      <c r="B1617" t="str">
        <f t="shared" si="50"/>
        <v>508_</v>
      </c>
      <c r="C1617" t="s">
        <v>2721</v>
      </c>
      <c r="D1617" t="s">
        <v>2</v>
      </c>
      <c r="E1617" t="s">
        <v>62</v>
      </c>
      <c r="F1617" t="s">
        <v>63</v>
      </c>
      <c r="G1617" t="s">
        <v>757</v>
      </c>
      <c r="H1617" t="s">
        <v>42</v>
      </c>
      <c r="I1617" t="s">
        <v>67</v>
      </c>
      <c r="J1617" t="s">
        <v>2713</v>
      </c>
      <c r="K1617" t="s">
        <v>56</v>
      </c>
      <c r="M1617" t="s">
        <v>106</v>
      </c>
      <c r="P1617" t="s">
        <v>58</v>
      </c>
      <c r="Q1617" t="s">
        <v>47</v>
      </c>
      <c r="R1617" t="s">
        <v>48</v>
      </c>
      <c r="V1617" t="s">
        <v>49</v>
      </c>
      <c r="X1617" t="s">
        <v>49</v>
      </c>
      <c r="Y1617" t="s">
        <v>59</v>
      </c>
      <c r="Z1617" t="s">
        <v>3850</v>
      </c>
      <c r="AA1617" t="s">
        <v>3850</v>
      </c>
    </row>
    <row r="1618" spans="1:27" x14ac:dyDescent="0.35">
      <c r="A1618" t="str">
        <f t="shared" si="51"/>
        <v>508_D7</v>
      </c>
      <c r="B1618" t="str">
        <f t="shared" si="50"/>
        <v>508_</v>
      </c>
      <c r="C1618" t="s">
        <v>2722</v>
      </c>
      <c r="D1618" t="s">
        <v>6</v>
      </c>
      <c r="E1618" t="s">
        <v>94</v>
      </c>
      <c r="F1618" t="s">
        <v>111</v>
      </c>
      <c r="G1618" t="s">
        <v>757</v>
      </c>
      <c r="H1618" t="s">
        <v>42</v>
      </c>
      <c r="I1618" t="s">
        <v>67</v>
      </c>
      <c r="J1618" t="s">
        <v>2713</v>
      </c>
      <c r="M1618" t="s">
        <v>106</v>
      </c>
      <c r="P1618" t="s">
        <v>58</v>
      </c>
      <c r="Q1618" t="s">
        <v>47</v>
      </c>
      <c r="R1618" t="s">
        <v>48</v>
      </c>
      <c r="V1618" t="s">
        <v>49</v>
      </c>
      <c r="X1618" t="s">
        <v>49</v>
      </c>
      <c r="Y1618" t="s">
        <v>59</v>
      </c>
      <c r="Z1618" t="s">
        <v>2696</v>
      </c>
      <c r="AA1618" t="s">
        <v>2696</v>
      </c>
    </row>
    <row r="1619" spans="1:27" x14ac:dyDescent="0.35">
      <c r="A1619" t="str">
        <f t="shared" si="51"/>
        <v>1501D2</v>
      </c>
      <c r="B1619" t="str">
        <f t="shared" si="50"/>
        <v>1501</v>
      </c>
      <c r="C1619" t="s">
        <v>2723</v>
      </c>
      <c r="D1619" t="s">
        <v>2</v>
      </c>
      <c r="E1619" t="s">
        <v>62</v>
      </c>
      <c r="F1619" t="s">
        <v>63</v>
      </c>
      <c r="G1619" t="s">
        <v>757</v>
      </c>
      <c r="H1619" t="s">
        <v>42</v>
      </c>
      <c r="I1619" t="s">
        <v>43</v>
      </c>
      <c r="J1619" t="s">
        <v>2717</v>
      </c>
      <c r="K1619" t="s">
        <v>56</v>
      </c>
      <c r="M1619" t="s">
        <v>106</v>
      </c>
      <c r="P1619" t="s">
        <v>58</v>
      </c>
      <c r="Q1619" t="s">
        <v>47</v>
      </c>
      <c r="R1619" t="s">
        <v>48</v>
      </c>
      <c r="V1619" t="s">
        <v>49</v>
      </c>
      <c r="X1619" t="s">
        <v>49</v>
      </c>
      <c r="Y1619" t="s">
        <v>59</v>
      </c>
      <c r="Z1619" t="s">
        <v>2700</v>
      </c>
      <c r="AA1619" t="s">
        <v>2700</v>
      </c>
    </row>
    <row r="1620" spans="1:27" x14ac:dyDescent="0.35">
      <c r="A1620" t="str">
        <f t="shared" si="51"/>
        <v>508_D4</v>
      </c>
      <c r="B1620" t="str">
        <f t="shared" si="50"/>
        <v>508_</v>
      </c>
      <c r="C1620" t="s">
        <v>2724</v>
      </c>
      <c r="D1620" t="s">
        <v>3</v>
      </c>
      <c r="E1620" t="s">
        <v>52</v>
      </c>
      <c r="F1620" t="s">
        <v>53</v>
      </c>
      <c r="G1620" t="s">
        <v>757</v>
      </c>
      <c r="H1620" t="s">
        <v>42</v>
      </c>
      <c r="I1620" t="s">
        <v>67</v>
      </c>
      <c r="J1620" t="s">
        <v>2713</v>
      </c>
      <c r="K1620" t="s">
        <v>56</v>
      </c>
      <c r="M1620" t="s">
        <v>106</v>
      </c>
      <c r="P1620" t="s">
        <v>58</v>
      </c>
      <c r="Q1620" t="s">
        <v>47</v>
      </c>
      <c r="R1620" t="s">
        <v>48</v>
      </c>
      <c r="V1620" t="s">
        <v>49</v>
      </c>
      <c r="X1620" t="s">
        <v>49</v>
      </c>
      <c r="Y1620" t="s">
        <v>59</v>
      </c>
      <c r="Z1620" t="s">
        <v>3836</v>
      </c>
      <c r="AA1620" t="s">
        <v>3832</v>
      </c>
    </row>
    <row r="1621" spans="1:27" x14ac:dyDescent="0.35">
      <c r="A1621" t="str">
        <f t="shared" si="51"/>
        <v>1501F3</v>
      </c>
      <c r="B1621" t="str">
        <f t="shared" si="50"/>
        <v>1501</v>
      </c>
      <c r="C1621" t="s">
        <v>2725</v>
      </c>
      <c r="D1621" t="s">
        <v>5</v>
      </c>
      <c r="E1621" t="s">
        <v>40</v>
      </c>
      <c r="F1621" t="s">
        <v>73</v>
      </c>
      <c r="G1621" t="s">
        <v>757</v>
      </c>
      <c r="H1621" t="s">
        <v>42</v>
      </c>
      <c r="I1621" t="s">
        <v>67</v>
      </c>
      <c r="J1621" t="s">
        <v>2717</v>
      </c>
      <c r="M1621" t="s">
        <v>106</v>
      </c>
      <c r="P1621" t="s">
        <v>58</v>
      </c>
      <c r="Q1621" t="s">
        <v>47</v>
      </c>
      <c r="R1621" t="s">
        <v>48</v>
      </c>
      <c r="V1621" t="s">
        <v>49</v>
      </c>
      <c r="X1621" t="s">
        <v>49</v>
      </c>
      <c r="Y1621" t="s">
        <v>74</v>
      </c>
      <c r="Z1621" t="s">
        <v>787</v>
      </c>
      <c r="AA1621" t="s">
        <v>787</v>
      </c>
    </row>
    <row r="1622" spans="1:27" x14ac:dyDescent="0.35">
      <c r="A1622" t="str">
        <f t="shared" si="51"/>
        <v>507_F3</v>
      </c>
      <c r="B1622" t="str">
        <f t="shared" si="50"/>
        <v>507_</v>
      </c>
      <c r="C1622" t="s">
        <v>2726</v>
      </c>
      <c r="D1622" t="s">
        <v>5</v>
      </c>
      <c r="E1622" t="s">
        <v>40</v>
      </c>
      <c r="F1622" t="s">
        <v>73</v>
      </c>
      <c r="G1622" t="s">
        <v>757</v>
      </c>
      <c r="H1622" t="s">
        <v>42</v>
      </c>
      <c r="I1622" t="s">
        <v>67</v>
      </c>
      <c r="J1622" t="s">
        <v>2727</v>
      </c>
      <c r="M1622" t="s">
        <v>106</v>
      </c>
      <c r="P1622" t="s">
        <v>46</v>
      </c>
      <c r="Q1622" t="s">
        <v>47</v>
      </c>
      <c r="R1622" t="s">
        <v>48</v>
      </c>
      <c r="V1622" t="s">
        <v>49</v>
      </c>
      <c r="X1622" t="s">
        <v>49</v>
      </c>
      <c r="Y1622" t="s">
        <v>74</v>
      </c>
      <c r="Z1622" t="s">
        <v>2556</v>
      </c>
      <c r="AA1622" t="s">
        <v>2556</v>
      </c>
    </row>
    <row r="1623" spans="1:27" x14ac:dyDescent="0.35">
      <c r="A1623" t="str">
        <f t="shared" si="51"/>
        <v>1501C2</v>
      </c>
      <c r="B1623" t="str">
        <f t="shared" si="50"/>
        <v>1501</v>
      </c>
      <c r="C1623" t="s">
        <v>2728</v>
      </c>
      <c r="D1623" t="s">
        <v>1</v>
      </c>
      <c r="E1623" t="s">
        <v>65</v>
      </c>
      <c r="F1623" t="s">
        <v>66</v>
      </c>
      <c r="G1623" t="s">
        <v>757</v>
      </c>
      <c r="H1623" t="s">
        <v>42</v>
      </c>
      <c r="I1623" t="s">
        <v>67</v>
      </c>
      <c r="J1623" t="s">
        <v>2717</v>
      </c>
      <c r="M1623" t="s">
        <v>106</v>
      </c>
      <c r="P1623" t="s">
        <v>69</v>
      </c>
      <c r="Q1623" t="s">
        <v>47</v>
      </c>
      <c r="R1623" t="s">
        <v>48</v>
      </c>
      <c r="V1623" t="s">
        <v>49</v>
      </c>
      <c r="X1623" t="s">
        <v>49</v>
      </c>
      <c r="Y1623" t="s">
        <v>70</v>
      </c>
      <c r="Z1623" t="s">
        <v>2729</v>
      </c>
      <c r="AA1623" t="s">
        <v>2729</v>
      </c>
    </row>
    <row r="1624" spans="1:27" x14ac:dyDescent="0.35">
      <c r="A1624" t="str">
        <f t="shared" si="51"/>
        <v>1501D7</v>
      </c>
      <c r="B1624" t="str">
        <f t="shared" si="50"/>
        <v>1501</v>
      </c>
      <c r="C1624" t="s">
        <v>2730</v>
      </c>
      <c r="D1624" t="s">
        <v>6</v>
      </c>
      <c r="E1624" t="s">
        <v>94</v>
      </c>
      <c r="F1624" t="s">
        <v>111</v>
      </c>
      <c r="G1624" t="s">
        <v>757</v>
      </c>
      <c r="H1624" t="s">
        <v>42</v>
      </c>
      <c r="I1624" t="s">
        <v>43</v>
      </c>
      <c r="J1624" t="s">
        <v>2717</v>
      </c>
      <c r="M1624" t="s">
        <v>106</v>
      </c>
      <c r="P1624" t="s">
        <v>46</v>
      </c>
      <c r="Q1624" t="s">
        <v>47</v>
      </c>
      <c r="R1624" t="s">
        <v>48</v>
      </c>
      <c r="V1624" t="s">
        <v>49</v>
      </c>
      <c r="X1624" t="s">
        <v>49</v>
      </c>
      <c r="Y1624" t="s">
        <v>59</v>
      </c>
      <c r="Z1624" t="s">
        <v>2682</v>
      </c>
      <c r="AA1624" t="s">
        <v>2682</v>
      </c>
    </row>
    <row r="1625" spans="1:27" x14ac:dyDescent="0.35">
      <c r="A1625" t="str">
        <f t="shared" si="51"/>
        <v>507_F2</v>
      </c>
      <c r="B1625" t="str">
        <f t="shared" si="50"/>
        <v>507_</v>
      </c>
      <c r="C1625" t="s">
        <v>2731</v>
      </c>
      <c r="D1625" t="s">
        <v>4</v>
      </c>
      <c r="E1625" t="s">
        <v>77</v>
      </c>
      <c r="F1625" t="s">
        <v>78</v>
      </c>
      <c r="G1625" t="s">
        <v>757</v>
      </c>
      <c r="H1625" t="s">
        <v>42</v>
      </c>
      <c r="I1625" t="s">
        <v>67</v>
      </c>
      <c r="J1625" t="s">
        <v>2727</v>
      </c>
      <c r="M1625" t="s">
        <v>106</v>
      </c>
      <c r="P1625" t="s">
        <v>79</v>
      </c>
      <c r="Q1625" t="s">
        <v>47</v>
      </c>
      <c r="R1625" t="s">
        <v>48</v>
      </c>
      <c r="V1625" t="s">
        <v>49</v>
      </c>
      <c r="X1625" t="s">
        <v>49</v>
      </c>
      <c r="Y1625" t="s">
        <v>74</v>
      </c>
      <c r="Z1625" t="s">
        <v>2556</v>
      </c>
      <c r="AA1625" t="s">
        <v>2556</v>
      </c>
    </row>
    <row r="1626" spans="1:27" x14ac:dyDescent="0.35">
      <c r="A1626" t="str">
        <f t="shared" si="51"/>
        <v>507_C2</v>
      </c>
      <c r="B1626" t="str">
        <f t="shared" si="50"/>
        <v>507_</v>
      </c>
      <c r="C1626" t="s">
        <v>2732</v>
      </c>
      <c r="D1626" t="s">
        <v>1</v>
      </c>
      <c r="E1626" t="s">
        <v>65</v>
      </c>
      <c r="F1626" t="s">
        <v>66</v>
      </c>
      <c r="G1626" t="s">
        <v>757</v>
      </c>
      <c r="H1626" t="s">
        <v>42</v>
      </c>
      <c r="I1626" t="s">
        <v>67</v>
      </c>
      <c r="J1626" t="s">
        <v>2727</v>
      </c>
      <c r="M1626" t="s">
        <v>106</v>
      </c>
      <c r="P1626" t="s">
        <v>58</v>
      </c>
      <c r="Q1626" t="s">
        <v>47</v>
      </c>
      <c r="R1626" t="s">
        <v>48</v>
      </c>
      <c r="V1626" t="s">
        <v>49</v>
      </c>
      <c r="X1626" t="s">
        <v>49</v>
      </c>
      <c r="Y1626" t="s">
        <v>70</v>
      </c>
      <c r="Z1626" t="s">
        <v>3678</v>
      </c>
      <c r="AA1626" t="s">
        <v>3678</v>
      </c>
    </row>
    <row r="1627" spans="1:27" x14ac:dyDescent="0.35">
      <c r="A1627" t="str">
        <f t="shared" si="51"/>
        <v>507_D2</v>
      </c>
      <c r="B1627" t="str">
        <f t="shared" si="50"/>
        <v>507_</v>
      </c>
      <c r="C1627" t="s">
        <v>2733</v>
      </c>
      <c r="D1627" t="s">
        <v>2</v>
      </c>
      <c r="E1627" t="s">
        <v>62</v>
      </c>
      <c r="F1627" t="s">
        <v>63</v>
      </c>
      <c r="G1627" t="s">
        <v>757</v>
      </c>
      <c r="H1627" t="s">
        <v>42</v>
      </c>
      <c r="I1627" t="s">
        <v>67</v>
      </c>
      <c r="J1627" t="s">
        <v>2727</v>
      </c>
      <c r="K1627" t="s">
        <v>56</v>
      </c>
      <c r="M1627" t="s">
        <v>106</v>
      </c>
      <c r="P1627" t="s">
        <v>58</v>
      </c>
      <c r="Q1627" t="s">
        <v>47</v>
      </c>
      <c r="R1627" t="s">
        <v>48</v>
      </c>
      <c r="V1627" t="s">
        <v>49</v>
      </c>
      <c r="X1627" t="s">
        <v>49</v>
      </c>
      <c r="Y1627" t="s">
        <v>59</v>
      </c>
      <c r="Z1627" t="s">
        <v>3658</v>
      </c>
      <c r="AA1627" t="s">
        <v>3658</v>
      </c>
    </row>
    <row r="1628" spans="1:27" x14ac:dyDescent="0.35">
      <c r="A1628" t="str">
        <f t="shared" si="51"/>
        <v>507_D7</v>
      </c>
      <c r="B1628" t="str">
        <f t="shared" si="50"/>
        <v>507_</v>
      </c>
      <c r="C1628" t="s">
        <v>2734</v>
      </c>
      <c r="D1628" t="s">
        <v>6</v>
      </c>
      <c r="E1628" t="s">
        <v>94</v>
      </c>
      <c r="F1628" t="s">
        <v>111</v>
      </c>
      <c r="G1628" t="s">
        <v>757</v>
      </c>
      <c r="H1628" t="s">
        <v>42</v>
      </c>
      <c r="I1628" t="s">
        <v>67</v>
      </c>
      <c r="J1628" t="s">
        <v>2727</v>
      </c>
      <c r="M1628" t="s">
        <v>106</v>
      </c>
      <c r="P1628" t="s">
        <v>46</v>
      </c>
      <c r="Q1628" t="s">
        <v>47</v>
      </c>
      <c r="R1628" t="s">
        <v>48</v>
      </c>
      <c r="V1628" t="s">
        <v>49</v>
      </c>
      <c r="X1628" t="s">
        <v>49</v>
      </c>
      <c r="Y1628" t="s">
        <v>59</v>
      </c>
      <c r="Z1628" t="s">
        <v>3659</v>
      </c>
      <c r="AA1628" t="s">
        <v>2735</v>
      </c>
    </row>
    <row r="1629" spans="1:27" x14ac:dyDescent="0.35">
      <c r="A1629" t="str">
        <f t="shared" si="51"/>
        <v>507_D4</v>
      </c>
      <c r="B1629" t="str">
        <f t="shared" si="50"/>
        <v>507_</v>
      </c>
      <c r="C1629" t="s">
        <v>2736</v>
      </c>
      <c r="D1629" t="s">
        <v>3</v>
      </c>
      <c r="E1629" t="s">
        <v>52</v>
      </c>
      <c r="F1629" t="s">
        <v>53</v>
      </c>
      <c r="G1629" t="s">
        <v>757</v>
      </c>
      <c r="H1629" t="s">
        <v>42</v>
      </c>
      <c r="I1629" t="s">
        <v>67</v>
      </c>
      <c r="J1629" t="s">
        <v>2727</v>
      </c>
      <c r="K1629" t="s">
        <v>56</v>
      </c>
      <c r="M1629" t="s">
        <v>106</v>
      </c>
      <c r="P1629" t="s">
        <v>58</v>
      </c>
      <c r="Q1629" t="s">
        <v>47</v>
      </c>
      <c r="R1629" t="s">
        <v>48</v>
      </c>
      <c r="V1629" t="s">
        <v>49</v>
      </c>
      <c r="X1629" t="s">
        <v>49</v>
      </c>
      <c r="Y1629" t="s">
        <v>59</v>
      </c>
      <c r="Z1629" t="s">
        <v>3837</v>
      </c>
      <c r="AA1629" t="s">
        <v>3679</v>
      </c>
    </row>
    <row r="1630" spans="1:27" x14ac:dyDescent="0.35">
      <c r="A1630" t="str">
        <f t="shared" si="51"/>
        <v>506_F3</v>
      </c>
      <c r="B1630" t="str">
        <f t="shared" si="50"/>
        <v>506_</v>
      </c>
      <c r="C1630" t="s">
        <v>2737</v>
      </c>
      <c r="D1630" t="s">
        <v>5</v>
      </c>
      <c r="E1630" t="s">
        <v>40</v>
      </c>
      <c r="F1630" t="s">
        <v>73</v>
      </c>
      <c r="G1630" t="s">
        <v>757</v>
      </c>
      <c r="H1630" t="s">
        <v>42</v>
      </c>
      <c r="I1630" t="s">
        <v>67</v>
      </c>
      <c r="J1630" t="s">
        <v>2738</v>
      </c>
      <c r="M1630" t="s">
        <v>106</v>
      </c>
      <c r="P1630" t="s">
        <v>46</v>
      </c>
      <c r="Q1630" t="s">
        <v>47</v>
      </c>
      <c r="R1630" t="s">
        <v>48</v>
      </c>
      <c r="V1630" t="s">
        <v>49</v>
      </c>
      <c r="X1630" t="s">
        <v>49</v>
      </c>
      <c r="Y1630" t="s">
        <v>74</v>
      </c>
      <c r="Z1630" t="s">
        <v>2739</v>
      </c>
      <c r="AA1630" t="s">
        <v>2739</v>
      </c>
    </row>
    <row r="1631" spans="1:27" x14ac:dyDescent="0.35">
      <c r="A1631" t="str">
        <f t="shared" si="51"/>
        <v>1410F2</v>
      </c>
      <c r="B1631" t="str">
        <f t="shared" si="50"/>
        <v>1410</v>
      </c>
      <c r="C1631" t="s">
        <v>2740</v>
      </c>
      <c r="D1631" t="s">
        <v>4</v>
      </c>
      <c r="E1631" t="s">
        <v>77</v>
      </c>
      <c r="F1631" t="s">
        <v>78</v>
      </c>
      <c r="G1631" t="s">
        <v>757</v>
      </c>
      <c r="H1631" t="s">
        <v>42</v>
      </c>
      <c r="I1631" t="s">
        <v>67</v>
      </c>
      <c r="J1631" t="s">
        <v>2741</v>
      </c>
      <c r="M1631" t="s">
        <v>106</v>
      </c>
      <c r="P1631" t="s">
        <v>79</v>
      </c>
      <c r="Q1631" t="s">
        <v>47</v>
      </c>
      <c r="R1631" t="s">
        <v>48</v>
      </c>
      <c r="V1631" t="s">
        <v>49</v>
      </c>
      <c r="X1631" t="s">
        <v>49</v>
      </c>
      <c r="Y1631" t="s">
        <v>74</v>
      </c>
      <c r="Z1631" t="s">
        <v>2742</v>
      </c>
      <c r="AA1631" t="s">
        <v>2742</v>
      </c>
    </row>
    <row r="1632" spans="1:27" x14ac:dyDescent="0.35">
      <c r="A1632" t="str">
        <f t="shared" si="51"/>
        <v>1410D4</v>
      </c>
      <c r="B1632" t="str">
        <f t="shared" si="50"/>
        <v>1410</v>
      </c>
      <c r="C1632" t="s">
        <v>2743</v>
      </c>
      <c r="D1632" t="s">
        <v>3</v>
      </c>
      <c r="E1632" t="s">
        <v>52</v>
      </c>
      <c r="F1632" t="s">
        <v>53</v>
      </c>
      <c r="G1632" t="s">
        <v>757</v>
      </c>
      <c r="H1632" t="s">
        <v>42</v>
      </c>
      <c r="I1632" t="s">
        <v>43</v>
      </c>
      <c r="J1632" t="s">
        <v>2741</v>
      </c>
      <c r="K1632" t="s">
        <v>56</v>
      </c>
      <c r="M1632" t="s">
        <v>106</v>
      </c>
      <c r="P1632" t="s">
        <v>58</v>
      </c>
      <c r="Q1632" t="s">
        <v>47</v>
      </c>
      <c r="R1632" t="s">
        <v>48</v>
      </c>
      <c r="V1632" t="s">
        <v>49</v>
      </c>
      <c r="X1632" t="s">
        <v>49</v>
      </c>
      <c r="Y1632" t="s">
        <v>59</v>
      </c>
      <c r="Z1632" t="s">
        <v>2720</v>
      </c>
      <c r="AA1632" t="s">
        <v>2720</v>
      </c>
    </row>
    <row r="1633" spans="1:27" x14ac:dyDescent="0.35">
      <c r="A1633" t="str">
        <f t="shared" si="51"/>
        <v>506_F2</v>
      </c>
      <c r="B1633" t="str">
        <f t="shared" si="50"/>
        <v>506_</v>
      </c>
      <c r="C1633" t="s">
        <v>2744</v>
      </c>
      <c r="D1633" t="s">
        <v>4</v>
      </c>
      <c r="E1633" t="s">
        <v>77</v>
      </c>
      <c r="F1633" t="s">
        <v>78</v>
      </c>
      <c r="G1633" t="s">
        <v>757</v>
      </c>
      <c r="H1633" t="s">
        <v>42</v>
      </c>
      <c r="I1633" t="s">
        <v>67</v>
      </c>
      <c r="J1633" t="s">
        <v>2738</v>
      </c>
      <c r="M1633" t="s">
        <v>106</v>
      </c>
      <c r="P1633" t="s">
        <v>1315</v>
      </c>
      <c r="Q1633" t="s">
        <v>47</v>
      </c>
      <c r="R1633" t="s">
        <v>48</v>
      </c>
      <c r="V1633" t="s">
        <v>49</v>
      </c>
      <c r="X1633" t="s">
        <v>49</v>
      </c>
      <c r="Y1633" t="s">
        <v>74</v>
      </c>
      <c r="Z1633" t="s">
        <v>2739</v>
      </c>
      <c r="AA1633" t="s">
        <v>2739</v>
      </c>
    </row>
    <row r="1634" spans="1:27" x14ac:dyDescent="0.35">
      <c r="A1634" t="str">
        <f t="shared" si="51"/>
        <v>1410D2</v>
      </c>
      <c r="B1634" t="str">
        <f t="shared" si="50"/>
        <v>1410</v>
      </c>
      <c r="C1634" t="s">
        <v>2745</v>
      </c>
      <c r="D1634" t="s">
        <v>2</v>
      </c>
      <c r="E1634" t="s">
        <v>62</v>
      </c>
      <c r="F1634" t="s">
        <v>63</v>
      </c>
      <c r="G1634" t="s">
        <v>757</v>
      </c>
      <c r="H1634" t="s">
        <v>42</v>
      </c>
      <c r="I1634" t="s">
        <v>43</v>
      </c>
      <c r="J1634" t="s">
        <v>2741</v>
      </c>
      <c r="K1634" t="s">
        <v>56</v>
      </c>
      <c r="M1634" t="s">
        <v>106</v>
      </c>
      <c r="P1634" t="s">
        <v>69</v>
      </c>
      <c r="Q1634" t="s">
        <v>47</v>
      </c>
      <c r="R1634" t="s">
        <v>48</v>
      </c>
      <c r="V1634" t="s">
        <v>49</v>
      </c>
      <c r="X1634" t="s">
        <v>49</v>
      </c>
      <c r="Y1634" t="s">
        <v>59</v>
      </c>
      <c r="Z1634" t="s">
        <v>2746</v>
      </c>
      <c r="AA1634" t="s">
        <v>2746</v>
      </c>
    </row>
    <row r="1635" spans="1:27" x14ac:dyDescent="0.35">
      <c r="A1635" t="str">
        <f t="shared" si="51"/>
        <v>506_C2</v>
      </c>
      <c r="B1635" t="str">
        <f t="shared" si="50"/>
        <v>506_</v>
      </c>
      <c r="C1635" t="s">
        <v>2747</v>
      </c>
      <c r="D1635" t="s">
        <v>1</v>
      </c>
      <c r="E1635" t="s">
        <v>65</v>
      </c>
      <c r="F1635" t="s">
        <v>66</v>
      </c>
      <c r="G1635" t="s">
        <v>757</v>
      </c>
      <c r="H1635" t="s">
        <v>42</v>
      </c>
      <c r="I1635" t="s">
        <v>67</v>
      </c>
      <c r="J1635" t="s">
        <v>2738</v>
      </c>
      <c r="M1635" t="s">
        <v>106</v>
      </c>
      <c r="P1635" t="s">
        <v>69</v>
      </c>
      <c r="Q1635" t="s">
        <v>47</v>
      </c>
      <c r="R1635" t="s">
        <v>48</v>
      </c>
      <c r="V1635" t="s">
        <v>49</v>
      </c>
      <c r="X1635" t="s">
        <v>49</v>
      </c>
      <c r="Y1635" t="s">
        <v>70</v>
      </c>
      <c r="Z1635" t="s">
        <v>3838</v>
      </c>
      <c r="AA1635" t="s">
        <v>3838</v>
      </c>
    </row>
    <row r="1636" spans="1:27" x14ac:dyDescent="0.35">
      <c r="A1636" t="str">
        <f t="shared" si="51"/>
        <v>1410F3</v>
      </c>
      <c r="B1636" t="str">
        <f t="shared" si="50"/>
        <v>1410</v>
      </c>
      <c r="C1636" t="s">
        <v>2748</v>
      </c>
      <c r="D1636" t="s">
        <v>5</v>
      </c>
      <c r="E1636" t="s">
        <v>40</v>
      </c>
      <c r="F1636" t="s">
        <v>73</v>
      </c>
      <c r="G1636" t="s">
        <v>757</v>
      </c>
      <c r="H1636" t="s">
        <v>42</v>
      </c>
      <c r="I1636" t="s">
        <v>67</v>
      </c>
      <c r="J1636" t="s">
        <v>2741</v>
      </c>
      <c r="M1636" t="s">
        <v>106</v>
      </c>
      <c r="P1636" t="s">
        <v>46</v>
      </c>
      <c r="Q1636" t="s">
        <v>47</v>
      </c>
      <c r="R1636" t="s">
        <v>48</v>
      </c>
      <c r="V1636" t="s">
        <v>49</v>
      </c>
      <c r="X1636" t="s">
        <v>49</v>
      </c>
      <c r="Y1636" t="s">
        <v>74</v>
      </c>
      <c r="Z1636" t="s">
        <v>2212</v>
      </c>
      <c r="AA1636" t="s">
        <v>2212</v>
      </c>
    </row>
    <row r="1637" spans="1:27" x14ac:dyDescent="0.35">
      <c r="A1637" t="str">
        <f t="shared" si="51"/>
        <v>506_D2</v>
      </c>
      <c r="B1637" t="str">
        <f t="shared" si="50"/>
        <v>506_</v>
      </c>
      <c r="C1637" t="s">
        <v>2749</v>
      </c>
      <c r="D1637" t="s">
        <v>2</v>
      </c>
      <c r="E1637" t="s">
        <v>62</v>
      </c>
      <c r="F1637" t="s">
        <v>63</v>
      </c>
      <c r="G1637" t="s">
        <v>757</v>
      </c>
      <c r="H1637" t="s">
        <v>42</v>
      </c>
      <c r="I1637" t="s">
        <v>67</v>
      </c>
      <c r="J1637" t="s">
        <v>2738</v>
      </c>
      <c r="K1637" t="s">
        <v>56</v>
      </c>
      <c r="M1637" t="s">
        <v>106</v>
      </c>
      <c r="P1637" t="s">
        <v>58</v>
      </c>
      <c r="Q1637" t="s">
        <v>47</v>
      </c>
      <c r="R1637" t="s">
        <v>48</v>
      </c>
      <c r="V1637" t="s">
        <v>49</v>
      </c>
      <c r="X1637" t="s">
        <v>49</v>
      </c>
      <c r="Y1637" t="s">
        <v>59</v>
      </c>
      <c r="Z1637" t="s">
        <v>3660</v>
      </c>
      <c r="AA1637" t="s">
        <v>3660</v>
      </c>
    </row>
    <row r="1638" spans="1:27" x14ac:dyDescent="0.35">
      <c r="A1638" t="str">
        <f t="shared" si="51"/>
        <v>1410C2</v>
      </c>
      <c r="B1638" t="str">
        <f t="shared" si="50"/>
        <v>1410</v>
      </c>
      <c r="C1638" t="s">
        <v>2750</v>
      </c>
      <c r="D1638" t="s">
        <v>1</v>
      </c>
      <c r="E1638" t="s">
        <v>65</v>
      </c>
      <c r="F1638" t="s">
        <v>66</v>
      </c>
      <c r="G1638" t="s">
        <v>757</v>
      </c>
      <c r="H1638" t="s">
        <v>42</v>
      </c>
      <c r="I1638" t="s">
        <v>67</v>
      </c>
      <c r="J1638" t="s">
        <v>2741</v>
      </c>
      <c r="M1638" t="s">
        <v>106</v>
      </c>
      <c r="P1638" t="s">
        <v>69</v>
      </c>
      <c r="Q1638" t="s">
        <v>47</v>
      </c>
      <c r="R1638" t="s">
        <v>48</v>
      </c>
      <c r="V1638" t="s">
        <v>49</v>
      </c>
      <c r="X1638" t="s">
        <v>49</v>
      </c>
      <c r="Y1638" t="s">
        <v>70</v>
      </c>
      <c r="Z1638" t="s">
        <v>2751</v>
      </c>
      <c r="AA1638" t="s">
        <v>2751</v>
      </c>
    </row>
    <row r="1639" spans="1:27" x14ac:dyDescent="0.35">
      <c r="A1639" t="str">
        <f t="shared" si="51"/>
        <v>506_D7</v>
      </c>
      <c r="B1639" t="str">
        <f t="shared" si="50"/>
        <v>506_</v>
      </c>
      <c r="C1639" t="s">
        <v>2752</v>
      </c>
      <c r="D1639" t="s">
        <v>6</v>
      </c>
      <c r="E1639" t="s">
        <v>94</v>
      </c>
      <c r="F1639" t="s">
        <v>111</v>
      </c>
      <c r="G1639" t="s">
        <v>757</v>
      </c>
      <c r="H1639" t="s">
        <v>42</v>
      </c>
      <c r="I1639" t="s">
        <v>67</v>
      </c>
      <c r="J1639" t="s">
        <v>2738</v>
      </c>
      <c r="M1639" t="s">
        <v>106</v>
      </c>
      <c r="P1639" t="s">
        <v>58</v>
      </c>
      <c r="Q1639" t="s">
        <v>47</v>
      </c>
      <c r="R1639" t="s">
        <v>48</v>
      </c>
      <c r="V1639" t="s">
        <v>49</v>
      </c>
      <c r="X1639" t="s">
        <v>49</v>
      </c>
      <c r="Y1639" t="s">
        <v>59</v>
      </c>
      <c r="Z1639" t="s">
        <v>2753</v>
      </c>
      <c r="AA1639" t="s">
        <v>2753</v>
      </c>
    </row>
    <row r="1640" spans="1:27" x14ac:dyDescent="0.35">
      <c r="A1640" t="str">
        <f t="shared" si="51"/>
        <v>1410D7</v>
      </c>
      <c r="B1640" t="str">
        <f t="shared" si="50"/>
        <v>1410</v>
      </c>
      <c r="C1640" t="s">
        <v>2754</v>
      </c>
      <c r="D1640" t="s">
        <v>6</v>
      </c>
      <c r="E1640" t="s">
        <v>94</v>
      </c>
      <c r="F1640" t="s">
        <v>111</v>
      </c>
      <c r="G1640" t="s">
        <v>757</v>
      </c>
      <c r="H1640" t="s">
        <v>42</v>
      </c>
      <c r="I1640" t="s">
        <v>43</v>
      </c>
      <c r="J1640" t="s">
        <v>2741</v>
      </c>
      <c r="M1640" t="s">
        <v>106</v>
      </c>
      <c r="P1640" t="s">
        <v>46</v>
      </c>
      <c r="Q1640" t="s">
        <v>47</v>
      </c>
      <c r="R1640" t="s">
        <v>48</v>
      </c>
      <c r="V1640" t="s">
        <v>49</v>
      </c>
      <c r="X1640" t="s">
        <v>49</v>
      </c>
      <c r="Y1640" t="s">
        <v>59</v>
      </c>
      <c r="Z1640" t="s">
        <v>2755</v>
      </c>
      <c r="AA1640" t="s">
        <v>2755</v>
      </c>
    </row>
    <row r="1641" spans="1:27" x14ac:dyDescent="0.35">
      <c r="A1641" t="str">
        <f t="shared" si="51"/>
        <v>506_D4</v>
      </c>
      <c r="B1641" t="str">
        <f t="shared" si="50"/>
        <v>506_</v>
      </c>
      <c r="C1641" t="s">
        <v>2756</v>
      </c>
      <c r="D1641" t="s">
        <v>3</v>
      </c>
      <c r="E1641" t="s">
        <v>52</v>
      </c>
      <c r="F1641" t="s">
        <v>53</v>
      </c>
      <c r="G1641" t="s">
        <v>757</v>
      </c>
      <c r="H1641" t="s">
        <v>42</v>
      </c>
      <c r="I1641" t="s">
        <v>67</v>
      </c>
      <c r="J1641" t="s">
        <v>2738</v>
      </c>
      <c r="K1641" t="s">
        <v>56</v>
      </c>
      <c r="M1641" t="s">
        <v>106</v>
      </c>
      <c r="P1641" t="s">
        <v>58</v>
      </c>
      <c r="Q1641" t="s">
        <v>47</v>
      </c>
      <c r="R1641" t="s">
        <v>48</v>
      </c>
      <c r="V1641" t="s">
        <v>49</v>
      </c>
      <c r="X1641" t="s">
        <v>49</v>
      </c>
      <c r="Y1641" t="s">
        <v>59</v>
      </c>
      <c r="Z1641" t="s">
        <v>3837</v>
      </c>
      <c r="AA1641" t="s">
        <v>3839</v>
      </c>
    </row>
    <row r="1642" spans="1:27" x14ac:dyDescent="0.35">
      <c r="A1642" t="str">
        <f t="shared" si="51"/>
        <v>505_F3</v>
      </c>
      <c r="B1642" t="str">
        <f t="shared" si="50"/>
        <v>505_</v>
      </c>
      <c r="C1642" t="s">
        <v>2757</v>
      </c>
      <c r="D1642" t="s">
        <v>5</v>
      </c>
      <c r="E1642" t="s">
        <v>40</v>
      </c>
      <c r="F1642" t="s">
        <v>73</v>
      </c>
      <c r="G1642" t="s">
        <v>757</v>
      </c>
      <c r="H1642" t="s">
        <v>42</v>
      </c>
      <c r="I1642" t="s">
        <v>67</v>
      </c>
      <c r="J1642" t="s">
        <v>2758</v>
      </c>
      <c r="M1642" t="s">
        <v>106</v>
      </c>
      <c r="P1642" t="s">
        <v>46</v>
      </c>
      <c r="Q1642" t="s">
        <v>47</v>
      </c>
      <c r="R1642" t="s">
        <v>48</v>
      </c>
      <c r="V1642" t="s">
        <v>49</v>
      </c>
      <c r="X1642" t="s">
        <v>49</v>
      </c>
      <c r="Y1642" t="s">
        <v>74</v>
      </c>
      <c r="Z1642" t="s">
        <v>2759</v>
      </c>
      <c r="AA1642" t="s">
        <v>2759</v>
      </c>
    </row>
    <row r="1643" spans="1:27" x14ac:dyDescent="0.35">
      <c r="A1643" t="str">
        <f t="shared" si="51"/>
        <v>505_F2</v>
      </c>
      <c r="B1643" t="str">
        <f t="shared" si="50"/>
        <v>505_</v>
      </c>
      <c r="C1643" t="s">
        <v>2760</v>
      </c>
      <c r="D1643" t="s">
        <v>4</v>
      </c>
      <c r="E1643" t="s">
        <v>77</v>
      </c>
      <c r="F1643" t="s">
        <v>78</v>
      </c>
      <c r="G1643" t="s">
        <v>757</v>
      </c>
      <c r="H1643" t="s">
        <v>42</v>
      </c>
      <c r="I1643" t="s">
        <v>67</v>
      </c>
      <c r="J1643" t="s">
        <v>2758</v>
      </c>
      <c r="M1643" t="s">
        <v>106</v>
      </c>
      <c r="P1643" t="s">
        <v>710</v>
      </c>
      <c r="Q1643" t="s">
        <v>47</v>
      </c>
      <c r="R1643" t="s">
        <v>48</v>
      </c>
      <c r="V1643" t="s">
        <v>49</v>
      </c>
      <c r="X1643" t="s">
        <v>49</v>
      </c>
      <c r="Y1643" t="s">
        <v>74</v>
      </c>
      <c r="Z1643" t="s">
        <v>2759</v>
      </c>
      <c r="AA1643" t="s">
        <v>2759</v>
      </c>
    </row>
    <row r="1644" spans="1:27" x14ac:dyDescent="0.35">
      <c r="A1644" t="str">
        <f t="shared" si="51"/>
        <v>505_C2</v>
      </c>
      <c r="B1644" t="str">
        <f t="shared" si="50"/>
        <v>505_</v>
      </c>
      <c r="C1644" t="s">
        <v>2761</v>
      </c>
      <c r="D1644" t="s">
        <v>1</v>
      </c>
      <c r="E1644" t="s">
        <v>65</v>
      </c>
      <c r="F1644" t="s">
        <v>66</v>
      </c>
      <c r="G1644" t="s">
        <v>757</v>
      </c>
      <c r="H1644" t="s">
        <v>42</v>
      </c>
      <c r="I1644" t="s">
        <v>67</v>
      </c>
      <c r="J1644" t="s">
        <v>2758</v>
      </c>
      <c r="M1644" t="s">
        <v>106</v>
      </c>
      <c r="P1644" t="s">
        <v>69</v>
      </c>
      <c r="Q1644" t="s">
        <v>47</v>
      </c>
      <c r="R1644" t="s">
        <v>48</v>
      </c>
      <c r="V1644" t="s">
        <v>49</v>
      </c>
      <c r="X1644" t="s">
        <v>49</v>
      </c>
      <c r="Y1644" t="s">
        <v>70</v>
      </c>
      <c r="Z1644" t="s">
        <v>3838</v>
      </c>
      <c r="AA1644" t="s">
        <v>3838</v>
      </c>
    </row>
    <row r="1645" spans="1:27" x14ac:dyDescent="0.35">
      <c r="A1645" t="str">
        <f t="shared" si="51"/>
        <v>505_D2</v>
      </c>
      <c r="B1645" t="str">
        <f t="shared" si="50"/>
        <v>505_</v>
      </c>
      <c r="C1645" t="s">
        <v>2762</v>
      </c>
      <c r="D1645" t="s">
        <v>2</v>
      </c>
      <c r="E1645" t="s">
        <v>62</v>
      </c>
      <c r="F1645" t="s">
        <v>63</v>
      </c>
      <c r="G1645" t="s">
        <v>757</v>
      </c>
      <c r="H1645" t="s">
        <v>42</v>
      </c>
      <c r="I1645" t="s">
        <v>67</v>
      </c>
      <c r="J1645" t="s">
        <v>2758</v>
      </c>
      <c r="K1645" t="s">
        <v>56</v>
      </c>
      <c r="M1645" t="s">
        <v>106</v>
      </c>
      <c r="P1645" t="s">
        <v>58</v>
      </c>
      <c r="Q1645" t="s">
        <v>47</v>
      </c>
      <c r="R1645" t="s">
        <v>48</v>
      </c>
      <c r="V1645" t="s">
        <v>49</v>
      </c>
      <c r="X1645" t="s">
        <v>49</v>
      </c>
      <c r="Y1645" t="s">
        <v>59</v>
      </c>
      <c r="Z1645" t="s">
        <v>3852</v>
      </c>
      <c r="AA1645" t="s">
        <v>3852</v>
      </c>
    </row>
    <row r="1646" spans="1:27" x14ac:dyDescent="0.35">
      <c r="A1646" t="str">
        <f t="shared" si="51"/>
        <v>505_D7</v>
      </c>
      <c r="B1646" t="str">
        <f t="shared" si="50"/>
        <v>505_</v>
      </c>
      <c r="C1646" t="s">
        <v>2763</v>
      </c>
      <c r="D1646" t="s">
        <v>6</v>
      </c>
      <c r="E1646" t="s">
        <v>94</v>
      </c>
      <c r="F1646" t="s">
        <v>111</v>
      </c>
      <c r="G1646" t="s">
        <v>757</v>
      </c>
      <c r="H1646" t="s">
        <v>42</v>
      </c>
      <c r="I1646" t="s">
        <v>67</v>
      </c>
      <c r="J1646" t="s">
        <v>2758</v>
      </c>
      <c r="M1646" t="s">
        <v>106</v>
      </c>
      <c r="P1646" t="s">
        <v>46</v>
      </c>
      <c r="Q1646" t="s">
        <v>47</v>
      </c>
      <c r="R1646" t="s">
        <v>48</v>
      </c>
      <c r="V1646" t="s">
        <v>49</v>
      </c>
      <c r="X1646" t="s">
        <v>49</v>
      </c>
      <c r="Y1646" t="s">
        <v>59</v>
      </c>
      <c r="Z1646" t="s">
        <v>3680</v>
      </c>
      <c r="AA1646" t="s">
        <v>2753</v>
      </c>
    </row>
    <row r="1647" spans="1:27" x14ac:dyDescent="0.35">
      <c r="A1647" t="str">
        <f t="shared" si="51"/>
        <v>505_D4</v>
      </c>
      <c r="B1647" t="str">
        <f t="shared" si="50"/>
        <v>505_</v>
      </c>
      <c r="C1647" t="s">
        <v>2764</v>
      </c>
      <c r="D1647" t="s">
        <v>3</v>
      </c>
      <c r="E1647" t="s">
        <v>52</v>
      </c>
      <c r="F1647" t="s">
        <v>53</v>
      </c>
      <c r="G1647" t="s">
        <v>757</v>
      </c>
      <c r="H1647" t="s">
        <v>42</v>
      </c>
      <c r="I1647" t="s">
        <v>67</v>
      </c>
      <c r="J1647" t="s">
        <v>2758</v>
      </c>
      <c r="K1647" t="s">
        <v>56</v>
      </c>
      <c r="M1647" t="s">
        <v>106</v>
      </c>
      <c r="P1647" t="s">
        <v>58</v>
      </c>
      <c r="Q1647" t="s">
        <v>47</v>
      </c>
      <c r="R1647" t="s">
        <v>48</v>
      </c>
      <c r="V1647" t="s">
        <v>49</v>
      </c>
      <c r="X1647" t="s">
        <v>49</v>
      </c>
      <c r="Y1647" t="s">
        <v>59</v>
      </c>
      <c r="Z1647" t="s">
        <v>3837</v>
      </c>
      <c r="AA1647" t="s">
        <v>3839</v>
      </c>
    </row>
    <row r="1648" spans="1:27" x14ac:dyDescent="0.35">
      <c r="A1648" t="str">
        <f t="shared" si="51"/>
        <v>504_F3</v>
      </c>
      <c r="B1648" t="str">
        <f t="shared" si="50"/>
        <v>504_</v>
      </c>
      <c r="C1648" t="s">
        <v>2765</v>
      </c>
      <c r="D1648" t="s">
        <v>5</v>
      </c>
      <c r="E1648" t="s">
        <v>40</v>
      </c>
      <c r="F1648" t="s">
        <v>73</v>
      </c>
      <c r="G1648" t="s">
        <v>757</v>
      </c>
      <c r="H1648" t="s">
        <v>42</v>
      </c>
      <c r="I1648" t="s">
        <v>67</v>
      </c>
      <c r="J1648" t="s">
        <v>2766</v>
      </c>
      <c r="M1648" t="s">
        <v>106</v>
      </c>
      <c r="P1648" t="s">
        <v>46</v>
      </c>
      <c r="Q1648" t="s">
        <v>47</v>
      </c>
      <c r="R1648" t="s">
        <v>48</v>
      </c>
      <c r="V1648" t="s">
        <v>49</v>
      </c>
      <c r="X1648" t="s">
        <v>49</v>
      </c>
      <c r="Y1648" t="s">
        <v>74</v>
      </c>
      <c r="Z1648" t="s">
        <v>2759</v>
      </c>
      <c r="AA1648" t="s">
        <v>2759</v>
      </c>
    </row>
    <row r="1649" spans="1:27" x14ac:dyDescent="0.35">
      <c r="A1649" t="str">
        <f t="shared" si="51"/>
        <v>1409F2</v>
      </c>
      <c r="B1649" t="str">
        <f t="shared" si="50"/>
        <v>1409</v>
      </c>
      <c r="C1649" t="s">
        <v>2767</v>
      </c>
      <c r="D1649" t="s">
        <v>4</v>
      </c>
      <c r="E1649" t="s">
        <v>77</v>
      </c>
      <c r="F1649" t="s">
        <v>78</v>
      </c>
      <c r="G1649" t="s">
        <v>757</v>
      </c>
      <c r="H1649" t="s">
        <v>42</v>
      </c>
      <c r="I1649" t="s">
        <v>67</v>
      </c>
      <c r="J1649" t="s">
        <v>2768</v>
      </c>
      <c r="M1649" t="s">
        <v>106</v>
      </c>
      <c r="P1649" t="s">
        <v>91</v>
      </c>
      <c r="Q1649" t="s">
        <v>47</v>
      </c>
      <c r="R1649" t="s">
        <v>48</v>
      </c>
      <c r="V1649" t="s">
        <v>49</v>
      </c>
      <c r="X1649" t="s">
        <v>49</v>
      </c>
      <c r="Y1649" t="s">
        <v>74</v>
      </c>
      <c r="Z1649" t="s">
        <v>2742</v>
      </c>
      <c r="AA1649" t="s">
        <v>2742</v>
      </c>
    </row>
    <row r="1650" spans="1:27" x14ac:dyDescent="0.35">
      <c r="A1650" t="str">
        <f t="shared" si="51"/>
        <v>1409D4</v>
      </c>
      <c r="B1650" t="str">
        <f t="shared" si="50"/>
        <v>1409</v>
      </c>
      <c r="C1650" t="s">
        <v>2769</v>
      </c>
      <c r="D1650" t="s">
        <v>3</v>
      </c>
      <c r="E1650" t="s">
        <v>52</v>
      </c>
      <c r="F1650" t="s">
        <v>53</v>
      </c>
      <c r="G1650" t="s">
        <v>757</v>
      </c>
      <c r="H1650" t="s">
        <v>42</v>
      </c>
      <c r="I1650" t="s">
        <v>43</v>
      </c>
      <c r="J1650" t="s">
        <v>2768</v>
      </c>
      <c r="K1650" t="s">
        <v>56</v>
      </c>
      <c r="M1650" t="s">
        <v>106</v>
      </c>
      <c r="P1650" t="s">
        <v>58</v>
      </c>
      <c r="Q1650" t="s">
        <v>47</v>
      </c>
      <c r="R1650" t="s">
        <v>48</v>
      </c>
      <c r="V1650" t="s">
        <v>49</v>
      </c>
      <c r="X1650" t="s">
        <v>49</v>
      </c>
      <c r="Y1650" t="s">
        <v>59</v>
      </c>
      <c r="Z1650" t="s">
        <v>2770</v>
      </c>
      <c r="AA1650" t="s">
        <v>2770</v>
      </c>
    </row>
    <row r="1651" spans="1:27" x14ac:dyDescent="0.35">
      <c r="A1651" t="str">
        <f t="shared" si="51"/>
        <v>1409D2</v>
      </c>
      <c r="B1651" t="str">
        <f t="shared" si="50"/>
        <v>1409</v>
      </c>
      <c r="C1651" t="s">
        <v>2771</v>
      </c>
      <c r="D1651" t="s">
        <v>2</v>
      </c>
      <c r="E1651" t="s">
        <v>62</v>
      </c>
      <c r="F1651" t="s">
        <v>63</v>
      </c>
      <c r="G1651" t="s">
        <v>757</v>
      </c>
      <c r="H1651" t="s">
        <v>98</v>
      </c>
      <c r="I1651" t="s">
        <v>43</v>
      </c>
      <c r="J1651" t="s">
        <v>2768</v>
      </c>
      <c r="K1651" t="s">
        <v>56</v>
      </c>
      <c r="M1651" t="s">
        <v>106</v>
      </c>
      <c r="P1651" t="s">
        <v>46</v>
      </c>
      <c r="Q1651" t="s">
        <v>47</v>
      </c>
      <c r="R1651" t="s">
        <v>48</v>
      </c>
      <c r="V1651" t="s">
        <v>49</v>
      </c>
      <c r="X1651" t="s">
        <v>49</v>
      </c>
      <c r="Y1651" t="s">
        <v>59</v>
      </c>
      <c r="Z1651" t="s">
        <v>2772</v>
      </c>
    </row>
    <row r="1652" spans="1:27" x14ac:dyDescent="0.35">
      <c r="A1652" t="str">
        <f t="shared" si="51"/>
        <v>1409F3</v>
      </c>
      <c r="B1652" t="str">
        <f t="shared" si="50"/>
        <v>1409</v>
      </c>
      <c r="C1652" t="s">
        <v>2773</v>
      </c>
      <c r="D1652" t="s">
        <v>5</v>
      </c>
      <c r="E1652" t="s">
        <v>40</v>
      </c>
      <c r="F1652" t="s">
        <v>73</v>
      </c>
      <c r="G1652" t="s">
        <v>757</v>
      </c>
      <c r="H1652" t="s">
        <v>42</v>
      </c>
      <c r="I1652" t="s">
        <v>67</v>
      </c>
      <c r="J1652" t="s">
        <v>2768</v>
      </c>
      <c r="M1652" t="s">
        <v>106</v>
      </c>
      <c r="P1652" t="s">
        <v>58</v>
      </c>
      <c r="Q1652" t="s">
        <v>47</v>
      </c>
      <c r="R1652" t="s">
        <v>48</v>
      </c>
      <c r="V1652" t="s">
        <v>49</v>
      </c>
      <c r="X1652" t="s">
        <v>49</v>
      </c>
      <c r="Y1652" t="s">
        <v>74</v>
      </c>
      <c r="Z1652" t="s">
        <v>2774</v>
      </c>
      <c r="AA1652" t="s">
        <v>2774</v>
      </c>
    </row>
    <row r="1653" spans="1:27" x14ac:dyDescent="0.35">
      <c r="A1653" t="str">
        <f t="shared" si="51"/>
        <v>504_F2</v>
      </c>
      <c r="B1653" t="str">
        <f t="shared" si="50"/>
        <v>504_</v>
      </c>
      <c r="C1653" t="s">
        <v>2775</v>
      </c>
      <c r="D1653" t="s">
        <v>4</v>
      </c>
      <c r="E1653" t="s">
        <v>77</v>
      </c>
      <c r="F1653" t="s">
        <v>78</v>
      </c>
      <c r="G1653" t="s">
        <v>757</v>
      </c>
      <c r="H1653" t="s">
        <v>42</v>
      </c>
      <c r="I1653" t="s">
        <v>67</v>
      </c>
      <c r="J1653" t="s">
        <v>2766</v>
      </c>
      <c r="M1653" t="s">
        <v>106</v>
      </c>
      <c r="P1653" t="s">
        <v>138</v>
      </c>
      <c r="Q1653" t="s">
        <v>47</v>
      </c>
      <c r="R1653" t="s">
        <v>48</v>
      </c>
      <c r="V1653" t="s">
        <v>49</v>
      </c>
      <c r="X1653" t="s">
        <v>49</v>
      </c>
      <c r="Y1653" t="s">
        <v>74</v>
      </c>
      <c r="Z1653" t="s">
        <v>2759</v>
      </c>
      <c r="AA1653" t="s">
        <v>2759</v>
      </c>
    </row>
    <row r="1654" spans="1:27" x14ac:dyDescent="0.35">
      <c r="A1654" t="str">
        <f t="shared" si="51"/>
        <v>1409C2</v>
      </c>
      <c r="B1654" t="str">
        <f t="shared" si="50"/>
        <v>1409</v>
      </c>
      <c r="C1654" t="s">
        <v>2776</v>
      </c>
      <c r="D1654" t="s">
        <v>1</v>
      </c>
      <c r="E1654" t="s">
        <v>65</v>
      </c>
      <c r="F1654" t="s">
        <v>66</v>
      </c>
      <c r="G1654" t="s">
        <v>757</v>
      </c>
      <c r="H1654" t="s">
        <v>42</v>
      </c>
      <c r="I1654" t="s">
        <v>67</v>
      </c>
      <c r="J1654" t="s">
        <v>2768</v>
      </c>
      <c r="M1654" t="s">
        <v>106</v>
      </c>
      <c r="P1654" t="s">
        <v>69</v>
      </c>
      <c r="Q1654" t="s">
        <v>47</v>
      </c>
      <c r="R1654" t="s">
        <v>48</v>
      </c>
      <c r="V1654" t="s">
        <v>49</v>
      </c>
      <c r="X1654" t="s">
        <v>49</v>
      </c>
      <c r="Y1654" t="s">
        <v>70</v>
      </c>
      <c r="Z1654" t="s">
        <v>2777</v>
      </c>
      <c r="AA1654" t="s">
        <v>2777</v>
      </c>
    </row>
    <row r="1655" spans="1:27" x14ac:dyDescent="0.35">
      <c r="A1655" t="str">
        <f t="shared" si="51"/>
        <v>504_C2</v>
      </c>
      <c r="B1655" t="str">
        <f t="shared" si="50"/>
        <v>504_</v>
      </c>
      <c r="C1655" t="s">
        <v>2778</v>
      </c>
      <c r="D1655" t="s">
        <v>1</v>
      </c>
      <c r="E1655" t="s">
        <v>65</v>
      </c>
      <c r="F1655" t="s">
        <v>66</v>
      </c>
      <c r="G1655" t="s">
        <v>757</v>
      </c>
      <c r="H1655" t="s">
        <v>42</v>
      </c>
      <c r="I1655" t="s">
        <v>67</v>
      </c>
      <c r="J1655" t="s">
        <v>2766</v>
      </c>
      <c r="M1655" t="s">
        <v>106</v>
      </c>
      <c r="P1655" t="s">
        <v>69</v>
      </c>
      <c r="Q1655" t="s">
        <v>47</v>
      </c>
      <c r="R1655" t="s">
        <v>48</v>
      </c>
      <c r="V1655" t="s">
        <v>49</v>
      </c>
      <c r="X1655" t="s">
        <v>49</v>
      </c>
      <c r="Y1655" t="s">
        <v>70</v>
      </c>
      <c r="Z1655" t="s">
        <v>3838</v>
      </c>
      <c r="AA1655" t="s">
        <v>3838</v>
      </c>
    </row>
    <row r="1656" spans="1:27" x14ac:dyDescent="0.35">
      <c r="A1656" t="str">
        <f t="shared" si="51"/>
        <v>1409D7</v>
      </c>
      <c r="B1656" t="str">
        <f t="shared" si="50"/>
        <v>1409</v>
      </c>
      <c r="C1656" t="s">
        <v>2779</v>
      </c>
      <c r="D1656" t="s">
        <v>6</v>
      </c>
      <c r="E1656" t="s">
        <v>94</v>
      </c>
      <c r="F1656" t="s">
        <v>111</v>
      </c>
      <c r="G1656" t="s">
        <v>757</v>
      </c>
      <c r="H1656" t="s">
        <v>42</v>
      </c>
      <c r="I1656" t="s">
        <v>43</v>
      </c>
      <c r="J1656" t="s">
        <v>2768</v>
      </c>
      <c r="M1656" t="s">
        <v>106</v>
      </c>
      <c r="P1656" t="s">
        <v>273</v>
      </c>
      <c r="Q1656" t="s">
        <v>47</v>
      </c>
      <c r="R1656" t="s">
        <v>48</v>
      </c>
      <c r="V1656" t="s">
        <v>49</v>
      </c>
      <c r="X1656" t="s">
        <v>49</v>
      </c>
      <c r="Y1656" t="s">
        <v>59</v>
      </c>
      <c r="Z1656" t="s">
        <v>2780</v>
      </c>
      <c r="AA1656" t="s">
        <v>2780</v>
      </c>
    </row>
    <row r="1657" spans="1:27" x14ac:dyDescent="0.35">
      <c r="A1657" t="str">
        <f t="shared" si="51"/>
        <v>504_D2</v>
      </c>
      <c r="B1657" t="str">
        <f t="shared" si="50"/>
        <v>504_</v>
      </c>
      <c r="C1657" t="s">
        <v>2781</v>
      </c>
      <c r="D1657" t="s">
        <v>2</v>
      </c>
      <c r="E1657" t="s">
        <v>62</v>
      </c>
      <c r="F1657" t="s">
        <v>63</v>
      </c>
      <c r="G1657" t="s">
        <v>757</v>
      </c>
      <c r="H1657" t="s">
        <v>42</v>
      </c>
      <c r="I1657" t="s">
        <v>67</v>
      </c>
      <c r="J1657" t="s">
        <v>2766</v>
      </c>
      <c r="K1657" t="s">
        <v>56</v>
      </c>
      <c r="M1657" t="s">
        <v>106</v>
      </c>
      <c r="P1657" t="s">
        <v>58</v>
      </c>
      <c r="Q1657" t="s">
        <v>47</v>
      </c>
      <c r="R1657" t="s">
        <v>48</v>
      </c>
      <c r="V1657" t="s">
        <v>49</v>
      </c>
      <c r="X1657" t="s">
        <v>49</v>
      </c>
      <c r="Y1657" t="s">
        <v>59</v>
      </c>
      <c r="Z1657" t="s">
        <v>3853</v>
      </c>
      <c r="AA1657" t="s">
        <v>3853</v>
      </c>
    </row>
    <row r="1658" spans="1:27" x14ac:dyDescent="0.35">
      <c r="A1658" t="str">
        <f t="shared" si="51"/>
        <v>504_D7</v>
      </c>
      <c r="B1658" t="str">
        <f t="shared" si="50"/>
        <v>504_</v>
      </c>
      <c r="C1658" t="s">
        <v>2782</v>
      </c>
      <c r="D1658" t="s">
        <v>6</v>
      </c>
      <c r="E1658" t="s">
        <v>94</v>
      </c>
      <c r="F1658" t="s">
        <v>111</v>
      </c>
      <c r="G1658" t="s">
        <v>757</v>
      </c>
      <c r="H1658" t="s">
        <v>42</v>
      </c>
      <c r="I1658" t="s">
        <v>67</v>
      </c>
      <c r="J1658" t="s">
        <v>2766</v>
      </c>
      <c r="M1658" t="s">
        <v>106</v>
      </c>
      <c r="P1658" t="s">
        <v>46</v>
      </c>
      <c r="Q1658" t="s">
        <v>47</v>
      </c>
      <c r="R1658" t="s">
        <v>48</v>
      </c>
      <c r="V1658" t="s">
        <v>49</v>
      </c>
      <c r="X1658" t="s">
        <v>49</v>
      </c>
      <c r="Y1658" t="s">
        <v>59</v>
      </c>
      <c r="Z1658" t="s">
        <v>2753</v>
      </c>
      <c r="AA1658" t="s">
        <v>2753</v>
      </c>
    </row>
    <row r="1659" spans="1:27" x14ac:dyDescent="0.35">
      <c r="A1659" t="str">
        <f t="shared" si="51"/>
        <v>504_D4</v>
      </c>
      <c r="B1659" t="str">
        <f t="shared" si="50"/>
        <v>504_</v>
      </c>
      <c r="C1659" t="s">
        <v>2783</v>
      </c>
      <c r="D1659" t="s">
        <v>3</v>
      </c>
      <c r="E1659" t="s">
        <v>52</v>
      </c>
      <c r="F1659" t="s">
        <v>53</v>
      </c>
      <c r="G1659" t="s">
        <v>757</v>
      </c>
      <c r="H1659" t="s">
        <v>42</v>
      </c>
      <c r="I1659" t="s">
        <v>67</v>
      </c>
      <c r="J1659" t="s">
        <v>2766</v>
      </c>
      <c r="K1659" t="s">
        <v>56</v>
      </c>
      <c r="M1659" t="s">
        <v>106</v>
      </c>
      <c r="P1659" t="s">
        <v>58</v>
      </c>
      <c r="Q1659" t="s">
        <v>47</v>
      </c>
      <c r="R1659" t="s">
        <v>48</v>
      </c>
      <c r="V1659" t="s">
        <v>49</v>
      </c>
      <c r="X1659" t="s">
        <v>49</v>
      </c>
      <c r="Y1659" t="s">
        <v>59</v>
      </c>
      <c r="Z1659" t="s">
        <v>3840</v>
      </c>
      <c r="AA1659" t="s">
        <v>3839</v>
      </c>
    </row>
    <row r="1660" spans="1:27" x14ac:dyDescent="0.35">
      <c r="A1660" t="str">
        <f t="shared" si="51"/>
        <v>503_F3</v>
      </c>
      <c r="B1660" t="str">
        <f t="shared" si="50"/>
        <v>503_</v>
      </c>
      <c r="C1660" t="s">
        <v>2784</v>
      </c>
      <c r="D1660" t="s">
        <v>5</v>
      </c>
      <c r="E1660" t="s">
        <v>40</v>
      </c>
      <c r="F1660" t="s">
        <v>73</v>
      </c>
      <c r="G1660" t="s">
        <v>757</v>
      </c>
      <c r="H1660" t="s">
        <v>42</v>
      </c>
      <c r="I1660" t="s">
        <v>67</v>
      </c>
      <c r="J1660" t="s">
        <v>2785</v>
      </c>
      <c r="M1660" t="s">
        <v>106</v>
      </c>
      <c r="P1660" t="s">
        <v>46</v>
      </c>
      <c r="Q1660" t="s">
        <v>47</v>
      </c>
      <c r="R1660" t="s">
        <v>48</v>
      </c>
      <c r="V1660" t="s">
        <v>49</v>
      </c>
      <c r="X1660" t="s">
        <v>49</v>
      </c>
      <c r="Y1660" t="s">
        <v>74</v>
      </c>
      <c r="Z1660" t="s">
        <v>2786</v>
      </c>
      <c r="AA1660" t="s">
        <v>2786</v>
      </c>
    </row>
    <row r="1661" spans="1:27" x14ac:dyDescent="0.35">
      <c r="A1661" t="str">
        <f t="shared" si="51"/>
        <v>503_F2</v>
      </c>
      <c r="B1661" t="str">
        <f t="shared" si="50"/>
        <v>503_</v>
      </c>
      <c r="C1661" t="s">
        <v>2787</v>
      </c>
      <c r="D1661" t="s">
        <v>4</v>
      </c>
      <c r="E1661" t="s">
        <v>77</v>
      </c>
      <c r="F1661" t="s">
        <v>78</v>
      </c>
      <c r="G1661" t="s">
        <v>757</v>
      </c>
      <c r="H1661" t="s">
        <v>42</v>
      </c>
      <c r="I1661" t="s">
        <v>67</v>
      </c>
      <c r="J1661" t="s">
        <v>2785</v>
      </c>
      <c r="M1661" t="s">
        <v>106</v>
      </c>
      <c r="P1661" t="s">
        <v>91</v>
      </c>
      <c r="Q1661" t="s">
        <v>47</v>
      </c>
      <c r="R1661" t="s">
        <v>48</v>
      </c>
      <c r="V1661" t="s">
        <v>49</v>
      </c>
      <c r="X1661" t="s">
        <v>49</v>
      </c>
      <c r="Y1661" t="s">
        <v>74</v>
      </c>
      <c r="Z1661" t="s">
        <v>2786</v>
      </c>
      <c r="AA1661" t="s">
        <v>2786</v>
      </c>
    </row>
    <row r="1662" spans="1:27" x14ac:dyDescent="0.35">
      <c r="A1662" t="str">
        <f t="shared" si="51"/>
        <v>503_C2</v>
      </c>
      <c r="B1662" t="str">
        <f t="shared" si="50"/>
        <v>503_</v>
      </c>
      <c r="C1662" t="s">
        <v>2788</v>
      </c>
      <c r="D1662" t="s">
        <v>1</v>
      </c>
      <c r="E1662" t="s">
        <v>65</v>
      </c>
      <c r="F1662" t="s">
        <v>66</v>
      </c>
      <c r="G1662" t="s">
        <v>757</v>
      </c>
      <c r="H1662" t="s">
        <v>42</v>
      </c>
      <c r="I1662" t="s">
        <v>67</v>
      </c>
      <c r="J1662" t="s">
        <v>2785</v>
      </c>
      <c r="M1662" t="s">
        <v>106</v>
      </c>
      <c r="P1662" t="s">
        <v>69</v>
      </c>
      <c r="Q1662" t="s">
        <v>47</v>
      </c>
      <c r="R1662" t="s">
        <v>48</v>
      </c>
      <c r="V1662" t="s">
        <v>49</v>
      </c>
      <c r="X1662" t="s">
        <v>49</v>
      </c>
      <c r="Y1662" t="s">
        <v>70</v>
      </c>
      <c r="Z1662" t="s">
        <v>3841</v>
      </c>
      <c r="AA1662" t="s">
        <v>3841</v>
      </c>
    </row>
    <row r="1663" spans="1:27" x14ac:dyDescent="0.35">
      <c r="A1663" t="str">
        <f t="shared" si="51"/>
        <v>503_D2</v>
      </c>
      <c r="B1663" t="str">
        <f t="shared" si="50"/>
        <v>503_</v>
      </c>
      <c r="C1663" t="s">
        <v>2789</v>
      </c>
      <c r="D1663" t="s">
        <v>2</v>
      </c>
      <c r="E1663" t="s">
        <v>62</v>
      </c>
      <c r="F1663" t="s">
        <v>63</v>
      </c>
      <c r="G1663" t="s">
        <v>757</v>
      </c>
      <c r="H1663" t="s">
        <v>42</v>
      </c>
      <c r="I1663" t="s">
        <v>67</v>
      </c>
      <c r="J1663" t="s">
        <v>2785</v>
      </c>
      <c r="K1663" t="s">
        <v>56</v>
      </c>
      <c r="M1663" t="s">
        <v>106</v>
      </c>
      <c r="P1663" t="s">
        <v>58</v>
      </c>
      <c r="Q1663" t="s">
        <v>47</v>
      </c>
      <c r="R1663" t="s">
        <v>48</v>
      </c>
      <c r="V1663" t="s">
        <v>49</v>
      </c>
      <c r="X1663" t="s">
        <v>49</v>
      </c>
      <c r="Y1663" t="s">
        <v>59</v>
      </c>
      <c r="Z1663" t="s">
        <v>3842</v>
      </c>
      <c r="AA1663" t="s">
        <v>3842</v>
      </c>
    </row>
    <row r="1664" spans="1:27" x14ac:dyDescent="0.35">
      <c r="A1664" t="str">
        <f t="shared" si="51"/>
        <v>1408F2</v>
      </c>
      <c r="B1664" t="str">
        <f t="shared" si="50"/>
        <v>1408</v>
      </c>
      <c r="C1664" t="s">
        <v>2790</v>
      </c>
      <c r="D1664" t="s">
        <v>4</v>
      </c>
      <c r="E1664" t="s">
        <v>77</v>
      </c>
      <c r="F1664" t="s">
        <v>78</v>
      </c>
      <c r="G1664" t="s">
        <v>757</v>
      </c>
      <c r="H1664" t="s">
        <v>42</v>
      </c>
      <c r="I1664" t="s">
        <v>67</v>
      </c>
      <c r="J1664" t="s">
        <v>2791</v>
      </c>
      <c r="M1664" t="s">
        <v>106</v>
      </c>
      <c r="P1664" t="s">
        <v>189</v>
      </c>
      <c r="Q1664" t="s">
        <v>47</v>
      </c>
      <c r="R1664" t="s">
        <v>48</v>
      </c>
      <c r="V1664" t="s">
        <v>49</v>
      </c>
      <c r="X1664" t="s">
        <v>49</v>
      </c>
      <c r="Y1664" t="s">
        <v>74</v>
      </c>
      <c r="Z1664" t="s">
        <v>2742</v>
      </c>
      <c r="AA1664" t="s">
        <v>2742</v>
      </c>
    </row>
    <row r="1665" spans="1:27" x14ac:dyDescent="0.35">
      <c r="A1665" t="str">
        <f t="shared" si="51"/>
        <v>503_D7</v>
      </c>
      <c r="B1665" t="str">
        <f t="shared" si="50"/>
        <v>503_</v>
      </c>
      <c r="C1665" t="s">
        <v>2792</v>
      </c>
      <c r="D1665" t="s">
        <v>6</v>
      </c>
      <c r="E1665" t="s">
        <v>94</v>
      </c>
      <c r="F1665" t="s">
        <v>111</v>
      </c>
      <c r="G1665" t="s">
        <v>757</v>
      </c>
      <c r="H1665" t="s">
        <v>42</v>
      </c>
      <c r="I1665" t="s">
        <v>67</v>
      </c>
      <c r="J1665" t="s">
        <v>2785</v>
      </c>
      <c r="M1665" t="s">
        <v>106</v>
      </c>
      <c r="P1665" t="s">
        <v>46</v>
      </c>
      <c r="Q1665" t="s">
        <v>47</v>
      </c>
      <c r="R1665" t="s">
        <v>48</v>
      </c>
      <c r="V1665" t="s">
        <v>49</v>
      </c>
      <c r="X1665" t="s">
        <v>49</v>
      </c>
      <c r="Y1665" t="s">
        <v>59</v>
      </c>
      <c r="Z1665" t="s">
        <v>2753</v>
      </c>
      <c r="AA1665" t="s">
        <v>2753</v>
      </c>
    </row>
    <row r="1666" spans="1:27" x14ac:dyDescent="0.35">
      <c r="A1666" t="str">
        <f t="shared" si="51"/>
        <v>1408D4</v>
      </c>
      <c r="B1666" t="str">
        <f t="shared" ref="B1666:B1729" si="52">LEFT($J:$J,4)</f>
        <v>1408</v>
      </c>
      <c r="C1666" t="s">
        <v>2793</v>
      </c>
      <c r="D1666" t="s">
        <v>3</v>
      </c>
      <c r="E1666" t="s">
        <v>52</v>
      </c>
      <c r="F1666" t="s">
        <v>53</v>
      </c>
      <c r="G1666" t="s">
        <v>757</v>
      </c>
      <c r="H1666" t="s">
        <v>42</v>
      </c>
      <c r="I1666" t="s">
        <v>43</v>
      </c>
      <c r="J1666" t="s">
        <v>2791</v>
      </c>
      <c r="K1666" t="s">
        <v>56</v>
      </c>
      <c r="M1666" t="s">
        <v>106</v>
      </c>
      <c r="P1666" t="s">
        <v>58</v>
      </c>
      <c r="Q1666" t="s">
        <v>47</v>
      </c>
      <c r="R1666" t="s">
        <v>48</v>
      </c>
      <c r="V1666" t="s">
        <v>49</v>
      </c>
      <c r="X1666" t="s">
        <v>49</v>
      </c>
      <c r="Y1666" t="s">
        <v>59</v>
      </c>
      <c r="Z1666" t="s">
        <v>2770</v>
      </c>
      <c r="AA1666" t="s">
        <v>2770</v>
      </c>
    </row>
    <row r="1667" spans="1:27" x14ac:dyDescent="0.35">
      <c r="A1667" t="str">
        <f t="shared" ref="A1667:A1730" si="53">B1667&amp;D1667</f>
        <v>503_D4</v>
      </c>
      <c r="B1667" t="str">
        <f t="shared" si="52"/>
        <v>503_</v>
      </c>
      <c r="C1667" t="s">
        <v>2794</v>
      </c>
      <c r="D1667" t="s">
        <v>3</v>
      </c>
      <c r="E1667" t="s">
        <v>52</v>
      </c>
      <c r="F1667" t="s">
        <v>53</v>
      </c>
      <c r="G1667" t="s">
        <v>757</v>
      </c>
      <c r="H1667" t="s">
        <v>42</v>
      </c>
      <c r="I1667" t="s">
        <v>67</v>
      </c>
      <c r="J1667" t="s">
        <v>2785</v>
      </c>
      <c r="K1667" t="s">
        <v>56</v>
      </c>
      <c r="M1667" t="s">
        <v>106</v>
      </c>
      <c r="P1667" t="s">
        <v>58</v>
      </c>
      <c r="Q1667" t="s">
        <v>47</v>
      </c>
      <c r="R1667" t="s">
        <v>48</v>
      </c>
      <c r="V1667" t="s">
        <v>49</v>
      </c>
      <c r="X1667" t="s">
        <v>49</v>
      </c>
      <c r="Y1667" t="s">
        <v>59</v>
      </c>
      <c r="Z1667" t="s">
        <v>3843</v>
      </c>
      <c r="AA1667" t="s">
        <v>3841</v>
      </c>
    </row>
    <row r="1668" spans="1:27" x14ac:dyDescent="0.35">
      <c r="A1668" t="str">
        <f t="shared" si="53"/>
        <v>1408D2</v>
      </c>
      <c r="B1668" t="str">
        <f t="shared" si="52"/>
        <v>1408</v>
      </c>
      <c r="C1668" t="s">
        <v>2795</v>
      </c>
      <c r="D1668" t="s">
        <v>2</v>
      </c>
      <c r="E1668" t="s">
        <v>62</v>
      </c>
      <c r="F1668" t="s">
        <v>63</v>
      </c>
      <c r="G1668" t="s">
        <v>757</v>
      </c>
      <c r="H1668" t="s">
        <v>42</v>
      </c>
      <c r="I1668" t="s">
        <v>43</v>
      </c>
      <c r="J1668" t="s">
        <v>2791</v>
      </c>
      <c r="K1668" t="s">
        <v>56</v>
      </c>
      <c r="M1668" t="s">
        <v>106</v>
      </c>
      <c r="P1668" t="s">
        <v>69</v>
      </c>
      <c r="Q1668" t="s">
        <v>47</v>
      </c>
      <c r="R1668" t="s">
        <v>48</v>
      </c>
      <c r="V1668" t="s">
        <v>49</v>
      </c>
      <c r="X1668" t="s">
        <v>49</v>
      </c>
      <c r="Y1668" t="s">
        <v>59</v>
      </c>
      <c r="Z1668" t="s">
        <v>2746</v>
      </c>
      <c r="AA1668" t="s">
        <v>2746</v>
      </c>
    </row>
    <row r="1669" spans="1:27" x14ac:dyDescent="0.35">
      <c r="A1669" t="str">
        <f t="shared" si="53"/>
        <v>502_F3</v>
      </c>
      <c r="B1669" t="str">
        <f t="shared" si="52"/>
        <v>502_</v>
      </c>
      <c r="C1669" t="s">
        <v>2796</v>
      </c>
      <c r="D1669" t="s">
        <v>5</v>
      </c>
      <c r="E1669" t="s">
        <v>40</v>
      </c>
      <c r="F1669" t="s">
        <v>73</v>
      </c>
      <c r="G1669" t="s">
        <v>757</v>
      </c>
      <c r="H1669" t="s">
        <v>42</v>
      </c>
      <c r="I1669" t="s">
        <v>67</v>
      </c>
      <c r="J1669" t="s">
        <v>2797</v>
      </c>
      <c r="M1669" t="s">
        <v>106</v>
      </c>
      <c r="P1669" t="s">
        <v>46</v>
      </c>
      <c r="Q1669" t="s">
        <v>47</v>
      </c>
      <c r="R1669" t="s">
        <v>48</v>
      </c>
      <c r="V1669" t="s">
        <v>49</v>
      </c>
      <c r="X1669" t="s">
        <v>49</v>
      </c>
      <c r="Y1669" t="s">
        <v>74</v>
      </c>
      <c r="Z1669" t="s">
        <v>2786</v>
      </c>
      <c r="AA1669" t="s">
        <v>2786</v>
      </c>
    </row>
    <row r="1670" spans="1:27" x14ac:dyDescent="0.35">
      <c r="A1670" t="str">
        <f t="shared" si="53"/>
        <v>1408F3</v>
      </c>
      <c r="B1670" t="str">
        <f t="shared" si="52"/>
        <v>1408</v>
      </c>
      <c r="C1670" t="s">
        <v>2798</v>
      </c>
      <c r="D1670" t="s">
        <v>5</v>
      </c>
      <c r="E1670" t="s">
        <v>40</v>
      </c>
      <c r="F1670" t="s">
        <v>73</v>
      </c>
      <c r="G1670" t="s">
        <v>757</v>
      </c>
      <c r="H1670" t="s">
        <v>42</v>
      </c>
      <c r="I1670" t="s">
        <v>67</v>
      </c>
      <c r="J1670" t="s">
        <v>2791</v>
      </c>
      <c r="M1670" t="s">
        <v>106</v>
      </c>
      <c r="P1670" t="s">
        <v>58</v>
      </c>
      <c r="Q1670" t="s">
        <v>47</v>
      </c>
      <c r="R1670" t="s">
        <v>48</v>
      </c>
      <c r="V1670" t="s">
        <v>49</v>
      </c>
      <c r="X1670" t="s">
        <v>49</v>
      </c>
      <c r="Y1670" t="s">
        <v>74</v>
      </c>
      <c r="Z1670" t="s">
        <v>2799</v>
      </c>
      <c r="AA1670" t="s">
        <v>2799</v>
      </c>
    </row>
    <row r="1671" spans="1:27" x14ac:dyDescent="0.35">
      <c r="A1671" t="str">
        <f t="shared" si="53"/>
        <v>1408C2</v>
      </c>
      <c r="B1671" t="str">
        <f t="shared" si="52"/>
        <v>1408</v>
      </c>
      <c r="C1671" t="s">
        <v>2800</v>
      </c>
      <c r="D1671" t="s">
        <v>1</v>
      </c>
      <c r="E1671" t="s">
        <v>65</v>
      </c>
      <c r="F1671" t="s">
        <v>66</v>
      </c>
      <c r="G1671" t="s">
        <v>757</v>
      </c>
      <c r="H1671" t="s">
        <v>42</v>
      </c>
      <c r="I1671" t="s">
        <v>67</v>
      </c>
      <c r="J1671" t="s">
        <v>2791</v>
      </c>
      <c r="M1671" t="s">
        <v>106</v>
      </c>
      <c r="P1671" t="s">
        <v>69</v>
      </c>
      <c r="Q1671" t="s">
        <v>47</v>
      </c>
      <c r="R1671" t="s">
        <v>48</v>
      </c>
      <c r="V1671" t="s">
        <v>49</v>
      </c>
      <c r="X1671" t="s">
        <v>49</v>
      </c>
      <c r="Y1671" t="s">
        <v>70</v>
      </c>
      <c r="Z1671" t="s">
        <v>2801</v>
      </c>
      <c r="AA1671" t="s">
        <v>2801</v>
      </c>
    </row>
    <row r="1672" spans="1:27" x14ac:dyDescent="0.35">
      <c r="A1672" t="str">
        <f t="shared" si="53"/>
        <v>1408D7</v>
      </c>
      <c r="B1672" t="str">
        <f t="shared" si="52"/>
        <v>1408</v>
      </c>
      <c r="C1672" t="s">
        <v>2802</v>
      </c>
      <c r="D1672" t="s">
        <v>6</v>
      </c>
      <c r="E1672" t="s">
        <v>94</v>
      </c>
      <c r="F1672" t="s">
        <v>111</v>
      </c>
      <c r="G1672" t="s">
        <v>757</v>
      </c>
      <c r="H1672" t="s">
        <v>42</v>
      </c>
      <c r="I1672" t="s">
        <v>43</v>
      </c>
      <c r="J1672" t="s">
        <v>2791</v>
      </c>
      <c r="M1672" t="s">
        <v>106</v>
      </c>
      <c r="P1672" t="s">
        <v>46</v>
      </c>
      <c r="Q1672" t="s">
        <v>47</v>
      </c>
      <c r="R1672" t="s">
        <v>48</v>
      </c>
      <c r="V1672" t="s">
        <v>49</v>
      </c>
      <c r="X1672" t="s">
        <v>49</v>
      </c>
      <c r="Y1672" t="s">
        <v>59</v>
      </c>
      <c r="Z1672" t="s">
        <v>2803</v>
      </c>
      <c r="AA1672" t="s">
        <v>2803</v>
      </c>
    </row>
    <row r="1673" spans="1:27" x14ac:dyDescent="0.35">
      <c r="A1673" t="str">
        <f t="shared" si="53"/>
        <v>502_F2</v>
      </c>
      <c r="B1673" t="str">
        <f t="shared" si="52"/>
        <v>502_</v>
      </c>
      <c r="C1673" t="s">
        <v>2804</v>
      </c>
      <c r="D1673" t="s">
        <v>4</v>
      </c>
      <c r="E1673" t="s">
        <v>77</v>
      </c>
      <c r="F1673" t="s">
        <v>78</v>
      </c>
      <c r="G1673" t="s">
        <v>757</v>
      </c>
      <c r="H1673" t="s">
        <v>42</v>
      </c>
      <c r="I1673" t="s">
        <v>67</v>
      </c>
      <c r="J1673" t="s">
        <v>2797</v>
      </c>
      <c r="M1673" t="s">
        <v>106</v>
      </c>
      <c r="P1673" t="s">
        <v>91</v>
      </c>
      <c r="Q1673" t="s">
        <v>47</v>
      </c>
      <c r="R1673" t="s">
        <v>48</v>
      </c>
      <c r="V1673" t="s">
        <v>49</v>
      </c>
      <c r="X1673" t="s">
        <v>49</v>
      </c>
      <c r="Y1673" t="s">
        <v>74</v>
      </c>
      <c r="Z1673" t="s">
        <v>2786</v>
      </c>
      <c r="AA1673" t="s">
        <v>2786</v>
      </c>
    </row>
    <row r="1674" spans="1:27" x14ac:dyDescent="0.35">
      <c r="A1674" t="str">
        <f t="shared" si="53"/>
        <v>502_C2</v>
      </c>
      <c r="B1674" t="str">
        <f t="shared" si="52"/>
        <v>502_</v>
      </c>
      <c r="C1674" t="s">
        <v>2805</v>
      </c>
      <c r="D1674" t="s">
        <v>1</v>
      </c>
      <c r="E1674" t="s">
        <v>65</v>
      </c>
      <c r="F1674" t="s">
        <v>66</v>
      </c>
      <c r="G1674" t="s">
        <v>757</v>
      </c>
      <c r="H1674" t="s">
        <v>42</v>
      </c>
      <c r="I1674" t="s">
        <v>67</v>
      </c>
      <c r="J1674" t="s">
        <v>2797</v>
      </c>
      <c r="M1674" t="s">
        <v>106</v>
      </c>
      <c r="P1674" t="s">
        <v>69</v>
      </c>
      <c r="Q1674" t="s">
        <v>47</v>
      </c>
      <c r="R1674" t="s">
        <v>48</v>
      </c>
      <c r="V1674" t="s">
        <v>49</v>
      </c>
      <c r="X1674" t="s">
        <v>49</v>
      </c>
      <c r="Y1674" t="s">
        <v>70</v>
      </c>
      <c r="Z1674" t="s">
        <v>3838</v>
      </c>
      <c r="AA1674" t="s">
        <v>3838</v>
      </c>
    </row>
    <row r="1675" spans="1:27" x14ac:dyDescent="0.35">
      <c r="A1675" t="str">
        <f t="shared" si="53"/>
        <v>502_D2</v>
      </c>
      <c r="B1675" t="str">
        <f t="shared" si="52"/>
        <v>502_</v>
      </c>
      <c r="C1675" t="s">
        <v>2806</v>
      </c>
      <c r="D1675" t="s">
        <v>2</v>
      </c>
      <c r="E1675" t="s">
        <v>62</v>
      </c>
      <c r="F1675" t="s">
        <v>63</v>
      </c>
      <c r="G1675" t="s">
        <v>757</v>
      </c>
      <c r="H1675" t="s">
        <v>42</v>
      </c>
      <c r="I1675" t="s">
        <v>67</v>
      </c>
      <c r="J1675" t="s">
        <v>2797</v>
      </c>
      <c r="K1675" t="s">
        <v>56</v>
      </c>
      <c r="M1675" t="s">
        <v>106</v>
      </c>
      <c r="P1675" t="s">
        <v>58</v>
      </c>
      <c r="Q1675" t="s">
        <v>47</v>
      </c>
      <c r="R1675" t="s">
        <v>48</v>
      </c>
      <c r="V1675" t="s">
        <v>49</v>
      </c>
      <c r="X1675" t="s">
        <v>49</v>
      </c>
      <c r="Y1675" t="s">
        <v>59</v>
      </c>
      <c r="Z1675" t="s">
        <v>3660</v>
      </c>
      <c r="AA1675" t="s">
        <v>3660</v>
      </c>
    </row>
    <row r="1676" spans="1:27" x14ac:dyDescent="0.35">
      <c r="A1676" t="str">
        <f t="shared" si="53"/>
        <v>502_D7</v>
      </c>
      <c r="B1676" t="str">
        <f t="shared" si="52"/>
        <v>502_</v>
      </c>
      <c r="C1676" t="s">
        <v>2807</v>
      </c>
      <c r="D1676" t="s">
        <v>6</v>
      </c>
      <c r="E1676" t="s">
        <v>94</v>
      </c>
      <c r="F1676" t="s">
        <v>111</v>
      </c>
      <c r="G1676" t="s">
        <v>757</v>
      </c>
      <c r="H1676" t="s">
        <v>42</v>
      </c>
      <c r="I1676" t="s">
        <v>67</v>
      </c>
      <c r="J1676" t="s">
        <v>2797</v>
      </c>
      <c r="M1676" t="s">
        <v>106</v>
      </c>
      <c r="P1676" t="s">
        <v>46</v>
      </c>
      <c r="Q1676" t="s">
        <v>47</v>
      </c>
      <c r="R1676" t="s">
        <v>48</v>
      </c>
      <c r="V1676" t="s">
        <v>49</v>
      </c>
      <c r="X1676" t="s">
        <v>49</v>
      </c>
      <c r="Y1676" t="s">
        <v>59</v>
      </c>
      <c r="Z1676" t="s">
        <v>2808</v>
      </c>
      <c r="AA1676" t="s">
        <v>2808</v>
      </c>
    </row>
    <row r="1677" spans="1:27" x14ac:dyDescent="0.35">
      <c r="A1677" t="str">
        <f t="shared" si="53"/>
        <v>502_D4</v>
      </c>
      <c r="B1677" t="str">
        <f t="shared" si="52"/>
        <v>502_</v>
      </c>
      <c r="C1677" t="s">
        <v>2809</v>
      </c>
      <c r="D1677" t="s">
        <v>3</v>
      </c>
      <c r="E1677" t="s">
        <v>52</v>
      </c>
      <c r="F1677" t="s">
        <v>53</v>
      </c>
      <c r="G1677" t="s">
        <v>757</v>
      </c>
      <c r="H1677" t="s">
        <v>42</v>
      </c>
      <c r="I1677" t="s">
        <v>67</v>
      </c>
      <c r="J1677" t="s">
        <v>2797</v>
      </c>
      <c r="K1677" t="s">
        <v>56</v>
      </c>
      <c r="M1677" t="s">
        <v>106</v>
      </c>
      <c r="P1677" t="s">
        <v>58</v>
      </c>
      <c r="Q1677" t="s">
        <v>47</v>
      </c>
      <c r="R1677" t="s">
        <v>48</v>
      </c>
      <c r="V1677" t="s">
        <v>49</v>
      </c>
      <c r="X1677" t="s">
        <v>49</v>
      </c>
      <c r="Y1677" t="s">
        <v>59</v>
      </c>
      <c r="Z1677" t="s">
        <v>3853</v>
      </c>
      <c r="AA1677" t="s">
        <v>3853</v>
      </c>
    </row>
    <row r="1678" spans="1:27" x14ac:dyDescent="0.35">
      <c r="A1678" t="str">
        <f t="shared" si="53"/>
        <v>501_F3</v>
      </c>
      <c r="B1678" t="str">
        <f t="shared" si="52"/>
        <v>501_</v>
      </c>
      <c r="C1678" t="s">
        <v>2810</v>
      </c>
      <c r="D1678" t="s">
        <v>5</v>
      </c>
      <c r="E1678" t="s">
        <v>40</v>
      </c>
      <c r="F1678" t="s">
        <v>73</v>
      </c>
      <c r="G1678" t="s">
        <v>757</v>
      </c>
      <c r="H1678" t="s">
        <v>42</v>
      </c>
      <c r="I1678" t="s">
        <v>67</v>
      </c>
      <c r="J1678" t="s">
        <v>2811</v>
      </c>
      <c r="M1678" t="s">
        <v>106</v>
      </c>
      <c r="P1678" t="s">
        <v>46</v>
      </c>
      <c r="Q1678" t="s">
        <v>47</v>
      </c>
      <c r="R1678" t="s">
        <v>48</v>
      </c>
      <c r="V1678" t="s">
        <v>49</v>
      </c>
      <c r="X1678" t="s">
        <v>49</v>
      </c>
      <c r="Y1678" t="s">
        <v>74</v>
      </c>
      <c r="Z1678" t="s">
        <v>2786</v>
      </c>
      <c r="AA1678" t="s">
        <v>2786</v>
      </c>
    </row>
    <row r="1679" spans="1:27" x14ac:dyDescent="0.35">
      <c r="A1679" t="str">
        <f t="shared" si="53"/>
        <v>501_F2</v>
      </c>
      <c r="B1679" t="str">
        <f t="shared" si="52"/>
        <v>501_</v>
      </c>
      <c r="C1679" t="s">
        <v>2812</v>
      </c>
      <c r="D1679" t="s">
        <v>4</v>
      </c>
      <c r="E1679" t="s">
        <v>77</v>
      </c>
      <c r="F1679" t="s">
        <v>78</v>
      </c>
      <c r="G1679" t="s">
        <v>757</v>
      </c>
      <c r="H1679" t="s">
        <v>42</v>
      </c>
      <c r="I1679" t="s">
        <v>67</v>
      </c>
      <c r="J1679" t="s">
        <v>2811</v>
      </c>
      <c r="M1679" t="s">
        <v>106</v>
      </c>
      <c r="P1679" t="s">
        <v>138</v>
      </c>
      <c r="Q1679" t="s">
        <v>47</v>
      </c>
      <c r="R1679" t="s">
        <v>48</v>
      </c>
      <c r="V1679" t="s">
        <v>49</v>
      </c>
      <c r="X1679" t="s">
        <v>49</v>
      </c>
      <c r="Y1679" t="s">
        <v>74</v>
      </c>
      <c r="Z1679" t="s">
        <v>2530</v>
      </c>
      <c r="AA1679" t="s">
        <v>2530</v>
      </c>
    </row>
    <row r="1680" spans="1:27" x14ac:dyDescent="0.35">
      <c r="A1680" t="str">
        <f t="shared" si="53"/>
        <v>501_C2</v>
      </c>
      <c r="B1680" t="str">
        <f t="shared" si="52"/>
        <v>501_</v>
      </c>
      <c r="C1680" t="s">
        <v>2813</v>
      </c>
      <c r="D1680" t="s">
        <v>1</v>
      </c>
      <c r="E1680" t="s">
        <v>65</v>
      </c>
      <c r="F1680" t="s">
        <v>66</v>
      </c>
      <c r="G1680" t="s">
        <v>757</v>
      </c>
      <c r="H1680" t="s">
        <v>42</v>
      </c>
      <c r="I1680" t="s">
        <v>67</v>
      </c>
      <c r="J1680" t="s">
        <v>2811</v>
      </c>
      <c r="M1680" t="s">
        <v>106</v>
      </c>
      <c r="P1680" t="s">
        <v>69</v>
      </c>
      <c r="Q1680" t="s">
        <v>47</v>
      </c>
      <c r="R1680" t="s">
        <v>48</v>
      </c>
      <c r="V1680" t="s">
        <v>49</v>
      </c>
      <c r="X1680" t="s">
        <v>49</v>
      </c>
      <c r="Y1680" t="s">
        <v>70</v>
      </c>
      <c r="Z1680" t="s">
        <v>3844</v>
      </c>
      <c r="AA1680" t="s">
        <v>3844</v>
      </c>
    </row>
    <row r="1681" spans="1:27" x14ac:dyDescent="0.35">
      <c r="A1681" t="str">
        <f t="shared" si="53"/>
        <v>501_D2</v>
      </c>
      <c r="B1681" t="str">
        <f t="shared" si="52"/>
        <v>501_</v>
      </c>
      <c r="C1681" t="s">
        <v>2814</v>
      </c>
      <c r="D1681" t="s">
        <v>2</v>
      </c>
      <c r="E1681" t="s">
        <v>62</v>
      </c>
      <c r="F1681" t="s">
        <v>63</v>
      </c>
      <c r="G1681" t="s">
        <v>757</v>
      </c>
      <c r="H1681" t="s">
        <v>42</v>
      </c>
      <c r="I1681" t="s">
        <v>67</v>
      </c>
      <c r="J1681" t="s">
        <v>2811</v>
      </c>
      <c r="K1681" t="s">
        <v>56</v>
      </c>
      <c r="M1681" t="s">
        <v>106</v>
      </c>
      <c r="P1681" t="s">
        <v>58</v>
      </c>
      <c r="Q1681" t="s">
        <v>47</v>
      </c>
      <c r="R1681" t="s">
        <v>48</v>
      </c>
      <c r="V1681" t="s">
        <v>49</v>
      </c>
      <c r="X1681" t="s">
        <v>49</v>
      </c>
      <c r="Y1681" t="s">
        <v>59</v>
      </c>
      <c r="Z1681" t="s">
        <v>3844</v>
      </c>
      <c r="AA1681" t="s">
        <v>3844</v>
      </c>
    </row>
    <row r="1682" spans="1:27" x14ac:dyDescent="0.35">
      <c r="A1682" t="str">
        <f t="shared" si="53"/>
        <v>1407F2</v>
      </c>
      <c r="B1682" t="str">
        <f t="shared" si="52"/>
        <v>1407</v>
      </c>
      <c r="C1682" t="s">
        <v>2815</v>
      </c>
      <c r="D1682" t="s">
        <v>4</v>
      </c>
      <c r="E1682" t="s">
        <v>77</v>
      </c>
      <c r="F1682" t="s">
        <v>78</v>
      </c>
      <c r="G1682" t="s">
        <v>757</v>
      </c>
      <c r="H1682" t="s">
        <v>42</v>
      </c>
      <c r="I1682" t="s">
        <v>67</v>
      </c>
      <c r="J1682" t="s">
        <v>2816</v>
      </c>
      <c r="M1682" t="s">
        <v>106</v>
      </c>
      <c r="P1682" t="s">
        <v>79</v>
      </c>
      <c r="Q1682" t="s">
        <v>47</v>
      </c>
      <c r="R1682" t="s">
        <v>48</v>
      </c>
      <c r="V1682" t="s">
        <v>49</v>
      </c>
      <c r="X1682" t="s">
        <v>49</v>
      </c>
      <c r="Y1682" t="s">
        <v>74</v>
      </c>
      <c r="Z1682" t="s">
        <v>2817</v>
      </c>
      <c r="AA1682" t="s">
        <v>2817</v>
      </c>
    </row>
    <row r="1683" spans="1:27" x14ac:dyDescent="0.35">
      <c r="A1683" t="str">
        <f t="shared" si="53"/>
        <v>501_D7</v>
      </c>
      <c r="B1683" t="str">
        <f t="shared" si="52"/>
        <v>501_</v>
      </c>
      <c r="C1683" t="s">
        <v>2818</v>
      </c>
      <c r="D1683" t="s">
        <v>6</v>
      </c>
      <c r="E1683" t="s">
        <v>94</v>
      </c>
      <c r="F1683" t="s">
        <v>111</v>
      </c>
      <c r="G1683" t="s">
        <v>757</v>
      </c>
      <c r="H1683" t="s">
        <v>42</v>
      </c>
      <c r="I1683" t="s">
        <v>67</v>
      </c>
      <c r="J1683" t="s">
        <v>2811</v>
      </c>
      <c r="M1683" t="s">
        <v>106</v>
      </c>
      <c r="P1683" t="s">
        <v>46</v>
      </c>
      <c r="Q1683" t="s">
        <v>47</v>
      </c>
      <c r="R1683" t="s">
        <v>48</v>
      </c>
      <c r="V1683" t="s">
        <v>49</v>
      </c>
      <c r="X1683" t="s">
        <v>49</v>
      </c>
      <c r="Y1683" t="s">
        <v>59</v>
      </c>
      <c r="Z1683" t="s">
        <v>2808</v>
      </c>
      <c r="AA1683" t="s">
        <v>2808</v>
      </c>
    </row>
    <row r="1684" spans="1:27" x14ac:dyDescent="0.35">
      <c r="A1684" t="str">
        <f t="shared" si="53"/>
        <v>1407D4</v>
      </c>
      <c r="B1684" t="str">
        <f t="shared" si="52"/>
        <v>1407</v>
      </c>
      <c r="C1684" t="s">
        <v>2819</v>
      </c>
      <c r="D1684" t="s">
        <v>3</v>
      </c>
      <c r="E1684" t="s">
        <v>52</v>
      </c>
      <c r="F1684" t="s">
        <v>53</v>
      </c>
      <c r="G1684" t="s">
        <v>757</v>
      </c>
      <c r="H1684" t="s">
        <v>42</v>
      </c>
      <c r="I1684" t="s">
        <v>43</v>
      </c>
      <c r="J1684" t="s">
        <v>2816</v>
      </c>
      <c r="K1684" t="s">
        <v>56</v>
      </c>
      <c r="M1684" t="s">
        <v>106</v>
      </c>
      <c r="P1684" t="s">
        <v>58</v>
      </c>
      <c r="Q1684" t="s">
        <v>47</v>
      </c>
      <c r="R1684" t="s">
        <v>48</v>
      </c>
      <c r="V1684" t="s">
        <v>49</v>
      </c>
      <c r="X1684" t="s">
        <v>49</v>
      </c>
      <c r="Y1684" t="s">
        <v>59</v>
      </c>
      <c r="Z1684" t="s">
        <v>2770</v>
      </c>
      <c r="AA1684" t="s">
        <v>2770</v>
      </c>
    </row>
    <row r="1685" spans="1:27" x14ac:dyDescent="0.35">
      <c r="A1685" t="str">
        <f t="shared" si="53"/>
        <v>501_D4</v>
      </c>
      <c r="B1685" t="str">
        <f t="shared" si="52"/>
        <v>501_</v>
      </c>
      <c r="C1685" t="s">
        <v>2820</v>
      </c>
      <c r="D1685" t="s">
        <v>3</v>
      </c>
      <c r="E1685" t="s">
        <v>52</v>
      </c>
      <c r="F1685" t="s">
        <v>53</v>
      </c>
      <c r="G1685" t="s">
        <v>757</v>
      </c>
      <c r="H1685" t="s">
        <v>42</v>
      </c>
      <c r="I1685" t="s">
        <v>67</v>
      </c>
      <c r="J1685" t="s">
        <v>2811</v>
      </c>
      <c r="K1685" t="s">
        <v>56</v>
      </c>
      <c r="M1685" t="s">
        <v>106</v>
      </c>
      <c r="P1685" t="s">
        <v>58</v>
      </c>
      <c r="Q1685" t="s">
        <v>47</v>
      </c>
      <c r="R1685" t="s">
        <v>48</v>
      </c>
      <c r="V1685" t="s">
        <v>49</v>
      </c>
      <c r="X1685" t="s">
        <v>49</v>
      </c>
      <c r="Y1685" t="s">
        <v>59</v>
      </c>
      <c r="Z1685" t="s">
        <v>3845</v>
      </c>
      <c r="AA1685" t="s">
        <v>3844</v>
      </c>
    </row>
    <row r="1686" spans="1:27" x14ac:dyDescent="0.35">
      <c r="A1686" t="str">
        <f t="shared" si="53"/>
        <v>1407D2</v>
      </c>
      <c r="B1686" t="str">
        <f t="shared" si="52"/>
        <v>1407</v>
      </c>
      <c r="C1686" t="s">
        <v>2821</v>
      </c>
      <c r="D1686" t="s">
        <v>2</v>
      </c>
      <c r="E1686" t="s">
        <v>62</v>
      </c>
      <c r="F1686" t="s">
        <v>63</v>
      </c>
      <c r="G1686" t="s">
        <v>757</v>
      </c>
      <c r="H1686" t="s">
        <v>42</v>
      </c>
      <c r="I1686" t="s">
        <v>43</v>
      </c>
      <c r="J1686" t="s">
        <v>2816</v>
      </c>
      <c r="K1686" t="s">
        <v>56</v>
      </c>
      <c r="M1686" t="s">
        <v>106</v>
      </c>
      <c r="P1686" t="s">
        <v>69</v>
      </c>
      <c r="Q1686" t="s">
        <v>47</v>
      </c>
      <c r="R1686" t="s">
        <v>48</v>
      </c>
      <c r="V1686" t="s">
        <v>49</v>
      </c>
      <c r="X1686" t="s">
        <v>49</v>
      </c>
      <c r="Y1686" t="s">
        <v>59</v>
      </c>
      <c r="Z1686" t="s">
        <v>2822</v>
      </c>
      <c r="AA1686" t="s">
        <v>2822</v>
      </c>
    </row>
    <row r="1687" spans="1:27" x14ac:dyDescent="0.35">
      <c r="A1687" t="str">
        <f t="shared" si="53"/>
        <v>412_F3</v>
      </c>
      <c r="B1687" t="str">
        <f t="shared" si="52"/>
        <v>412_</v>
      </c>
      <c r="C1687" t="s">
        <v>2823</v>
      </c>
      <c r="D1687" t="s">
        <v>5</v>
      </c>
      <c r="E1687" t="s">
        <v>40</v>
      </c>
      <c r="F1687" t="s">
        <v>73</v>
      </c>
      <c r="G1687" t="s">
        <v>757</v>
      </c>
      <c r="H1687" t="s">
        <v>42</v>
      </c>
      <c r="I1687" t="s">
        <v>67</v>
      </c>
      <c r="J1687" t="s">
        <v>2824</v>
      </c>
      <c r="M1687" t="s">
        <v>106</v>
      </c>
      <c r="P1687" t="s">
        <v>58</v>
      </c>
      <c r="Q1687" t="s">
        <v>47</v>
      </c>
      <c r="R1687" t="s">
        <v>48</v>
      </c>
      <c r="V1687" t="s">
        <v>49</v>
      </c>
      <c r="X1687" t="s">
        <v>49</v>
      </c>
      <c r="Y1687" t="s">
        <v>74</v>
      </c>
      <c r="Z1687" t="s">
        <v>3598</v>
      </c>
      <c r="AA1687" t="s">
        <v>3598</v>
      </c>
    </row>
    <row r="1688" spans="1:27" x14ac:dyDescent="0.35">
      <c r="A1688" t="str">
        <f t="shared" si="53"/>
        <v>1407F3</v>
      </c>
      <c r="B1688" t="str">
        <f t="shared" si="52"/>
        <v>1407</v>
      </c>
      <c r="C1688" t="s">
        <v>2825</v>
      </c>
      <c r="D1688" t="s">
        <v>5</v>
      </c>
      <c r="E1688" t="s">
        <v>40</v>
      </c>
      <c r="F1688" t="s">
        <v>73</v>
      </c>
      <c r="G1688" t="s">
        <v>757</v>
      </c>
      <c r="H1688" t="s">
        <v>42</v>
      </c>
      <c r="I1688" t="s">
        <v>67</v>
      </c>
      <c r="J1688" t="s">
        <v>2816</v>
      </c>
      <c r="M1688" t="s">
        <v>106</v>
      </c>
      <c r="P1688" t="s">
        <v>58</v>
      </c>
      <c r="Q1688" t="s">
        <v>47</v>
      </c>
      <c r="R1688" t="s">
        <v>48</v>
      </c>
      <c r="V1688" t="s">
        <v>49</v>
      </c>
      <c r="X1688" t="s">
        <v>49</v>
      </c>
      <c r="Y1688" t="s">
        <v>74</v>
      </c>
      <c r="Z1688" t="s">
        <v>2799</v>
      </c>
      <c r="AA1688" t="s">
        <v>2799</v>
      </c>
    </row>
    <row r="1689" spans="1:27" x14ac:dyDescent="0.35">
      <c r="A1689" t="str">
        <f t="shared" si="53"/>
        <v>1407C2</v>
      </c>
      <c r="B1689" t="str">
        <f t="shared" si="52"/>
        <v>1407</v>
      </c>
      <c r="C1689" t="s">
        <v>2826</v>
      </c>
      <c r="D1689" t="s">
        <v>1</v>
      </c>
      <c r="E1689" t="s">
        <v>65</v>
      </c>
      <c r="F1689" t="s">
        <v>66</v>
      </c>
      <c r="G1689" t="s">
        <v>757</v>
      </c>
      <c r="H1689" t="s">
        <v>42</v>
      </c>
      <c r="I1689" t="s">
        <v>67</v>
      </c>
      <c r="J1689" t="s">
        <v>2816</v>
      </c>
      <c r="M1689" t="s">
        <v>106</v>
      </c>
      <c r="P1689" t="s">
        <v>69</v>
      </c>
      <c r="Q1689" t="s">
        <v>47</v>
      </c>
      <c r="R1689" t="s">
        <v>48</v>
      </c>
      <c r="V1689" t="s">
        <v>49</v>
      </c>
      <c r="X1689" t="s">
        <v>49</v>
      </c>
      <c r="Y1689" t="s">
        <v>70</v>
      </c>
      <c r="Z1689" t="s">
        <v>2827</v>
      </c>
      <c r="AA1689" t="s">
        <v>2828</v>
      </c>
    </row>
    <row r="1690" spans="1:27" x14ac:dyDescent="0.35">
      <c r="A1690" t="str">
        <f t="shared" si="53"/>
        <v>1407D7</v>
      </c>
      <c r="B1690" t="str">
        <f t="shared" si="52"/>
        <v>1407</v>
      </c>
      <c r="C1690" t="s">
        <v>2829</v>
      </c>
      <c r="D1690" t="s">
        <v>6</v>
      </c>
      <c r="E1690" t="s">
        <v>94</v>
      </c>
      <c r="F1690" t="s">
        <v>111</v>
      </c>
      <c r="G1690" t="s">
        <v>757</v>
      </c>
      <c r="H1690" t="s">
        <v>42</v>
      </c>
      <c r="I1690" t="s">
        <v>43</v>
      </c>
      <c r="J1690" t="s">
        <v>2816</v>
      </c>
      <c r="M1690" t="s">
        <v>106</v>
      </c>
      <c r="P1690" t="s">
        <v>46</v>
      </c>
      <c r="Q1690" t="s">
        <v>47</v>
      </c>
      <c r="R1690" t="s">
        <v>48</v>
      </c>
      <c r="V1690" t="s">
        <v>49</v>
      </c>
      <c r="X1690" t="s">
        <v>49</v>
      </c>
      <c r="Y1690" t="s">
        <v>59</v>
      </c>
      <c r="Z1690" t="s">
        <v>2803</v>
      </c>
      <c r="AA1690" t="s">
        <v>2803</v>
      </c>
    </row>
    <row r="1691" spans="1:27" x14ac:dyDescent="0.35">
      <c r="A1691" t="str">
        <f t="shared" si="53"/>
        <v>412_F2</v>
      </c>
      <c r="B1691" t="str">
        <f t="shared" si="52"/>
        <v>412_</v>
      </c>
      <c r="C1691" t="s">
        <v>2830</v>
      </c>
      <c r="D1691" t="s">
        <v>4</v>
      </c>
      <c r="E1691" t="s">
        <v>77</v>
      </c>
      <c r="F1691" t="s">
        <v>78</v>
      </c>
      <c r="G1691" t="s">
        <v>757</v>
      </c>
      <c r="H1691" t="s">
        <v>42</v>
      </c>
      <c r="I1691" t="s">
        <v>67</v>
      </c>
      <c r="J1691" t="s">
        <v>2824</v>
      </c>
      <c r="M1691" t="s">
        <v>106</v>
      </c>
      <c r="P1691" t="s">
        <v>710</v>
      </c>
      <c r="Q1691" t="s">
        <v>47</v>
      </c>
      <c r="R1691" t="s">
        <v>48</v>
      </c>
      <c r="V1691" t="s">
        <v>49</v>
      </c>
      <c r="X1691" t="s">
        <v>49</v>
      </c>
      <c r="Y1691" t="s">
        <v>74</v>
      </c>
      <c r="Z1691" t="s">
        <v>3598</v>
      </c>
      <c r="AA1691" t="s">
        <v>3598</v>
      </c>
    </row>
    <row r="1692" spans="1:27" x14ac:dyDescent="0.35">
      <c r="A1692" t="str">
        <f t="shared" si="53"/>
        <v>412_C2</v>
      </c>
      <c r="B1692" t="str">
        <f t="shared" si="52"/>
        <v>412_</v>
      </c>
      <c r="C1692" t="s">
        <v>2831</v>
      </c>
      <c r="D1692" t="s">
        <v>1</v>
      </c>
      <c r="E1692" t="s">
        <v>65</v>
      </c>
      <c r="F1692" t="s">
        <v>66</v>
      </c>
      <c r="G1692" t="s">
        <v>757</v>
      </c>
      <c r="H1692" t="s">
        <v>42</v>
      </c>
      <c r="I1692" t="s">
        <v>67</v>
      </c>
      <c r="J1692" t="s">
        <v>2824</v>
      </c>
      <c r="M1692" t="s">
        <v>106</v>
      </c>
      <c r="P1692" t="s">
        <v>58</v>
      </c>
      <c r="Q1692" t="s">
        <v>47</v>
      </c>
      <c r="R1692" t="s">
        <v>48</v>
      </c>
      <c r="V1692" t="s">
        <v>49</v>
      </c>
      <c r="X1692" t="s">
        <v>49</v>
      </c>
      <c r="Y1692" t="s">
        <v>70</v>
      </c>
      <c r="Z1692" t="s">
        <v>3878</v>
      </c>
      <c r="AA1692" t="s">
        <v>3878</v>
      </c>
    </row>
    <row r="1693" spans="1:27" x14ac:dyDescent="0.35">
      <c r="A1693" t="str">
        <f t="shared" si="53"/>
        <v>412_D2</v>
      </c>
      <c r="B1693" t="str">
        <f t="shared" si="52"/>
        <v>412_</v>
      </c>
      <c r="C1693" t="s">
        <v>2832</v>
      </c>
      <c r="D1693" t="s">
        <v>2</v>
      </c>
      <c r="E1693" t="s">
        <v>62</v>
      </c>
      <c r="F1693" t="s">
        <v>63</v>
      </c>
      <c r="G1693" t="s">
        <v>757</v>
      </c>
      <c r="H1693" t="s">
        <v>42</v>
      </c>
      <c r="I1693" t="s">
        <v>67</v>
      </c>
      <c r="J1693" t="s">
        <v>2824</v>
      </c>
      <c r="K1693" t="s">
        <v>56</v>
      </c>
      <c r="M1693" t="s">
        <v>106</v>
      </c>
      <c r="P1693" t="s">
        <v>58</v>
      </c>
      <c r="Q1693" t="s">
        <v>47</v>
      </c>
      <c r="R1693" t="s">
        <v>48</v>
      </c>
      <c r="V1693" t="s">
        <v>49</v>
      </c>
      <c r="X1693" t="s">
        <v>49</v>
      </c>
      <c r="Y1693" t="s">
        <v>59</v>
      </c>
      <c r="Z1693" t="s">
        <v>2833</v>
      </c>
      <c r="AA1693" t="s">
        <v>2833</v>
      </c>
    </row>
    <row r="1694" spans="1:27" x14ac:dyDescent="0.35">
      <c r="A1694" t="str">
        <f t="shared" si="53"/>
        <v>412_D7</v>
      </c>
      <c r="B1694" t="str">
        <f t="shared" si="52"/>
        <v>412_</v>
      </c>
      <c r="C1694" t="s">
        <v>2834</v>
      </c>
      <c r="D1694" t="s">
        <v>6</v>
      </c>
      <c r="E1694" t="s">
        <v>94</v>
      </c>
      <c r="F1694" t="s">
        <v>111</v>
      </c>
      <c r="G1694" t="s">
        <v>757</v>
      </c>
      <c r="H1694" t="s">
        <v>42</v>
      </c>
      <c r="I1694" t="s">
        <v>67</v>
      </c>
      <c r="J1694" t="s">
        <v>2824</v>
      </c>
      <c r="M1694" t="s">
        <v>106</v>
      </c>
      <c r="P1694" t="s">
        <v>46</v>
      </c>
      <c r="Q1694" t="s">
        <v>47</v>
      </c>
      <c r="R1694" t="s">
        <v>48</v>
      </c>
      <c r="V1694" t="s">
        <v>49</v>
      </c>
      <c r="X1694" t="s">
        <v>49</v>
      </c>
      <c r="Y1694" t="s">
        <v>59</v>
      </c>
      <c r="Z1694" t="s">
        <v>2696</v>
      </c>
      <c r="AA1694" t="s">
        <v>2696</v>
      </c>
    </row>
    <row r="1695" spans="1:27" x14ac:dyDescent="0.35">
      <c r="A1695" t="str">
        <f t="shared" si="53"/>
        <v>412_D4</v>
      </c>
      <c r="B1695" t="str">
        <f t="shared" si="52"/>
        <v>412_</v>
      </c>
      <c r="C1695" t="s">
        <v>2835</v>
      </c>
      <c r="D1695" t="s">
        <v>3</v>
      </c>
      <c r="E1695" t="s">
        <v>52</v>
      </c>
      <c r="F1695" t="s">
        <v>53</v>
      </c>
      <c r="G1695" t="s">
        <v>757</v>
      </c>
      <c r="H1695" t="s">
        <v>42</v>
      </c>
      <c r="I1695" t="s">
        <v>67</v>
      </c>
      <c r="J1695" t="s">
        <v>2824</v>
      </c>
      <c r="K1695" t="s">
        <v>56</v>
      </c>
      <c r="M1695" t="s">
        <v>106</v>
      </c>
      <c r="P1695" t="s">
        <v>58</v>
      </c>
      <c r="Q1695" t="s">
        <v>47</v>
      </c>
      <c r="R1695" t="s">
        <v>48</v>
      </c>
      <c r="V1695" t="s">
        <v>49</v>
      </c>
      <c r="X1695" t="s">
        <v>49</v>
      </c>
      <c r="Y1695" t="s">
        <v>59</v>
      </c>
      <c r="Z1695" t="s">
        <v>3854</v>
      </c>
      <c r="AA1695" t="s">
        <v>3854</v>
      </c>
    </row>
    <row r="1696" spans="1:27" x14ac:dyDescent="0.35">
      <c r="A1696" t="str">
        <f t="shared" si="53"/>
        <v>411_F3</v>
      </c>
      <c r="B1696" t="str">
        <f t="shared" si="52"/>
        <v>411_</v>
      </c>
      <c r="C1696" t="s">
        <v>2836</v>
      </c>
      <c r="D1696" t="s">
        <v>5</v>
      </c>
      <c r="E1696" t="s">
        <v>40</v>
      </c>
      <c r="F1696" t="s">
        <v>73</v>
      </c>
      <c r="G1696" t="s">
        <v>757</v>
      </c>
      <c r="H1696" t="s">
        <v>42</v>
      </c>
      <c r="I1696" t="s">
        <v>67</v>
      </c>
      <c r="J1696" t="s">
        <v>2837</v>
      </c>
      <c r="M1696" t="s">
        <v>106</v>
      </c>
      <c r="P1696" t="s">
        <v>58</v>
      </c>
      <c r="Q1696" t="s">
        <v>47</v>
      </c>
      <c r="R1696" t="s">
        <v>48</v>
      </c>
      <c r="V1696" t="s">
        <v>49</v>
      </c>
      <c r="X1696" t="s">
        <v>49</v>
      </c>
      <c r="Y1696" t="s">
        <v>74</v>
      </c>
      <c r="Z1696" t="s">
        <v>3598</v>
      </c>
      <c r="AA1696" t="s">
        <v>3598</v>
      </c>
    </row>
    <row r="1697" spans="1:27" x14ac:dyDescent="0.35">
      <c r="A1697" t="str">
        <f t="shared" si="53"/>
        <v>411_F2</v>
      </c>
      <c r="B1697" t="str">
        <f t="shared" si="52"/>
        <v>411_</v>
      </c>
      <c r="C1697" t="s">
        <v>2838</v>
      </c>
      <c r="D1697" t="s">
        <v>4</v>
      </c>
      <c r="E1697" t="s">
        <v>77</v>
      </c>
      <c r="F1697" t="s">
        <v>78</v>
      </c>
      <c r="G1697" t="s">
        <v>757</v>
      </c>
      <c r="H1697" t="s">
        <v>42</v>
      </c>
      <c r="I1697" t="s">
        <v>67</v>
      </c>
      <c r="J1697" t="s">
        <v>2837</v>
      </c>
      <c r="M1697" t="s">
        <v>106</v>
      </c>
      <c r="P1697" t="s">
        <v>710</v>
      </c>
      <c r="Q1697" t="s">
        <v>47</v>
      </c>
      <c r="R1697" t="s">
        <v>48</v>
      </c>
      <c r="V1697" t="s">
        <v>49</v>
      </c>
      <c r="X1697" t="s">
        <v>49</v>
      </c>
      <c r="Y1697" t="s">
        <v>74</v>
      </c>
      <c r="Z1697" t="s">
        <v>3598</v>
      </c>
      <c r="AA1697" t="s">
        <v>3598</v>
      </c>
    </row>
    <row r="1698" spans="1:27" x14ac:dyDescent="0.35">
      <c r="A1698" t="str">
        <f t="shared" si="53"/>
        <v>411_C2</v>
      </c>
      <c r="B1698" t="str">
        <f t="shared" si="52"/>
        <v>411_</v>
      </c>
      <c r="C1698" t="s">
        <v>2839</v>
      </c>
      <c r="D1698" t="s">
        <v>1</v>
      </c>
      <c r="E1698" t="s">
        <v>65</v>
      </c>
      <c r="F1698" t="s">
        <v>66</v>
      </c>
      <c r="G1698" t="s">
        <v>757</v>
      </c>
      <c r="H1698" t="s">
        <v>42</v>
      </c>
      <c r="I1698" t="s">
        <v>67</v>
      </c>
      <c r="J1698" t="s">
        <v>2837</v>
      </c>
      <c r="M1698" t="s">
        <v>106</v>
      </c>
      <c r="P1698" t="s">
        <v>69</v>
      </c>
      <c r="Q1698" t="s">
        <v>47</v>
      </c>
      <c r="R1698" t="s">
        <v>48</v>
      </c>
      <c r="V1698" t="s">
        <v>49</v>
      </c>
      <c r="X1698" t="s">
        <v>49</v>
      </c>
      <c r="Y1698" t="s">
        <v>70</v>
      </c>
      <c r="Z1698" t="s">
        <v>3865</v>
      </c>
      <c r="AA1698" t="s">
        <v>3865</v>
      </c>
    </row>
    <row r="1699" spans="1:27" x14ac:dyDescent="0.35">
      <c r="A1699" t="str">
        <f t="shared" si="53"/>
        <v>1406F2</v>
      </c>
      <c r="B1699" t="str">
        <f t="shared" si="52"/>
        <v>1406</v>
      </c>
      <c r="C1699" t="s">
        <v>2840</v>
      </c>
      <c r="D1699" t="s">
        <v>4</v>
      </c>
      <c r="E1699" t="s">
        <v>77</v>
      </c>
      <c r="F1699" t="s">
        <v>78</v>
      </c>
      <c r="G1699" t="s">
        <v>757</v>
      </c>
      <c r="H1699" t="s">
        <v>42</v>
      </c>
      <c r="I1699" t="s">
        <v>67</v>
      </c>
      <c r="J1699" t="s">
        <v>2841</v>
      </c>
      <c r="M1699" t="s">
        <v>106</v>
      </c>
      <c r="P1699" t="s">
        <v>189</v>
      </c>
      <c r="Q1699" t="s">
        <v>47</v>
      </c>
      <c r="R1699" t="s">
        <v>48</v>
      </c>
      <c r="V1699" t="s">
        <v>49</v>
      </c>
      <c r="X1699" t="s">
        <v>49</v>
      </c>
      <c r="Y1699" t="s">
        <v>74</v>
      </c>
      <c r="Z1699" t="s">
        <v>2817</v>
      </c>
      <c r="AA1699" t="s">
        <v>2817</v>
      </c>
    </row>
    <row r="1700" spans="1:27" x14ac:dyDescent="0.35">
      <c r="A1700" t="str">
        <f t="shared" si="53"/>
        <v>1406D4</v>
      </c>
      <c r="B1700" t="str">
        <f t="shared" si="52"/>
        <v>1406</v>
      </c>
      <c r="C1700" t="s">
        <v>2842</v>
      </c>
      <c r="D1700" t="s">
        <v>3</v>
      </c>
      <c r="E1700" t="s">
        <v>52</v>
      </c>
      <c r="F1700" t="s">
        <v>53</v>
      </c>
      <c r="G1700" t="s">
        <v>757</v>
      </c>
      <c r="H1700" t="s">
        <v>42</v>
      </c>
      <c r="I1700" t="s">
        <v>43</v>
      </c>
      <c r="J1700" t="s">
        <v>2841</v>
      </c>
      <c r="K1700" t="s">
        <v>56</v>
      </c>
      <c r="M1700" t="s">
        <v>106</v>
      </c>
      <c r="P1700" t="s">
        <v>58</v>
      </c>
      <c r="Q1700" t="s">
        <v>47</v>
      </c>
      <c r="R1700" t="s">
        <v>48</v>
      </c>
      <c r="V1700" t="s">
        <v>49</v>
      </c>
      <c r="X1700" t="s">
        <v>49</v>
      </c>
      <c r="Y1700" t="s">
        <v>59</v>
      </c>
      <c r="Z1700" t="s">
        <v>2843</v>
      </c>
      <c r="AA1700" t="s">
        <v>2843</v>
      </c>
    </row>
    <row r="1701" spans="1:27" x14ac:dyDescent="0.35">
      <c r="A1701" t="str">
        <f t="shared" si="53"/>
        <v>411_D2</v>
      </c>
      <c r="B1701" t="str">
        <f t="shared" si="52"/>
        <v>411_</v>
      </c>
      <c r="C1701" t="s">
        <v>2844</v>
      </c>
      <c r="D1701" t="s">
        <v>2</v>
      </c>
      <c r="E1701" t="s">
        <v>62</v>
      </c>
      <c r="F1701" t="s">
        <v>63</v>
      </c>
      <c r="G1701" t="s">
        <v>757</v>
      </c>
      <c r="H1701" t="s">
        <v>42</v>
      </c>
      <c r="I1701" t="s">
        <v>67</v>
      </c>
      <c r="J1701" t="s">
        <v>2837</v>
      </c>
      <c r="K1701" t="s">
        <v>56</v>
      </c>
      <c r="M1701" t="s">
        <v>106</v>
      </c>
      <c r="P1701" t="s">
        <v>58</v>
      </c>
      <c r="Q1701" t="s">
        <v>47</v>
      </c>
      <c r="R1701" t="s">
        <v>48</v>
      </c>
      <c r="V1701" t="s">
        <v>49</v>
      </c>
      <c r="X1701" t="s">
        <v>49</v>
      </c>
      <c r="Y1701" t="s">
        <v>59</v>
      </c>
      <c r="Z1701" t="s">
        <v>2833</v>
      </c>
      <c r="AA1701" t="s">
        <v>2833</v>
      </c>
    </row>
    <row r="1702" spans="1:27" x14ac:dyDescent="0.35">
      <c r="A1702" t="str">
        <f t="shared" si="53"/>
        <v>411_D7</v>
      </c>
      <c r="B1702" t="str">
        <f t="shared" si="52"/>
        <v>411_</v>
      </c>
      <c r="C1702" t="s">
        <v>2845</v>
      </c>
      <c r="D1702" t="s">
        <v>6</v>
      </c>
      <c r="E1702" t="s">
        <v>94</v>
      </c>
      <c r="F1702" t="s">
        <v>111</v>
      </c>
      <c r="G1702" t="s">
        <v>757</v>
      </c>
      <c r="H1702" t="s">
        <v>42</v>
      </c>
      <c r="I1702" t="s">
        <v>67</v>
      </c>
      <c r="J1702" t="s">
        <v>2837</v>
      </c>
      <c r="M1702" t="s">
        <v>106</v>
      </c>
      <c r="P1702" t="s">
        <v>46</v>
      </c>
      <c r="Q1702" t="s">
        <v>47</v>
      </c>
      <c r="R1702" t="s">
        <v>48</v>
      </c>
      <c r="V1702" t="s">
        <v>49</v>
      </c>
      <c r="X1702" t="s">
        <v>49</v>
      </c>
      <c r="Y1702" t="s">
        <v>59</v>
      </c>
      <c r="Z1702" t="s">
        <v>2846</v>
      </c>
      <c r="AA1702" t="s">
        <v>2846</v>
      </c>
    </row>
    <row r="1703" spans="1:27" x14ac:dyDescent="0.35">
      <c r="A1703" t="str">
        <f t="shared" si="53"/>
        <v>1406D2</v>
      </c>
      <c r="B1703" t="str">
        <f t="shared" si="52"/>
        <v>1406</v>
      </c>
      <c r="C1703" t="s">
        <v>2847</v>
      </c>
      <c r="D1703" t="s">
        <v>2</v>
      </c>
      <c r="E1703" t="s">
        <v>62</v>
      </c>
      <c r="F1703" t="s">
        <v>63</v>
      </c>
      <c r="G1703" t="s">
        <v>757</v>
      </c>
      <c r="H1703" t="s">
        <v>42</v>
      </c>
      <c r="I1703" t="s">
        <v>43</v>
      </c>
      <c r="J1703" t="s">
        <v>2841</v>
      </c>
      <c r="K1703" t="s">
        <v>56</v>
      </c>
      <c r="M1703" t="s">
        <v>106</v>
      </c>
      <c r="P1703" t="s">
        <v>69</v>
      </c>
      <c r="Q1703" t="s">
        <v>47</v>
      </c>
      <c r="R1703" t="s">
        <v>48</v>
      </c>
      <c r="V1703" t="s">
        <v>49</v>
      </c>
      <c r="X1703" t="s">
        <v>49</v>
      </c>
      <c r="Y1703" t="s">
        <v>59</v>
      </c>
      <c r="Z1703" t="s">
        <v>2822</v>
      </c>
      <c r="AA1703" t="s">
        <v>2822</v>
      </c>
    </row>
    <row r="1704" spans="1:27" x14ac:dyDescent="0.35">
      <c r="A1704" t="str">
        <f t="shared" si="53"/>
        <v>411_D4</v>
      </c>
      <c r="B1704" t="str">
        <f t="shared" si="52"/>
        <v>411_</v>
      </c>
      <c r="C1704" t="s">
        <v>2848</v>
      </c>
      <c r="D1704" t="s">
        <v>3</v>
      </c>
      <c r="E1704" t="s">
        <v>52</v>
      </c>
      <c r="F1704" t="s">
        <v>53</v>
      </c>
      <c r="G1704" t="s">
        <v>757</v>
      </c>
      <c r="H1704" t="s">
        <v>42</v>
      </c>
      <c r="I1704" t="s">
        <v>67</v>
      </c>
      <c r="J1704" t="s">
        <v>2837</v>
      </c>
      <c r="K1704" t="s">
        <v>56</v>
      </c>
      <c r="M1704" t="s">
        <v>106</v>
      </c>
      <c r="P1704" t="s">
        <v>58</v>
      </c>
      <c r="Q1704" t="s">
        <v>47</v>
      </c>
      <c r="R1704" t="s">
        <v>48</v>
      </c>
      <c r="V1704" t="s">
        <v>49</v>
      </c>
      <c r="X1704" t="s">
        <v>49</v>
      </c>
      <c r="Y1704" t="s">
        <v>59</v>
      </c>
      <c r="Z1704" t="s">
        <v>3854</v>
      </c>
      <c r="AA1704" t="s">
        <v>3854</v>
      </c>
    </row>
    <row r="1705" spans="1:27" x14ac:dyDescent="0.35">
      <c r="A1705" t="str">
        <f t="shared" si="53"/>
        <v>1406F3</v>
      </c>
      <c r="B1705" t="str">
        <f t="shared" si="52"/>
        <v>1406</v>
      </c>
      <c r="C1705" t="s">
        <v>2849</v>
      </c>
      <c r="D1705" t="s">
        <v>5</v>
      </c>
      <c r="E1705" t="s">
        <v>40</v>
      </c>
      <c r="F1705" t="s">
        <v>73</v>
      </c>
      <c r="G1705" t="s">
        <v>757</v>
      </c>
      <c r="H1705" t="s">
        <v>42</v>
      </c>
      <c r="I1705" t="s">
        <v>67</v>
      </c>
      <c r="J1705" t="s">
        <v>2841</v>
      </c>
      <c r="M1705" t="s">
        <v>106</v>
      </c>
      <c r="P1705" t="s">
        <v>58</v>
      </c>
      <c r="Q1705" t="s">
        <v>47</v>
      </c>
      <c r="R1705" t="s">
        <v>48</v>
      </c>
      <c r="V1705" t="s">
        <v>49</v>
      </c>
      <c r="X1705" t="s">
        <v>49</v>
      </c>
      <c r="Y1705" t="s">
        <v>74</v>
      </c>
      <c r="Z1705" t="s">
        <v>2850</v>
      </c>
      <c r="AA1705" t="s">
        <v>2850</v>
      </c>
    </row>
    <row r="1706" spans="1:27" x14ac:dyDescent="0.35">
      <c r="A1706" t="str">
        <f t="shared" si="53"/>
        <v>410_F3</v>
      </c>
      <c r="B1706" t="str">
        <f t="shared" si="52"/>
        <v>410_</v>
      </c>
      <c r="C1706" t="s">
        <v>2851</v>
      </c>
      <c r="D1706" t="s">
        <v>5</v>
      </c>
      <c r="E1706" t="s">
        <v>40</v>
      </c>
      <c r="F1706" t="s">
        <v>73</v>
      </c>
      <c r="G1706" t="s">
        <v>757</v>
      </c>
      <c r="H1706" t="s">
        <v>42</v>
      </c>
      <c r="I1706" t="s">
        <v>67</v>
      </c>
      <c r="J1706" t="s">
        <v>2852</v>
      </c>
      <c r="M1706" t="s">
        <v>106</v>
      </c>
      <c r="P1706" t="s">
        <v>58</v>
      </c>
      <c r="Q1706" t="s">
        <v>47</v>
      </c>
      <c r="R1706" t="s">
        <v>48</v>
      </c>
      <c r="V1706" t="s">
        <v>49</v>
      </c>
      <c r="X1706" t="s">
        <v>49</v>
      </c>
      <c r="Y1706" t="s">
        <v>74</v>
      </c>
      <c r="Z1706" t="s">
        <v>3599</v>
      </c>
      <c r="AA1706" t="s">
        <v>3599</v>
      </c>
    </row>
    <row r="1707" spans="1:27" x14ac:dyDescent="0.35">
      <c r="A1707" t="str">
        <f t="shared" si="53"/>
        <v>1406C2</v>
      </c>
      <c r="B1707" t="str">
        <f t="shared" si="52"/>
        <v>1406</v>
      </c>
      <c r="C1707" t="s">
        <v>2853</v>
      </c>
      <c r="D1707" t="s">
        <v>1</v>
      </c>
      <c r="E1707" t="s">
        <v>65</v>
      </c>
      <c r="F1707" t="s">
        <v>66</v>
      </c>
      <c r="G1707" t="s">
        <v>757</v>
      </c>
      <c r="H1707" t="s">
        <v>42</v>
      </c>
      <c r="I1707" t="s">
        <v>67</v>
      </c>
      <c r="J1707" t="s">
        <v>2841</v>
      </c>
      <c r="M1707" t="s">
        <v>106</v>
      </c>
      <c r="P1707" t="s">
        <v>69</v>
      </c>
      <c r="Q1707" t="s">
        <v>47</v>
      </c>
      <c r="R1707" t="s">
        <v>48</v>
      </c>
      <c r="V1707" t="s">
        <v>49</v>
      </c>
      <c r="X1707" t="s">
        <v>49</v>
      </c>
      <c r="Y1707" t="s">
        <v>70</v>
      </c>
      <c r="Z1707" t="s">
        <v>2854</v>
      </c>
      <c r="AA1707" t="s">
        <v>2855</v>
      </c>
    </row>
    <row r="1708" spans="1:27" x14ac:dyDescent="0.35">
      <c r="A1708" t="str">
        <f t="shared" si="53"/>
        <v>1406D7</v>
      </c>
      <c r="B1708" t="str">
        <f t="shared" si="52"/>
        <v>1406</v>
      </c>
      <c r="C1708" t="s">
        <v>2856</v>
      </c>
      <c r="D1708" t="s">
        <v>6</v>
      </c>
      <c r="E1708" t="s">
        <v>94</v>
      </c>
      <c r="F1708" t="s">
        <v>111</v>
      </c>
      <c r="G1708" t="s">
        <v>757</v>
      </c>
      <c r="H1708" t="s">
        <v>42</v>
      </c>
      <c r="I1708" t="s">
        <v>43</v>
      </c>
      <c r="J1708" t="s">
        <v>2841</v>
      </c>
      <c r="M1708" t="s">
        <v>106</v>
      </c>
      <c r="P1708" t="s">
        <v>46</v>
      </c>
      <c r="Q1708" t="s">
        <v>47</v>
      </c>
      <c r="R1708" t="s">
        <v>48</v>
      </c>
      <c r="V1708" t="s">
        <v>49</v>
      </c>
      <c r="X1708" t="s">
        <v>49</v>
      </c>
      <c r="Y1708" t="s">
        <v>59</v>
      </c>
      <c r="Z1708" t="s">
        <v>2857</v>
      </c>
      <c r="AA1708" t="s">
        <v>2857</v>
      </c>
    </row>
    <row r="1709" spans="1:27" x14ac:dyDescent="0.35">
      <c r="A1709" t="str">
        <f t="shared" si="53"/>
        <v>410_F2</v>
      </c>
      <c r="B1709" t="str">
        <f t="shared" si="52"/>
        <v>410_</v>
      </c>
      <c r="C1709" t="s">
        <v>2858</v>
      </c>
      <c r="D1709" t="s">
        <v>4</v>
      </c>
      <c r="E1709" t="s">
        <v>77</v>
      </c>
      <c r="F1709" t="s">
        <v>78</v>
      </c>
      <c r="G1709" t="s">
        <v>757</v>
      </c>
      <c r="H1709" t="s">
        <v>42</v>
      </c>
      <c r="I1709" t="s">
        <v>67</v>
      </c>
      <c r="J1709" t="s">
        <v>2852</v>
      </c>
      <c r="M1709" t="s">
        <v>106</v>
      </c>
      <c r="P1709" t="s">
        <v>710</v>
      </c>
      <c r="Q1709" t="s">
        <v>47</v>
      </c>
      <c r="R1709" t="s">
        <v>48</v>
      </c>
      <c r="V1709" t="s">
        <v>49</v>
      </c>
      <c r="X1709" t="s">
        <v>49</v>
      </c>
      <c r="Y1709" t="s">
        <v>74</v>
      </c>
      <c r="Z1709" t="s">
        <v>3599</v>
      </c>
      <c r="AA1709" t="s">
        <v>3599</v>
      </c>
    </row>
    <row r="1710" spans="1:27" x14ac:dyDescent="0.35">
      <c r="A1710" t="str">
        <f t="shared" si="53"/>
        <v>410_C2</v>
      </c>
      <c r="B1710" t="str">
        <f t="shared" si="52"/>
        <v>410_</v>
      </c>
      <c r="C1710" t="s">
        <v>2859</v>
      </c>
      <c r="D1710" t="s">
        <v>1</v>
      </c>
      <c r="E1710" t="s">
        <v>65</v>
      </c>
      <c r="F1710" t="s">
        <v>66</v>
      </c>
      <c r="G1710" t="s">
        <v>757</v>
      </c>
      <c r="H1710" t="s">
        <v>42</v>
      </c>
      <c r="I1710" t="s">
        <v>67</v>
      </c>
      <c r="J1710" t="s">
        <v>2852</v>
      </c>
      <c r="M1710" t="s">
        <v>106</v>
      </c>
      <c r="P1710" t="s">
        <v>69</v>
      </c>
      <c r="Q1710" t="s">
        <v>47</v>
      </c>
      <c r="R1710" t="s">
        <v>48</v>
      </c>
      <c r="V1710" t="s">
        <v>49</v>
      </c>
      <c r="X1710" t="s">
        <v>49</v>
      </c>
      <c r="Y1710" t="s">
        <v>70</v>
      </c>
      <c r="Z1710" t="s">
        <v>3866</v>
      </c>
      <c r="AA1710" t="s">
        <v>3866</v>
      </c>
    </row>
    <row r="1711" spans="1:27" x14ac:dyDescent="0.35">
      <c r="A1711" t="str">
        <f t="shared" si="53"/>
        <v>410_D2</v>
      </c>
      <c r="B1711" t="str">
        <f t="shared" si="52"/>
        <v>410_</v>
      </c>
      <c r="C1711" t="s">
        <v>2860</v>
      </c>
      <c r="D1711" t="s">
        <v>2</v>
      </c>
      <c r="E1711" t="s">
        <v>62</v>
      </c>
      <c r="F1711" t="s">
        <v>63</v>
      </c>
      <c r="G1711" t="s">
        <v>757</v>
      </c>
      <c r="H1711" t="s">
        <v>42</v>
      </c>
      <c r="I1711" t="s">
        <v>67</v>
      </c>
      <c r="J1711" t="s">
        <v>2852</v>
      </c>
      <c r="K1711" t="s">
        <v>56</v>
      </c>
      <c r="M1711" t="s">
        <v>106</v>
      </c>
      <c r="P1711" t="s">
        <v>58</v>
      </c>
      <c r="Q1711" t="s">
        <v>47</v>
      </c>
      <c r="R1711" t="s">
        <v>48</v>
      </c>
      <c r="V1711" t="s">
        <v>49</v>
      </c>
      <c r="X1711" t="s">
        <v>49</v>
      </c>
      <c r="Y1711" t="s">
        <v>59</v>
      </c>
      <c r="Z1711" t="s">
        <v>2861</v>
      </c>
      <c r="AA1711" t="s">
        <v>2861</v>
      </c>
    </row>
    <row r="1712" spans="1:27" x14ac:dyDescent="0.35">
      <c r="A1712" t="str">
        <f t="shared" si="53"/>
        <v>410_D7</v>
      </c>
      <c r="B1712" t="str">
        <f t="shared" si="52"/>
        <v>410_</v>
      </c>
      <c r="C1712" t="s">
        <v>2862</v>
      </c>
      <c r="D1712" t="s">
        <v>6</v>
      </c>
      <c r="E1712" t="s">
        <v>94</v>
      </c>
      <c r="F1712" t="s">
        <v>111</v>
      </c>
      <c r="G1712" t="s">
        <v>757</v>
      </c>
      <c r="H1712" t="s">
        <v>42</v>
      </c>
      <c r="I1712" t="s">
        <v>67</v>
      </c>
      <c r="J1712" t="s">
        <v>2852</v>
      </c>
      <c r="M1712" t="s">
        <v>106</v>
      </c>
      <c r="P1712" t="s">
        <v>46</v>
      </c>
      <c r="Q1712" t="s">
        <v>47</v>
      </c>
      <c r="R1712" t="s">
        <v>48</v>
      </c>
      <c r="V1712" t="s">
        <v>49</v>
      </c>
      <c r="X1712" t="s">
        <v>49</v>
      </c>
      <c r="Y1712" t="s">
        <v>59</v>
      </c>
      <c r="Z1712" t="s">
        <v>2863</v>
      </c>
      <c r="AA1712" t="s">
        <v>2846</v>
      </c>
    </row>
    <row r="1713" spans="1:27" x14ac:dyDescent="0.35">
      <c r="A1713" t="str">
        <f t="shared" si="53"/>
        <v>410_D4</v>
      </c>
      <c r="B1713" t="str">
        <f t="shared" si="52"/>
        <v>410_</v>
      </c>
      <c r="C1713" t="s">
        <v>2864</v>
      </c>
      <c r="D1713" t="s">
        <v>3</v>
      </c>
      <c r="E1713" t="s">
        <v>52</v>
      </c>
      <c r="F1713" t="s">
        <v>53</v>
      </c>
      <c r="G1713" t="s">
        <v>757</v>
      </c>
      <c r="H1713" t="s">
        <v>42</v>
      </c>
      <c r="I1713" t="s">
        <v>67</v>
      </c>
      <c r="J1713" t="s">
        <v>2852</v>
      </c>
      <c r="K1713" t="s">
        <v>56</v>
      </c>
      <c r="M1713" t="s">
        <v>106</v>
      </c>
      <c r="P1713" t="s">
        <v>58</v>
      </c>
      <c r="Q1713" t="s">
        <v>47</v>
      </c>
      <c r="R1713" t="s">
        <v>48</v>
      </c>
      <c r="V1713" t="s">
        <v>49</v>
      </c>
      <c r="X1713" t="s">
        <v>49</v>
      </c>
      <c r="Y1713" t="s">
        <v>59</v>
      </c>
      <c r="Z1713" t="s">
        <v>3854</v>
      </c>
      <c r="AA1713" t="s">
        <v>3854</v>
      </c>
    </row>
    <row r="1714" spans="1:27" x14ac:dyDescent="0.35">
      <c r="A1714" t="str">
        <f t="shared" si="53"/>
        <v>409_F3</v>
      </c>
      <c r="B1714" t="str">
        <f t="shared" si="52"/>
        <v>409_</v>
      </c>
      <c r="C1714" t="s">
        <v>2865</v>
      </c>
      <c r="D1714" t="s">
        <v>5</v>
      </c>
      <c r="E1714" t="s">
        <v>40</v>
      </c>
      <c r="F1714" t="s">
        <v>73</v>
      </c>
      <c r="G1714" t="s">
        <v>757</v>
      </c>
      <c r="H1714" t="s">
        <v>42</v>
      </c>
      <c r="I1714" t="s">
        <v>67</v>
      </c>
      <c r="J1714" t="s">
        <v>2866</v>
      </c>
      <c r="M1714" t="s">
        <v>106</v>
      </c>
      <c r="P1714" t="s">
        <v>58</v>
      </c>
      <c r="Q1714" t="s">
        <v>47</v>
      </c>
      <c r="R1714" t="s">
        <v>48</v>
      </c>
      <c r="V1714" t="s">
        <v>49</v>
      </c>
      <c r="X1714" t="s">
        <v>49</v>
      </c>
      <c r="Y1714" t="s">
        <v>74</v>
      </c>
      <c r="Z1714" t="s">
        <v>3599</v>
      </c>
      <c r="AA1714" t="s">
        <v>3599</v>
      </c>
    </row>
    <row r="1715" spans="1:27" x14ac:dyDescent="0.35">
      <c r="A1715" t="str">
        <f t="shared" si="53"/>
        <v>1405F2</v>
      </c>
      <c r="B1715" t="str">
        <f t="shared" si="52"/>
        <v>1405</v>
      </c>
      <c r="C1715" t="s">
        <v>2867</v>
      </c>
      <c r="D1715" t="s">
        <v>4</v>
      </c>
      <c r="E1715" t="s">
        <v>77</v>
      </c>
      <c r="F1715" t="s">
        <v>78</v>
      </c>
      <c r="G1715" t="s">
        <v>757</v>
      </c>
      <c r="H1715" t="s">
        <v>42</v>
      </c>
      <c r="I1715" t="s">
        <v>67</v>
      </c>
      <c r="J1715" t="s">
        <v>2868</v>
      </c>
      <c r="M1715" t="s">
        <v>106</v>
      </c>
      <c r="P1715" t="s">
        <v>91</v>
      </c>
      <c r="Q1715" t="s">
        <v>47</v>
      </c>
      <c r="R1715" t="s">
        <v>48</v>
      </c>
      <c r="V1715" t="s">
        <v>49</v>
      </c>
      <c r="X1715" t="s">
        <v>49</v>
      </c>
      <c r="Y1715" t="s">
        <v>74</v>
      </c>
      <c r="Z1715" t="s">
        <v>2817</v>
      </c>
      <c r="AA1715" t="s">
        <v>2817</v>
      </c>
    </row>
    <row r="1716" spans="1:27" x14ac:dyDescent="0.35">
      <c r="A1716" t="str">
        <f t="shared" si="53"/>
        <v>1405D4</v>
      </c>
      <c r="B1716" t="str">
        <f t="shared" si="52"/>
        <v>1405</v>
      </c>
      <c r="C1716" t="s">
        <v>2869</v>
      </c>
      <c r="D1716" t="s">
        <v>3</v>
      </c>
      <c r="E1716" t="s">
        <v>52</v>
      </c>
      <c r="F1716" t="s">
        <v>53</v>
      </c>
      <c r="G1716" t="s">
        <v>757</v>
      </c>
      <c r="H1716" t="s">
        <v>42</v>
      </c>
      <c r="I1716" t="s">
        <v>43</v>
      </c>
      <c r="J1716" t="s">
        <v>2868</v>
      </c>
      <c r="K1716" t="s">
        <v>56</v>
      </c>
      <c r="M1716" t="s">
        <v>106</v>
      </c>
      <c r="P1716" t="s">
        <v>58</v>
      </c>
      <c r="Q1716" t="s">
        <v>47</v>
      </c>
      <c r="R1716" t="s">
        <v>48</v>
      </c>
      <c r="V1716" t="s">
        <v>49</v>
      </c>
      <c r="X1716" t="s">
        <v>49</v>
      </c>
      <c r="Y1716" t="s">
        <v>59</v>
      </c>
      <c r="Z1716" t="s">
        <v>2870</v>
      </c>
      <c r="AA1716" t="s">
        <v>2870</v>
      </c>
    </row>
    <row r="1717" spans="1:27" x14ac:dyDescent="0.35">
      <c r="A1717" t="str">
        <f t="shared" si="53"/>
        <v>1405D2</v>
      </c>
      <c r="B1717" t="str">
        <f t="shared" si="52"/>
        <v>1405</v>
      </c>
      <c r="C1717" t="s">
        <v>2871</v>
      </c>
      <c r="D1717" t="s">
        <v>2</v>
      </c>
      <c r="E1717" t="s">
        <v>62</v>
      </c>
      <c r="F1717" t="s">
        <v>63</v>
      </c>
      <c r="G1717" t="s">
        <v>757</v>
      </c>
      <c r="H1717" t="s">
        <v>42</v>
      </c>
      <c r="I1717" t="s">
        <v>43</v>
      </c>
      <c r="J1717" t="s">
        <v>2868</v>
      </c>
      <c r="K1717" t="s">
        <v>56</v>
      </c>
      <c r="M1717" t="s">
        <v>106</v>
      </c>
      <c r="P1717" t="s">
        <v>58</v>
      </c>
      <c r="Q1717" t="s">
        <v>47</v>
      </c>
      <c r="R1717" t="s">
        <v>48</v>
      </c>
      <c r="V1717" t="s">
        <v>49</v>
      </c>
      <c r="X1717" t="s">
        <v>49</v>
      </c>
      <c r="Y1717" t="s">
        <v>59</v>
      </c>
      <c r="Z1717" t="s">
        <v>2106</v>
      </c>
      <c r="AA1717" t="s">
        <v>2106</v>
      </c>
    </row>
    <row r="1718" spans="1:27" x14ac:dyDescent="0.35">
      <c r="A1718" t="str">
        <f t="shared" si="53"/>
        <v>1405F3</v>
      </c>
      <c r="B1718" t="str">
        <f t="shared" si="52"/>
        <v>1405</v>
      </c>
      <c r="C1718" t="s">
        <v>2872</v>
      </c>
      <c r="D1718" t="s">
        <v>5</v>
      </c>
      <c r="E1718" t="s">
        <v>40</v>
      </c>
      <c r="F1718" t="s">
        <v>73</v>
      </c>
      <c r="G1718" t="s">
        <v>757</v>
      </c>
      <c r="H1718" t="s">
        <v>42</v>
      </c>
      <c r="I1718" t="s">
        <v>67</v>
      </c>
      <c r="J1718" t="s">
        <v>2868</v>
      </c>
      <c r="M1718" t="s">
        <v>106</v>
      </c>
      <c r="P1718" t="s">
        <v>58</v>
      </c>
      <c r="Q1718" t="s">
        <v>47</v>
      </c>
      <c r="R1718" t="s">
        <v>48</v>
      </c>
      <c r="V1718" t="s">
        <v>49</v>
      </c>
      <c r="X1718" t="s">
        <v>49</v>
      </c>
      <c r="Y1718" t="s">
        <v>74</v>
      </c>
      <c r="Z1718" t="s">
        <v>2850</v>
      </c>
      <c r="AA1718" t="s">
        <v>2850</v>
      </c>
    </row>
    <row r="1719" spans="1:27" x14ac:dyDescent="0.35">
      <c r="A1719" t="str">
        <f t="shared" si="53"/>
        <v>409_F2</v>
      </c>
      <c r="B1719" t="str">
        <f t="shared" si="52"/>
        <v>409_</v>
      </c>
      <c r="C1719" t="s">
        <v>2873</v>
      </c>
      <c r="D1719" t="s">
        <v>4</v>
      </c>
      <c r="E1719" t="s">
        <v>77</v>
      </c>
      <c r="F1719" t="s">
        <v>78</v>
      </c>
      <c r="G1719" t="s">
        <v>757</v>
      </c>
      <c r="H1719" t="s">
        <v>42</v>
      </c>
      <c r="I1719" t="s">
        <v>67</v>
      </c>
      <c r="J1719" t="s">
        <v>2866</v>
      </c>
      <c r="M1719" t="s">
        <v>106</v>
      </c>
      <c r="P1719" t="s">
        <v>79</v>
      </c>
      <c r="Q1719" t="s">
        <v>47</v>
      </c>
      <c r="R1719" t="s">
        <v>48</v>
      </c>
      <c r="V1719" t="s">
        <v>49</v>
      </c>
      <c r="X1719" t="s">
        <v>49</v>
      </c>
      <c r="Y1719" t="s">
        <v>74</v>
      </c>
      <c r="Z1719" t="s">
        <v>3599</v>
      </c>
      <c r="AA1719" t="s">
        <v>3599</v>
      </c>
    </row>
    <row r="1720" spans="1:27" x14ac:dyDescent="0.35">
      <c r="A1720" t="str">
        <f t="shared" si="53"/>
        <v>409_C2</v>
      </c>
      <c r="B1720" t="str">
        <f t="shared" si="52"/>
        <v>409_</v>
      </c>
      <c r="C1720" t="s">
        <v>2874</v>
      </c>
      <c r="D1720" t="s">
        <v>1</v>
      </c>
      <c r="E1720" t="s">
        <v>65</v>
      </c>
      <c r="F1720" t="s">
        <v>66</v>
      </c>
      <c r="G1720" t="s">
        <v>757</v>
      </c>
      <c r="H1720" t="s">
        <v>42</v>
      </c>
      <c r="I1720" t="s">
        <v>67</v>
      </c>
      <c r="J1720" t="s">
        <v>2866</v>
      </c>
      <c r="M1720" t="s">
        <v>106</v>
      </c>
      <c r="P1720" t="s">
        <v>69</v>
      </c>
      <c r="Q1720" t="s">
        <v>47</v>
      </c>
      <c r="R1720" t="s">
        <v>48</v>
      </c>
      <c r="V1720" t="s">
        <v>49</v>
      </c>
      <c r="X1720" t="s">
        <v>49</v>
      </c>
      <c r="Y1720" t="s">
        <v>70</v>
      </c>
      <c r="Z1720" t="s">
        <v>3879</v>
      </c>
      <c r="AA1720" t="s">
        <v>3880</v>
      </c>
    </row>
    <row r="1721" spans="1:27" x14ac:dyDescent="0.35">
      <c r="A1721" t="str">
        <f t="shared" si="53"/>
        <v>1405C2</v>
      </c>
      <c r="B1721" t="str">
        <f t="shared" si="52"/>
        <v>1405</v>
      </c>
      <c r="C1721" t="s">
        <v>2875</v>
      </c>
      <c r="D1721" t="s">
        <v>1</v>
      </c>
      <c r="E1721" t="s">
        <v>65</v>
      </c>
      <c r="F1721" t="s">
        <v>66</v>
      </c>
      <c r="G1721" t="s">
        <v>757</v>
      </c>
      <c r="H1721" t="s">
        <v>42</v>
      </c>
      <c r="I1721" t="s">
        <v>67</v>
      </c>
      <c r="J1721" t="s">
        <v>2868</v>
      </c>
      <c r="M1721" t="s">
        <v>106</v>
      </c>
      <c r="P1721" t="s">
        <v>69</v>
      </c>
      <c r="Q1721" t="s">
        <v>47</v>
      </c>
      <c r="R1721" t="s">
        <v>48</v>
      </c>
      <c r="V1721" t="s">
        <v>49</v>
      </c>
      <c r="X1721" t="s">
        <v>49</v>
      </c>
      <c r="Y1721" t="s">
        <v>70</v>
      </c>
      <c r="Z1721" t="s">
        <v>2777</v>
      </c>
      <c r="AA1721" t="s">
        <v>2777</v>
      </c>
    </row>
    <row r="1722" spans="1:27" x14ac:dyDescent="0.35">
      <c r="A1722" t="str">
        <f t="shared" si="53"/>
        <v>1405D7</v>
      </c>
      <c r="B1722" t="str">
        <f t="shared" si="52"/>
        <v>1405</v>
      </c>
      <c r="C1722" t="s">
        <v>2876</v>
      </c>
      <c r="D1722" t="s">
        <v>6</v>
      </c>
      <c r="E1722" t="s">
        <v>94</v>
      </c>
      <c r="F1722" t="s">
        <v>111</v>
      </c>
      <c r="G1722" t="s">
        <v>757</v>
      </c>
      <c r="H1722" t="s">
        <v>42</v>
      </c>
      <c r="I1722" t="s">
        <v>43</v>
      </c>
      <c r="J1722" t="s">
        <v>2868</v>
      </c>
      <c r="M1722" t="s">
        <v>106</v>
      </c>
      <c r="P1722" t="s">
        <v>46</v>
      </c>
      <c r="Q1722" t="s">
        <v>47</v>
      </c>
      <c r="R1722" t="s">
        <v>48</v>
      </c>
      <c r="V1722" t="s">
        <v>49</v>
      </c>
      <c r="X1722" t="s">
        <v>49</v>
      </c>
      <c r="Y1722" t="s">
        <v>59</v>
      </c>
      <c r="Z1722" t="s">
        <v>2877</v>
      </c>
      <c r="AA1722" t="s">
        <v>2878</v>
      </c>
    </row>
    <row r="1723" spans="1:27" x14ac:dyDescent="0.35">
      <c r="A1723" t="str">
        <f t="shared" si="53"/>
        <v>409_D2</v>
      </c>
      <c r="B1723" t="str">
        <f t="shared" si="52"/>
        <v>409_</v>
      </c>
      <c r="C1723" t="s">
        <v>2879</v>
      </c>
      <c r="D1723" t="s">
        <v>2</v>
      </c>
      <c r="E1723" t="s">
        <v>62</v>
      </c>
      <c r="F1723" t="s">
        <v>63</v>
      </c>
      <c r="G1723" t="s">
        <v>757</v>
      </c>
      <c r="H1723" t="s">
        <v>42</v>
      </c>
      <c r="I1723" t="s">
        <v>67</v>
      </c>
      <c r="J1723" t="s">
        <v>2866</v>
      </c>
      <c r="K1723" t="s">
        <v>56</v>
      </c>
      <c r="M1723" t="s">
        <v>106</v>
      </c>
      <c r="P1723" t="s">
        <v>58</v>
      </c>
      <c r="Q1723" t="s">
        <v>47</v>
      </c>
      <c r="R1723" t="s">
        <v>48</v>
      </c>
      <c r="V1723" t="s">
        <v>49</v>
      </c>
      <c r="X1723" t="s">
        <v>49</v>
      </c>
      <c r="Y1723" t="s">
        <v>59</v>
      </c>
      <c r="Z1723" t="s">
        <v>2861</v>
      </c>
      <c r="AA1723" t="s">
        <v>2861</v>
      </c>
    </row>
    <row r="1724" spans="1:27" x14ac:dyDescent="0.35">
      <c r="A1724" t="str">
        <f t="shared" si="53"/>
        <v>409_D7</v>
      </c>
      <c r="B1724" t="str">
        <f t="shared" si="52"/>
        <v>409_</v>
      </c>
      <c r="C1724" t="s">
        <v>2880</v>
      </c>
      <c r="D1724" t="s">
        <v>6</v>
      </c>
      <c r="E1724" t="s">
        <v>94</v>
      </c>
      <c r="F1724" t="s">
        <v>111</v>
      </c>
      <c r="G1724" t="s">
        <v>757</v>
      </c>
      <c r="H1724" t="s">
        <v>42</v>
      </c>
      <c r="I1724" t="s">
        <v>67</v>
      </c>
      <c r="J1724" t="s">
        <v>2866</v>
      </c>
      <c r="M1724" t="s">
        <v>106</v>
      </c>
      <c r="P1724" t="s">
        <v>46</v>
      </c>
      <c r="Q1724" t="s">
        <v>47</v>
      </c>
      <c r="R1724" t="s">
        <v>48</v>
      </c>
      <c r="V1724" t="s">
        <v>49</v>
      </c>
      <c r="X1724" t="s">
        <v>49</v>
      </c>
      <c r="Y1724" t="s">
        <v>59</v>
      </c>
      <c r="Z1724" t="s">
        <v>2881</v>
      </c>
      <c r="AA1724" t="s">
        <v>2881</v>
      </c>
    </row>
    <row r="1725" spans="1:27" x14ac:dyDescent="0.35">
      <c r="A1725" t="str">
        <f t="shared" si="53"/>
        <v>409_D4</v>
      </c>
      <c r="B1725" t="str">
        <f t="shared" si="52"/>
        <v>409_</v>
      </c>
      <c r="C1725" t="s">
        <v>2882</v>
      </c>
      <c r="D1725" t="s">
        <v>3</v>
      </c>
      <c r="E1725" t="s">
        <v>52</v>
      </c>
      <c r="F1725" t="s">
        <v>53</v>
      </c>
      <c r="G1725" t="s">
        <v>757</v>
      </c>
      <c r="H1725" t="s">
        <v>42</v>
      </c>
      <c r="I1725" t="s">
        <v>67</v>
      </c>
      <c r="J1725" t="s">
        <v>2866</v>
      </c>
      <c r="K1725" t="s">
        <v>56</v>
      </c>
      <c r="M1725" t="s">
        <v>106</v>
      </c>
      <c r="P1725" t="s">
        <v>58</v>
      </c>
      <c r="Q1725" t="s">
        <v>47</v>
      </c>
      <c r="R1725" t="s">
        <v>48</v>
      </c>
      <c r="V1725" t="s">
        <v>49</v>
      </c>
      <c r="X1725" t="s">
        <v>49</v>
      </c>
      <c r="Y1725" t="s">
        <v>59</v>
      </c>
      <c r="Z1725" t="s">
        <v>3854</v>
      </c>
      <c r="AA1725" t="s">
        <v>3854</v>
      </c>
    </row>
    <row r="1726" spans="1:27" x14ac:dyDescent="0.35">
      <c r="A1726" t="str">
        <f t="shared" si="53"/>
        <v>408_F3</v>
      </c>
      <c r="B1726" t="str">
        <f t="shared" si="52"/>
        <v>408_</v>
      </c>
      <c r="C1726" t="s">
        <v>2883</v>
      </c>
      <c r="D1726" t="s">
        <v>5</v>
      </c>
      <c r="E1726" t="s">
        <v>40</v>
      </c>
      <c r="F1726" t="s">
        <v>73</v>
      </c>
      <c r="G1726" t="s">
        <v>757</v>
      </c>
      <c r="H1726" t="s">
        <v>42</v>
      </c>
      <c r="I1726" t="s">
        <v>67</v>
      </c>
      <c r="J1726" t="s">
        <v>2884</v>
      </c>
      <c r="M1726" t="s">
        <v>106</v>
      </c>
      <c r="P1726" t="s">
        <v>58</v>
      </c>
      <c r="Q1726" t="s">
        <v>47</v>
      </c>
      <c r="R1726" t="s">
        <v>48</v>
      </c>
      <c r="V1726" t="s">
        <v>49</v>
      </c>
      <c r="X1726" t="s">
        <v>49</v>
      </c>
      <c r="Y1726" t="s">
        <v>74</v>
      </c>
      <c r="Z1726" t="s">
        <v>3599</v>
      </c>
      <c r="AA1726" t="s">
        <v>3599</v>
      </c>
    </row>
    <row r="1727" spans="1:27" x14ac:dyDescent="0.35">
      <c r="A1727" t="str">
        <f t="shared" si="53"/>
        <v>408_F2</v>
      </c>
      <c r="B1727" t="str">
        <f t="shared" si="52"/>
        <v>408_</v>
      </c>
      <c r="C1727" t="s">
        <v>2885</v>
      </c>
      <c r="D1727" t="s">
        <v>4</v>
      </c>
      <c r="E1727" t="s">
        <v>77</v>
      </c>
      <c r="F1727" t="s">
        <v>78</v>
      </c>
      <c r="G1727" t="s">
        <v>757</v>
      </c>
      <c r="H1727" t="s">
        <v>42</v>
      </c>
      <c r="I1727" t="s">
        <v>67</v>
      </c>
      <c r="J1727" t="s">
        <v>2884</v>
      </c>
      <c r="M1727" t="s">
        <v>106</v>
      </c>
      <c r="P1727" t="s">
        <v>79</v>
      </c>
      <c r="Q1727" t="s">
        <v>47</v>
      </c>
      <c r="R1727" t="s">
        <v>48</v>
      </c>
      <c r="V1727" t="s">
        <v>49</v>
      </c>
      <c r="X1727" t="s">
        <v>49</v>
      </c>
      <c r="Y1727" t="s">
        <v>74</v>
      </c>
      <c r="Z1727" t="s">
        <v>3599</v>
      </c>
      <c r="AA1727" t="s">
        <v>3599</v>
      </c>
    </row>
    <row r="1728" spans="1:27" x14ac:dyDescent="0.35">
      <c r="A1728" t="str">
        <f t="shared" si="53"/>
        <v>408_C2</v>
      </c>
      <c r="B1728" t="str">
        <f t="shared" si="52"/>
        <v>408_</v>
      </c>
      <c r="C1728" t="s">
        <v>2886</v>
      </c>
      <c r="D1728" t="s">
        <v>1</v>
      </c>
      <c r="E1728" t="s">
        <v>65</v>
      </c>
      <c r="F1728" t="s">
        <v>66</v>
      </c>
      <c r="G1728" t="s">
        <v>757</v>
      </c>
      <c r="H1728" t="s">
        <v>42</v>
      </c>
      <c r="I1728" t="s">
        <v>67</v>
      </c>
      <c r="J1728" t="s">
        <v>2884</v>
      </c>
      <c r="M1728" t="s">
        <v>106</v>
      </c>
      <c r="P1728" t="s">
        <v>69</v>
      </c>
      <c r="Q1728" t="s">
        <v>47</v>
      </c>
      <c r="R1728" t="s">
        <v>48</v>
      </c>
      <c r="V1728" t="s">
        <v>49</v>
      </c>
      <c r="X1728" t="s">
        <v>49</v>
      </c>
      <c r="Y1728" t="s">
        <v>70</v>
      </c>
      <c r="Z1728" t="s">
        <v>3958</v>
      </c>
      <c r="AA1728" t="s">
        <v>3958</v>
      </c>
    </row>
    <row r="1729" spans="1:27" x14ac:dyDescent="0.35">
      <c r="A1729" t="str">
        <f t="shared" si="53"/>
        <v>408_D2</v>
      </c>
      <c r="B1729" t="str">
        <f t="shared" si="52"/>
        <v>408_</v>
      </c>
      <c r="C1729" t="s">
        <v>2887</v>
      </c>
      <c r="D1729" t="s">
        <v>2</v>
      </c>
      <c r="E1729" t="s">
        <v>62</v>
      </c>
      <c r="F1729" t="s">
        <v>63</v>
      </c>
      <c r="G1729" t="s">
        <v>757</v>
      </c>
      <c r="H1729" t="s">
        <v>42</v>
      </c>
      <c r="I1729" t="s">
        <v>67</v>
      </c>
      <c r="J1729" t="s">
        <v>2884</v>
      </c>
      <c r="K1729" t="s">
        <v>56</v>
      </c>
      <c r="M1729" t="s">
        <v>106</v>
      </c>
      <c r="P1729" t="s">
        <v>58</v>
      </c>
      <c r="Q1729" t="s">
        <v>47</v>
      </c>
      <c r="R1729" t="s">
        <v>48</v>
      </c>
      <c r="V1729" t="s">
        <v>49</v>
      </c>
      <c r="X1729" t="s">
        <v>49</v>
      </c>
      <c r="Y1729" t="s">
        <v>59</v>
      </c>
      <c r="Z1729" t="s">
        <v>2861</v>
      </c>
      <c r="AA1729" t="s">
        <v>2861</v>
      </c>
    </row>
    <row r="1730" spans="1:27" x14ac:dyDescent="0.35">
      <c r="A1730" t="str">
        <f t="shared" si="53"/>
        <v>408_D7</v>
      </c>
      <c r="B1730" t="str">
        <f t="shared" ref="B1730:B1793" si="54">LEFT($J:$J,4)</f>
        <v>408_</v>
      </c>
      <c r="C1730" t="s">
        <v>2888</v>
      </c>
      <c r="D1730" t="s">
        <v>6</v>
      </c>
      <c r="E1730" t="s">
        <v>94</v>
      </c>
      <c r="F1730" t="s">
        <v>111</v>
      </c>
      <c r="G1730" t="s">
        <v>757</v>
      </c>
      <c r="H1730" t="s">
        <v>42</v>
      </c>
      <c r="I1730" t="s">
        <v>67</v>
      </c>
      <c r="J1730" t="s">
        <v>2884</v>
      </c>
      <c r="M1730" t="s">
        <v>106</v>
      </c>
      <c r="P1730" t="s">
        <v>58</v>
      </c>
      <c r="Q1730" t="s">
        <v>47</v>
      </c>
      <c r="R1730" t="s">
        <v>48</v>
      </c>
      <c r="V1730" t="s">
        <v>49</v>
      </c>
      <c r="X1730" t="s">
        <v>49</v>
      </c>
      <c r="Y1730" t="s">
        <v>59</v>
      </c>
      <c r="Z1730" t="s">
        <v>41</v>
      </c>
      <c r="AA1730" t="s">
        <v>41</v>
      </c>
    </row>
    <row r="1731" spans="1:27" x14ac:dyDescent="0.35">
      <c r="A1731" t="str">
        <f t="shared" ref="A1731:A1794" si="55">B1731&amp;D1731</f>
        <v>408_D4</v>
      </c>
      <c r="B1731" t="str">
        <f t="shared" si="54"/>
        <v>408_</v>
      </c>
      <c r="C1731" t="s">
        <v>2889</v>
      </c>
      <c r="D1731" t="s">
        <v>3</v>
      </c>
      <c r="E1731" t="s">
        <v>52</v>
      </c>
      <c r="F1731" t="s">
        <v>53</v>
      </c>
      <c r="G1731" t="s">
        <v>757</v>
      </c>
      <c r="H1731" t="s">
        <v>42</v>
      </c>
      <c r="I1731" t="s">
        <v>67</v>
      </c>
      <c r="J1731" t="s">
        <v>2884</v>
      </c>
      <c r="K1731" t="s">
        <v>56</v>
      </c>
      <c r="M1731" t="s">
        <v>106</v>
      </c>
      <c r="P1731" t="s">
        <v>58</v>
      </c>
      <c r="Q1731" t="s">
        <v>47</v>
      </c>
      <c r="R1731" t="s">
        <v>48</v>
      </c>
      <c r="V1731" t="s">
        <v>49</v>
      </c>
      <c r="X1731" t="s">
        <v>49</v>
      </c>
      <c r="Y1731" t="s">
        <v>59</v>
      </c>
      <c r="Z1731" t="s">
        <v>3854</v>
      </c>
      <c r="AA1731" t="s">
        <v>3854</v>
      </c>
    </row>
    <row r="1732" spans="1:27" x14ac:dyDescent="0.35">
      <c r="A1732" t="str">
        <f t="shared" si="55"/>
        <v>1404F2</v>
      </c>
      <c r="B1732" t="str">
        <f t="shared" si="54"/>
        <v>1404</v>
      </c>
      <c r="C1732" t="s">
        <v>2890</v>
      </c>
      <c r="D1732" t="s">
        <v>4</v>
      </c>
      <c r="E1732" t="s">
        <v>77</v>
      </c>
      <c r="F1732" t="s">
        <v>78</v>
      </c>
      <c r="G1732" t="s">
        <v>757</v>
      </c>
      <c r="H1732" t="s">
        <v>42</v>
      </c>
      <c r="I1732" t="s">
        <v>67</v>
      </c>
      <c r="J1732" t="s">
        <v>2891</v>
      </c>
      <c r="M1732" t="s">
        <v>106</v>
      </c>
      <c r="P1732" t="s">
        <v>138</v>
      </c>
      <c r="Q1732" t="s">
        <v>47</v>
      </c>
      <c r="R1732" t="s">
        <v>48</v>
      </c>
      <c r="V1732" t="s">
        <v>49</v>
      </c>
      <c r="X1732" t="s">
        <v>49</v>
      </c>
      <c r="Y1732" t="s">
        <v>74</v>
      </c>
      <c r="Z1732" t="s">
        <v>2817</v>
      </c>
      <c r="AA1732" t="s">
        <v>2817</v>
      </c>
    </row>
    <row r="1733" spans="1:27" x14ac:dyDescent="0.35">
      <c r="A1733" t="str">
        <f t="shared" si="55"/>
        <v>1404D4</v>
      </c>
      <c r="B1733" t="str">
        <f t="shared" si="54"/>
        <v>1404</v>
      </c>
      <c r="C1733" t="s">
        <v>2892</v>
      </c>
      <c r="D1733" t="s">
        <v>3</v>
      </c>
      <c r="E1733" t="s">
        <v>52</v>
      </c>
      <c r="F1733" t="s">
        <v>53</v>
      </c>
      <c r="G1733" t="s">
        <v>757</v>
      </c>
      <c r="H1733" t="s">
        <v>42</v>
      </c>
      <c r="I1733" t="s">
        <v>43</v>
      </c>
      <c r="J1733" t="s">
        <v>2891</v>
      </c>
      <c r="K1733" t="s">
        <v>56</v>
      </c>
      <c r="M1733" t="s">
        <v>106</v>
      </c>
      <c r="P1733" t="s">
        <v>58</v>
      </c>
      <c r="Q1733" t="s">
        <v>47</v>
      </c>
      <c r="R1733" t="s">
        <v>48</v>
      </c>
      <c r="V1733" t="s">
        <v>49</v>
      </c>
      <c r="X1733" t="s">
        <v>49</v>
      </c>
      <c r="Y1733" t="s">
        <v>59</v>
      </c>
      <c r="Z1733" t="s">
        <v>2893</v>
      </c>
      <c r="AA1733" t="s">
        <v>2893</v>
      </c>
    </row>
    <row r="1734" spans="1:27" x14ac:dyDescent="0.35">
      <c r="A1734" t="str">
        <f t="shared" si="55"/>
        <v>407_F3</v>
      </c>
      <c r="B1734" t="str">
        <f t="shared" si="54"/>
        <v>407_</v>
      </c>
      <c r="C1734" t="s">
        <v>2894</v>
      </c>
      <c r="D1734" t="s">
        <v>5</v>
      </c>
      <c r="E1734" t="s">
        <v>40</v>
      </c>
      <c r="F1734" t="s">
        <v>73</v>
      </c>
      <c r="G1734" t="s">
        <v>757</v>
      </c>
      <c r="H1734" t="s">
        <v>42</v>
      </c>
      <c r="I1734" t="s">
        <v>67</v>
      </c>
      <c r="J1734" t="s">
        <v>2895</v>
      </c>
      <c r="M1734" t="s">
        <v>106</v>
      </c>
      <c r="P1734" t="s">
        <v>189</v>
      </c>
      <c r="Q1734" t="s">
        <v>47</v>
      </c>
      <c r="R1734" t="s">
        <v>48</v>
      </c>
      <c r="V1734" t="s">
        <v>49</v>
      </c>
      <c r="X1734" t="s">
        <v>49</v>
      </c>
      <c r="Y1734" t="s">
        <v>74</v>
      </c>
      <c r="Z1734" t="s">
        <v>2896</v>
      </c>
      <c r="AA1734" t="s">
        <v>2897</v>
      </c>
    </row>
    <row r="1735" spans="1:27" x14ac:dyDescent="0.35">
      <c r="A1735" t="str">
        <f t="shared" si="55"/>
        <v>1404D2</v>
      </c>
      <c r="B1735" t="str">
        <f t="shared" si="54"/>
        <v>1404</v>
      </c>
      <c r="C1735" t="s">
        <v>2898</v>
      </c>
      <c r="D1735" t="s">
        <v>2</v>
      </c>
      <c r="E1735" t="s">
        <v>62</v>
      </c>
      <c r="F1735" t="s">
        <v>63</v>
      </c>
      <c r="G1735" t="s">
        <v>757</v>
      </c>
      <c r="H1735" t="s">
        <v>42</v>
      </c>
      <c r="I1735" t="s">
        <v>43</v>
      </c>
      <c r="J1735" t="s">
        <v>2891</v>
      </c>
      <c r="K1735" t="s">
        <v>56</v>
      </c>
      <c r="M1735" t="s">
        <v>106</v>
      </c>
      <c r="P1735" t="s">
        <v>69</v>
      </c>
      <c r="Q1735" t="s">
        <v>47</v>
      </c>
      <c r="R1735" t="s">
        <v>48</v>
      </c>
      <c r="V1735" t="s">
        <v>49</v>
      </c>
      <c r="X1735" t="s">
        <v>49</v>
      </c>
      <c r="Y1735" t="s">
        <v>59</v>
      </c>
      <c r="Z1735" t="s">
        <v>2899</v>
      </c>
      <c r="AA1735" t="s">
        <v>2899</v>
      </c>
    </row>
    <row r="1736" spans="1:27" x14ac:dyDescent="0.35">
      <c r="A1736" t="str">
        <f t="shared" si="55"/>
        <v>1404F3</v>
      </c>
      <c r="B1736" t="str">
        <f t="shared" si="54"/>
        <v>1404</v>
      </c>
      <c r="C1736" t="s">
        <v>2900</v>
      </c>
      <c r="D1736" t="s">
        <v>5</v>
      </c>
      <c r="E1736" t="s">
        <v>40</v>
      </c>
      <c r="F1736" t="s">
        <v>73</v>
      </c>
      <c r="G1736" t="s">
        <v>757</v>
      </c>
      <c r="H1736" t="s">
        <v>42</v>
      </c>
      <c r="I1736" t="s">
        <v>67</v>
      </c>
      <c r="J1736" t="s">
        <v>2891</v>
      </c>
      <c r="M1736" t="s">
        <v>106</v>
      </c>
      <c r="P1736" t="s">
        <v>69</v>
      </c>
      <c r="Q1736" t="s">
        <v>47</v>
      </c>
      <c r="R1736" t="s">
        <v>48</v>
      </c>
      <c r="V1736" t="s">
        <v>49</v>
      </c>
      <c r="X1736" t="s">
        <v>49</v>
      </c>
      <c r="Y1736" t="s">
        <v>74</v>
      </c>
      <c r="Z1736" t="s">
        <v>2901</v>
      </c>
      <c r="AA1736" t="s">
        <v>2901</v>
      </c>
    </row>
    <row r="1737" spans="1:27" x14ac:dyDescent="0.35">
      <c r="A1737" t="str">
        <f t="shared" si="55"/>
        <v>1404C2</v>
      </c>
      <c r="B1737" t="str">
        <f t="shared" si="54"/>
        <v>1404</v>
      </c>
      <c r="C1737" t="s">
        <v>2902</v>
      </c>
      <c r="D1737" t="s">
        <v>1</v>
      </c>
      <c r="E1737" t="s">
        <v>65</v>
      </c>
      <c r="F1737" t="s">
        <v>66</v>
      </c>
      <c r="G1737" t="s">
        <v>757</v>
      </c>
      <c r="H1737" t="s">
        <v>42</v>
      </c>
      <c r="I1737" t="s">
        <v>67</v>
      </c>
      <c r="J1737" t="s">
        <v>2891</v>
      </c>
      <c r="M1737" t="s">
        <v>106</v>
      </c>
      <c r="P1737" t="s">
        <v>69</v>
      </c>
      <c r="Q1737" t="s">
        <v>47</v>
      </c>
      <c r="R1737" t="s">
        <v>48</v>
      </c>
      <c r="V1737" t="s">
        <v>49</v>
      </c>
      <c r="X1737" t="s">
        <v>49</v>
      </c>
      <c r="Y1737" t="s">
        <v>70</v>
      </c>
      <c r="Z1737" t="s">
        <v>2903</v>
      </c>
      <c r="AA1737" t="s">
        <v>2903</v>
      </c>
    </row>
    <row r="1738" spans="1:27" x14ac:dyDescent="0.35">
      <c r="A1738" t="str">
        <f t="shared" si="55"/>
        <v>1404D7</v>
      </c>
      <c r="B1738" t="str">
        <f t="shared" si="54"/>
        <v>1404</v>
      </c>
      <c r="C1738" t="s">
        <v>2904</v>
      </c>
      <c r="D1738" t="s">
        <v>6</v>
      </c>
      <c r="E1738" t="s">
        <v>94</v>
      </c>
      <c r="F1738" t="s">
        <v>111</v>
      </c>
      <c r="G1738" t="s">
        <v>757</v>
      </c>
      <c r="H1738" t="s">
        <v>42</v>
      </c>
      <c r="I1738" t="s">
        <v>43</v>
      </c>
      <c r="J1738" t="s">
        <v>2891</v>
      </c>
      <c r="M1738" t="s">
        <v>106</v>
      </c>
      <c r="P1738" t="s">
        <v>46</v>
      </c>
      <c r="Q1738" t="s">
        <v>47</v>
      </c>
      <c r="R1738" t="s">
        <v>48</v>
      </c>
      <c r="V1738" t="s">
        <v>49</v>
      </c>
      <c r="X1738" t="s">
        <v>49</v>
      </c>
      <c r="Y1738" t="s">
        <v>59</v>
      </c>
      <c r="Z1738" t="s">
        <v>2878</v>
      </c>
      <c r="AA1738" t="s">
        <v>2878</v>
      </c>
    </row>
    <row r="1739" spans="1:27" x14ac:dyDescent="0.35">
      <c r="A1739" t="str">
        <f t="shared" si="55"/>
        <v>407_F2</v>
      </c>
      <c r="B1739" t="str">
        <f t="shared" si="54"/>
        <v>407_</v>
      </c>
      <c r="C1739" t="s">
        <v>2905</v>
      </c>
      <c r="D1739" t="s">
        <v>4</v>
      </c>
      <c r="E1739" t="s">
        <v>77</v>
      </c>
      <c r="F1739" t="s">
        <v>78</v>
      </c>
      <c r="G1739" t="s">
        <v>757</v>
      </c>
      <c r="H1739" t="s">
        <v>42</v>
      </c>
      <c r="I1739" t="s">
        <v>67</v>
      </c>
      <c r="J1739" t="s">
        <v>2895</v>
      </c>
      <c r="M1739" t="s">
        <v>106</v>
      </c>
      <c r="P1739" t="s">
        <v>46</v>
      </c>
      <c r="Q1739" t="s">
        <v>47</v>
      </c>
      <c r="R1739" t="s">
        <v>48</v>
      </c>
      <c r="V1739" t="s">
        <v>49</v>
      </c>
      <c r="X1739" t="s">
        <v>49</v>
      </c>
      <c r="Y1739" t="s">
        <v>74</v>
      </c>
      <c r="Z1739" t="s">
        <v>2897</v>
      </c>
      <c r="AA1739" t="s">
        <v>2897</v>
      </c>
    </row>
    <row r="1740" spans="1:27" x14ac:dyDescent="0.35">
      <c r="A1740" t="str">
        <f t="shared" si="55"/>
        <v>407_C2</v>
      </c>
      <c r="B1740" t="str">
        <f t="shared" si="54"/>
        <v>407_</v>
      </c>
      <c r="C1740" t="s">
        <v>2906</v>
      </c>
      <c r="D1740" t="s">
        <v>1</v>
      </c>
      <c r="E1740" t="s">
        <v>65</v>
      </c>
      <c r="F1740" t="s">
        <v>66</v>
      </c>
      <c r="G1740" t="s">
        <v>757</v>
      </c>
      <c r="H1740" t="s">
        <v>42</v>
      </c>
      <c r="I1740" t="s">
        <v>67</v>
      </c>
      <c r="J1740" t="s">
        <v>2895</v>
      </c>
      <c r="M1740" t="s">
        <v>106</v>
      </c>
      <c r="P1740" t="s">
        <v>69</v>
      </c>
      <c r="Q1740" t="s">
        <v>47</v>
      </c>
      <c r="R1740" t="s">
        <v>48</v>
      </c>
      <c r="V1740" t="s">
        <v>49</v>
      </c>
      <c r="X1740" t="s">
        <v>49</v>
      </c>
      <c r="Y1740" t="s">
        <v>70</v>
      </c>
      <c r="Z1740" t="s">
        <v>2907</v>
      </c>
      <c r="AA1740" t="s">
        <v>2907</v>
      </c>
    </row>
    <row r="1741" spans="1:27" x14ac:dyDescent="0.35">
      <c r="A1741" t="str">
        <f t="shared" si="55"/>
        <v>407_D2</v>
      </c>
      <c r="B1741" t="str">
        <f t="shared" si="54"/>
        <v>407_</v>
      </c>
      <c r="C1741" t="s">
        <v>2908</v>
      </c>
      <c r="D1741" t="s">
        <v>2</v>
      </c>
      <c r="E1741" t="s">
        <v>62</v>
      </c>
      <c r="F1741" t="s">
        <v>63</v>
      </c>
      <c r="G1741" t="s">
        <v>757</v>
      </c>
      <c r="H1741" t="s">
        <v>42</v>
      </c>
      <c r="I1741" t="s">
        <v>67</v>
      </c>
      <c r="J1741" t="s">
        <v>2895</v>
      </c>
      <c r="K1741" t="s">
        <v>56</v>
      </c>
      <c r="M1741" t="s">
        <v>106</v>
      </c>
      <c r="P1741" t="s">
        <v>58</v>
      </c>
      <c r="Q1741" t="s">
        <v>47</v>
      </c>
      <c r="R1741" t="s">
        <v>48</v>
      </c>
      <c r="V1741" t="s">
        <v>49</v>
      </c>
      <c r="X1741" t="s">
        <v>49</v>
      </c>
      <c r="Y1741" t="s">
        <v>59</v>
      </c>
      <c r="Z1741" t="s">
        <v>2861</v>
      </c>
      <c r="AA1741" t="s">
        <v>2861</v>
      </c>
    </row>
    <row r="1742" spans="1:27" x14ac:dyDescent="0.35">
      <c r="A1742" t="str">
        <f t="shared" si="55"/>
        <v>407_D7</v>
      </c>
      <c r="B1742" t="str">
        <f t="shared" si="54"/>
        <v>407_</v>
      </c>
      <c r="C1742" t="s">
        <v>2909</v>
      </c>
      <c r="D1742" t="s">
        <v>6</v>
      </c>
      <c r="E1742" t="s">
        <v>94</v>
      </c>
      <c r="F1742" t="s">
        <v>111</v>
      </c>
      <c r="G1742" t="s">
        <v>757</v>
      </c>
      <c r="H1742" t="s">
        <v>42</v>
      </c>
      <c r="I1742" t="s">
        <v>67</v>
      </c>
      <c r="J1742" t="s">
        <v>2895</v>
      </c>
      <c r="M1742" t="s">
        <v>106</v>
      </c>
      <c r="P1742" t="s">
        <v>58</v>
      </c>
      <c r="Q1742" t="s">
        <v>47</v>
      </c>
      <c r="R1742" t="s">
        <v>48</v>
      </c>
      <c r="V1742" t="s">
        <v>49</v>
      </c>
      <c r="X1742" t="s">
        <v>49</v>
      </c>
      <c r="Y1742" t="s">
        <v>59</v>
      </c>
      <c r="Z1742" t="s">
        <v>2896</v>
      </c>
      <c r="AA1742" t="s">
        <v>2556</v>
      </c>
    </row>
    <row r="1743" spans="1:27" x14ac:dyDescent="0.35">
      <c r="A1743" t="str">
        <f t="shared" si="55"/>
        <v>407_D4</v>
      </c>
      <c r="B1743" t="str">
        <f t="shared" si="54"/>
        <v>407_</v>
      </c>
      <c r="C1743" t="s">
        <v>2910</v>
      </c>
      <c r="D1743" t="s">
        <v>3</v>
      </c>
      <c r="E1743" t="s">
        <v>52</v>
      </c>
      <c r="F1743" t="s">
        <v>53</v>
      </c>
      <c r="G1743" t="s">
        <v>757</v>
      </c>
      <c r="H1743" t="s">
        <v>42</v>
      </c>
      <c r="I1743" t="s">
        <v>67</v>
      </c>
      <c r="J1743" t="s">
        <v>2895</v>
      </c>
      <c r="K1743" t="s">
        <v>56</v>
      </c>
      <c r="M1743" t="s">
        <v>106</v>
      </c>
      <c r="P1743" t="s">
        <v>58</v>
      </c>
      <c r="Q1743" t="s">
        <v>47</v>
      </c>
      <c r="R1743" t="s">
        <v>48</v>
      </c>
      <c r="V1743" t="s">
        <v>49</v>
      </c>
      <c r="X1743" t="s">
        <v>49</v>
      </c>
      <c r="Y1743" t="s">
        <v>59</v>
      </c>
      <c r="Z1743" t="s">
        <v>2907</v>
      </c>
      <c r="AA1743" t="s">
        <v>2907</v>
      </c>
    </row>
    <row r="1744" spans="1:27" x14ac:dyDescent="0.35">
      <c r="A1744" t="str">
        <f t="shared" si="55"/>
        <v>406_F3</v>
      </c>
      <c r="B1744" t="str">
        <f t="shared" si="54"/>
        <v>406_</v>
      </c>
      <c r="C1744" t="s">
        <v>2911</v>
      </c>
      <c r="D1744" t="s">
        <v>5</v>
      </c>
      <c r="E1744" t="s">
        <v>40</v>
      </c>
      <c r="F1744" t="s">
        <v>73</v>
      </c>
      <c r="G1744" t="s">
        <v>757</v>
      </c>
      <c r="H1744" t="s">
        <v>42</v>
      </c>
      <c r="I1744" t="s">
        <v>67</v>
      </c>
      <c r="J1744" t="s">
        <v>2912</v>
      </c>
      <c r="M1744" t="s">
        <v>106</v>
      </c>
      <c r="P1744" t="s">
        <v>46</v>
      </c>
      <c r="Q1744" t="s">
        <v>47</v>
      </c>
      <c r="R1744" t="s">
        <v>48</v>
      </c>
      <c r="V1744" t="s">
        <v>49</v>
      </c>
      <c r="X1744" t="s">
        <v>49</v>
      </c>
      <c r="Y1744" t="s">
        <v>74</v>
      </c>
      <c r="Z1744" t="s">
        <v>2530</v>
      </c>
      <c r="AA1744" t="s">
        <v>2530</v>
      </c>
    </row>
    <row r="1745" spans="1:27" x14ac:dyDescent="0.35">
      <c r="A1745" t="str">
        <f t="shared" si="55"/>
        <v>406_F2</v>
      </c>
      <c r="B1745" t="str">
        <f t="shared" si="54"/>
        <v>406_</v>
      </c>
      <c r="C1745" t="s">
        <v>2913</v>
      </c>
      <c r="D1745" t="s">
        <v>4</v>
      </c>
      <c r="E1745" t="s">
        <v>77</v>
      </c>
      <c r="F1745" t="s">
        <v>78</v>
      </c>
      <c r="G1745" t="s">
        <v>757</v>
      </c>
      <c r="H1745" t="s">
        <v>42</v>
      </c>
      <c r="I1745" t="s">
        <v>67</v>
      </c>
      <c r="J1745" t="s">
        <v>2912</v>
      </c>
      <c r="M1745" t="s">
        <v>106</v>
      </c>
      <c r="P1745" t="s">
        <v>1315</v>
      </c>
      <c r="Q1745" t="s">
        <v>47</v>
      </c>
      <c r="R1745" t="s">
        <v>48</v>
      </c>
      <c r="V1745" t="s">
        <v>49</v>
      </c>
      <c r="X1745" t="s">
        <v>49</v>
      </c>
      <c r="Y1745" t="s">
        <v>74</v>
      </c>
      <c r="Z1745" t="s">
        <v>2530</v>
      </c>
      <c r="AA1745" t="s">
        <v>2530</v>
      </c>
    </row>
    <row r="1746" spans="1:27" x14ac:dyDescent="0.35">
      <c r="A1746" t="str">
        <f t="shared" si="55"/>
        <v>1403F2</v>
      </c>
      <c r="B1746" t="str">
        <f t="shared" si="54"/>
        <v>1403</v>
      </c>
      <c r="C1746" t="s">
        <v>2914</v>
      </c>
      <c r="D1746" t="s">
        <v>4</v>
      </c>
      <c r="E1746" t="s">
        <v>77</v>
      </c>
      <c r="F1746" t="s">
        <v>78</v>
      </c>
      <c r="G1746" t="s">
        <v>757</v>
      </c>
      <c r="H1746" t="s">
        <v>42</v>
      </c>
      <c r="I1746" t="s">
        <v>67</v>
      </c>
      <c r="J1746" t="s">
        <v>2915</v>
      </c>
      <c r="M1746" t="s">
        <v>106</v>
      </c>
      <c r="P1746" t="s">
        <v>91</v>
      </c>
      <c r="Q1746" t="s">
        <v>47</v>
      </c>
      <c r="R1746" t="s">
        <v>48</v>
      </c>
      <c r="V1746" t="s">
        <v>49</v>
      </c>
      <c r="X1746" t="s">
        <v>49</v>
      </c>
      <c r="Y1746" t="s">
        <v>74</v>
      </c>
      <c r="Z1746" t="s">
        <v>2916</v>
      </c>
      <c r="AA1746" t="s">
        <v>2916</v>
      </c>
    </row>
    <row r="1747" spans="1:27" x14ac:dyDescent="0.35">
      <c r="A1747" t="str">
        <f t="shared" si="55"/>
        <v>406_C2</v>
      </c>
      <c r="B1747" t="str">
        <f t="shared" si="54"/>
        <v>406_</v>
      </c>
      <c r="C1747" t="s">
        <v>2917</v>
      </c>
      <c r="D1747" t="s">
        <v>1</v>
      </c>
      <c r="E1747" t="s">
        <v>65</v>
      </c>
      <c r="F1747" t="s">
        <v>66</v>
      </c>
      <c r="G1747" t="s">
        <v>757</v>
      </c>
      <c r="H1747" t="s">
        <v>42</v>
      </c>
      <c r="I1747" t="s">
        <v>67</v>
      </c>
      <c r="J1747" t="s">
        <v>2912</v>
      </c>
      <c r="M1747" t="s">
        <v>106</v>
      </c>
      <c r="P1747" t="s">
        <v>69</v>
      </c>
      <c r="Q1747" t="s">
        <v>47</v>
      </c>
      <c r="R1747" t="s">
        <v>48</v>
      </c>
      <c r="V1747" t="s">
        <v>49</v>
      </c>
      <c r="X1747" t="s">
        <v>49</v>
      </c>
      <c r="Y1747" t="s">
        <v>70</v>
      </c>
      <c r="Z1747" t="s">
        <v>2918</v>
      </c>
      <c r="AA1747" t="s">
        <v>2918</v>
      </c>
    </row>
    <row r="1748" spans="1:27" x14ac:dyDescent="0.35">
      <c r="A1748" t="str">
        <f t="shared" si="55"/>
        <v>1403D4</v>
      </c>
      <c r="B1748" t="str">
        <f t="shared" si="54"/>
        <v>1403</v>
      </c>
      <c r="C1748" t="s">
        <v>2919</v>
      </c>
      <c r="D1748" t="s">
        <v>3</v>
      </c>
      <c r="E1748" t="s">
        <v>52</v>
      </c>
      <c r="F1748" t="s">
        <v>53</v>
      </c>
      <c r="G1748" t="s">
        <v>757</v>
      </c>
      <c r="H1748" t="s">
        <v>42</v>
      </c>
      <c r="I1748" t="s">
        <v>43</v>
      </c>
      <c r="J1748" t="s">
        <v>2915</v>
      </c>
      <c r="K1748" t="s">
        <v>56</v>
      </c>
      <c r="M1748" t="s">
        <v>106</v>
      </c>
      <c r="P1748" t="s">
        <v>58</v>
      </c>
      <c r="Q1748" t="s">
        <v>47</v>
      </c>
      <c r="R1748" t="s">
        <v>48</v>
      </c>
      <c r="V1748" t="s">
        <v>49</v>
      </c>
      <c r="X1748" t="s">
        <v>49</v>
      </c>
      <c r="Y1748" t="s">
        <v>59</v>
      </c>
      <c r="Z1748" t="s">
        <v>2920</v>
      </c>
      <c r="AA1748" t="s">
        <v>2920</v>
      </c>
    </row>
    <row r="1749" spans="1:27" x14ac:dyDescent="0.35">
      <c r="A1749" t="str">
        <f t="shared" si="55"/>
        <v>1403D2</v>
      </c>
      <c r="B1749" t="str">
        <f t="shared" si="54"/>
        <v>1403</v>
      </c>
      <c r="C1749" t="s">
        <v>2921</v>
      </c>
      <c r="D1749" t="s">
        <v>2</v>
      </c>
      <c r="E1749" t="s">
        <v>62</v>
      </c>
      <c r="F1749" t="s">
        <v>63</v>
      </c>
      <c r="G1749" t="s">
        <v>757</v>
      </c>
      <c r="H1749" t="s">
        <v>42</v>
      </c>
      <c r="I1749" t="s">
        <v>43</v>
      </c>
      <c r="J1749" t="s">
        <v>2915</v>
      </c>
      <c r="K1749" t="s">
        <v>56</v>
      </c>
      <c r="M1749" t="s">
        <v>106</v>
      </c>
      <c r="P1749" t="s">
        <v>69</v>
      </c>
      <c r="Q1749" t="s">
        <v>47</v>
      </c>
      <c r="R1749" t="s">
        <v>48</v>
      </c>
      <c r="V1749" t="s">
        <v>49</v>
      </c>
      <c r="X1749" t="s">
        <v>49</v>
      </c>
      <c r="Y1749" t="s">
        <v>59</v>
      </c>
      <c r="Z1749" t="s">
        <v>2899</v>
      </c>
      <c r="AA1749" t="s">
        <v>2899</v>
      </c>
    </row>
    <row r="1750" spans="1:27" x14ac:dyDescent="0.35">
      <c r="A1750" t="str">
        <f t="shared" si="55"/>
        <v>406_D2</v>
      </c>
      <c r="B1750" t="str">
        <f t="shared" si="54"/>
        <v>406_</v>
      </c>
      <c r="C1750" t="s">
        <v>2922</v>
      </c>
      <c r="D1750" t="s">
        <v>2</v>
      </c>
      <c r="E1750" t="s">
        <v>62</v>
      </c>
      <c r="F1750" t="s">
        <v>63</v>
      </c>
      <c r="G1750" t="s">
        <v>757</v>
      </c>
      <c r="H1750" t="s">
        <v>42</v>
      </c>
      <c r="I1750" t="s">
        <v>67</v>
      </c>
      <c r="J1750" t="s">
        <v>2912</v>
      </c>
      <c r="K1750" t="s">
        <v>56</v>
      </c>
      <c r="M1750" t="s">
        <v>106</v>
      </c>
      <c r="P1750" t="s">
        <v>58</v>
      </c>
      <c r="Q1750" t="s">
        <v>47</v>
      </c>
      <c r="R1750" t="s">
        <v>48</v>
      </c>
      <c r="V1750" t="s">
        <v>49</v>
      </c>
      <c r="X1750" t="s">
        <v>49</v>
      </c>
      <c r="Y1750" t="s">
        <v>59</v>
      </c>
      <c r="Z1750" t="s">
        <v>2918</v>
      </c>
      <c r="AA1750" t="s">
        <v>2918</v>
      </c>
    </row>
    <row r="1751" spans="1:27" x14ac:dyDescent="0.35">
      <c r="A1751" t="str">
        <f t="shared" si="55"/>
        <v>406_D7</v>
      </c>
      <c r="B1751" t="str">
        <f t="shared" si="54"/>
        <v>406_</v>
      </c>
      <c r="C1751" t="s">
        <v>2923</v>
      </c>
      <c r="D1751" t="s">
        <v>6</v>
      </c>
      <c r="E1751" t="s">
        <v>94</v>
      </c>
      <c r="F1751" t="s">
        <v>111</v>
      </c>
      <c r="G1751" t="s">
        <v>757</v>
      </c>
      <c r="H1751" t="s">
        <v>42</v>
      </c>
      <c r="I1751" t="s">
        <v>67</v>
      </c>
      <c r="J1751" t="s">
        <v>2912</v>
      </c>
      <c r="M1751" t="s">
        <v>106</v>
      </c>
      <c r="P1751" t="s">
        <v>58</v>
      </c>
      <c r="Q1751" t="s">
        <v>47</v>
      </c>
      <c r="R1751" t="s">
        <v>48</v>
      </c>
      <c r="V1751" t="s">
        <v>49</v>
      </c>
      <c r="X1751" t="s">
        <v>49</v>
      </c>
      <c r="Y1751" t="s">
        <v>59</v>
      </c>
      <c r="Z1751" t="s">
        <v>2267</v>
      </c>
      <c r="AA1751" t="s">
        <v>2267</v>
      </c>
    </row>
    <row r="1752" spans="1:27" x14ac:dyDescent="0.35">
      <c r="A1752" t="str">
        <f t="shared" si="55"/>
        <v>1403F3</v>
      </c>
      <c r="B1752" t="str">
        <f t="shared" si="54"/>
        <v>1403</v>
      </c>
      <c r="C1752" t="s">
        <v>2924</v>
      </c>
      <c r="D1752" t="s">
        <v>5</v>
      </c>
      <c r="E1752" t="s">
        <v>40</v>
      </c>
      <c r="F1752" t="s">
        <v>73</v>
      </c>
      <c r="G1752" t="s">
        <v>757</v>
      </c>
      <c r="H1752" t="s">
        <v>42</v>
      </c>
      <c r="I1752" t="s">
        <v>67</v>
      </c>
      <c r="J1752" t="s">
        <v>2915</v>
      </c>
      <c r="M1752" t="s">
        <v>106</v>
      </c>
      <c r="P1752" t="s">
        <v>58</v>
      </c>
      <c r="Q1752" t="s">
        <v>47</v>
      </c>
      <c r="R1752" t="s">
        <v>48</v>
      </c>
      <c r="V1752" t="s">
        <v>49</v>
      </c>
      <c r="X1752" t="s">
        <v>49</v>
      </c>
      <c r="Y1752" t="s">
        <v>74</v>
      </c>
      <c r="Z1752" t="s">
        <v>2925</v>
      </c>
      <c r="AA1752" t="s">
        <v>2925</v>
      </c>
    </row>
    <row r="1753" spans="1:27" x14ac:dyDescent="0.35">
      <c r="A1753" t="str">
        <f t="shared" si="55"/>
        <v>406_D4</v>
      </c>
      <c r="B1753" t="str">
        <f t="shared" si="54"/>
        <v>406_</v>
      </c>
      <c r="C1753" t="s">
        <v>2926</v>
      </c>
      <c r="D1753" t="s">
        <v>3</v>
      </c>
      <c r="E1753" t="s">
        <v>52</v>
      </c>
      <c r="F1753" t="s">
        <v>53</v>
      </c>
      <c r="G1753" t="s">
        <v>757</v>
      </c>
      <c r="H1753" t="s">
        <v>42</v>
      </c>
      <c r="I1753" t="s">
        <v>67</v>
      </c>
      <c r="J1753" t="s">
        <v>2912</v>
      </c>
      <c r="K1753" t="s">
        <v>56</v>
      </c>
      <c r="M1753" t="s">
        <v>106</v>
      </c>
      <c r="P1753" t="s">
        <v>58</v>
      </c>
      <c r="Q1753" t="s">
        <v>47</v>
      </c>
      <c r="R1753" t="s">
        <v>48</v>
      </c>
      <c r="V1753" t="s">
        <v>49</v>
      </c>
      <c r="X1753" t="s">
        <v>49</v>
      </c>
      <c r="Y1753" t="s">
        <v>59</v>
      </c>
      <c r="Z1753" t="s">
        <v>3854</v>
      </c>
      <c r="AA1753" t="s">
        <v>3854</v>
      </c>
    </row>
    <row r="1754" spans="1:27" x14ac:dyDescent="0.35">
      <c r="A1754" t="str">
        <f t="shared" si="55"/>
        <v>1403C2</v>
      </c>
      <c r="B1754" t="str">
        <f t="shared" si="54"/>
        <v>1403</v>
      </c>
      <c r="C1754" t="s">
        <v>2927</v>
      </c>
      <c r="D1754" t="s">
        <v>1</v>
      </c>
      <c r="E1754" t="s">
        <v>65</v>
      </c>
      <c r="F1754" t="s">
        <v>66</v>
      </c>
      <c r="G1754" t="s">
        <v>757</v>
      </c>
      <c r="H1754" t="s">
        <v>42</v>
      </c>
      <c r="I1754" t="s">
        <v>67</v>
      </c>
      <c r="J1754" t="s">
        <v>2915</v>
      </c>
      <c r="M1754" t="s">
        <v>106</v>
      </c>
      <c r="P1754" t="s">
        <v>69</v>
      </c>
      <c r="Q1754" t="s">
        <v>47</v>
      </c>
      <c r="R1754" t="s">
        <v>48</v>
      </c>
      <c r="V1754" t="s">
        <v>49</v>
      </c>
      <c r="X1754" t="s">
        <v>49</v>
      </c>
      <c r="Y1754" t="s">
        <v>70</v>
      </c>
      <c r="Z1754" t="s">
        <v>2928</v>
      </c>
      <c r="AA1754" t="s">
        <v>2928</v>
      </c>
    </row>
    <row r="1755" spans="1:27" x14ac:dyDescent="0.35">
      <c r="A1755" t="str">
        <f t="shared" si="55"/>
        <v>1403D7</v>
      </c>
      <c r="B1755" t="str">
        <f t="shared" si="54"/>
        <v>1403</v>
      </c>
      <c r="C1755" t="s">
        <v>2929</v>
      </c>
      <c r="D1755" t="s">
        <v>6</v>
      </c>
      <c r="E1755" t="s">
        <v>94</v>
      </c>
      <c r="F1755" t="s">
        <v>111</v>
      </c>
      <c r="G1755" t="s">
        <v>757</v>
      </c>
      <c r="H1755" t="s">
        <v>42</v>
      </c>
      <c r="I1755" t="s">
        <v>43</v>
      </c>
      <c r="J1755" t="s">
        <v>2915</v>
      </c>
      <c r="M1755" t="s">
        <v>106</v>
      </c>
      <c r="P1755" t="s">
        <v>46</v>
      </c>
      <c r="Q1755" t="s">
        <v>47</v>
      </c>
      <c r="R1755" t="s">
        <v>48</v>
      </c>
      <c r="V1755" t="s">
        <v>49</v>
      </c>
      <c r="X1755" t="s">
        <v>49</v>
      </c>
      <c r="Y1755" t="s">
        <v>59</v>
      </c>
      <c r="Z1755" t="s">
        <v>2878</v>
      </c>
      <c r="AA1755" t="s">
        <v>2878</v>
      </c>
    </row>
    <row r="1756" spans="1:27" x14ac:dyDescent="0.35">
      <c r="A1756" t="str">
        <f t="shared" si="55"/>
        <v>405_F3</v>
      </c>
      <c r="B1756" t="str">
        <f t="shared" si="54"/>
        <v>405_</v>
      </c>
      <c r="C1756" t="s">
        <v>2930</v>
      </c>
      <c r="D1756" t="s">
        <v>5</v>
      </c>
      <c r="E1756" t="s">
        <v>40</v>
      </c>
      <c r="F1756" t="s">
        <v>73</v>
      </c>
      <c r="G1756" t="s">
        <v>757</v>
      </c>
      <c r="H1756" t="s">
        <v>42</v>
      </c>
      <c r="I1756" t="s">
        <v>67</v>
      </c>
      <c r="J1756" t="s">
        <v>2931</v>
      </c>
      <c r="M1756" t="s">
        <v>106</v>
      </c>
      <c r="P1756" t="s">
        <v>46</v>
      </c>
      <c r="Q1756" t="s">
        <v>47</v>
      </c>
      <c r="R1756" t="s">
        <v>48</v>
      </c>
      <c r="V1756" t="s">
        <v>49</v>
      </c>
      <c r="X1756" t="s">
        <v>49</v>
      </c>
      <c r="Y1756" t="s">
        <v>74</v>
      </c>
      <c r="Z1756" t="s">
        <v>2530</v>
      </c>
      <c r="AA1756" t="s">
        <v>2530</v>
      </c>
    </row>
    <row r="1757" spans="1:27" x14ac:dyDescent="0.35">
      <c r="A1757" t="str">
        <f t="shared" si="55"/>
        <v>1402F2</v>
      </c>
      <c r="B1757" t="str">
        <f t="shared" si="54"/>
        <v>1402</v>
      </c>
      <c r="C1757" t="s">
        <v>2932</v>
      </c>
      <c r="D1757" t="s">
        <v>4</v>
      </c>
      <c r="E1757" t="s">
        <v>77</v>
      </c>
      <c r="F1757" t="s">
        <v>78</v>
      </c>
      <c r="G1757" t="s">
        <v>757</v>
      </c>
      <c r="H1757" t="s">
        <v>42</v>
      </c>
      <c r="I1757" t="s">
        <v>67</v>
      </c>
      <c r="J1757" t="s">
        <v>2933</v>
      </c>
      <c r="M1757" t="s">
        <v>106</v>
      </c>
      <c r="P1757" t="s">
        <v>138</v>
      </c>
      <c r="Q1757" t="s">
        <v>47</v>
      </c>
      <c r="R1757" t="s">
        <v>48</v>
      </c>
      <c r="V1757" t="s">
        <v>49</v>
      </c>
      <c r="X1757" t="s">
        <v>49</v>
      </c>
      <c r="Y1757" t="s">
        <v>74</v>
      </c>
      <c r="Z1757" t="s">
        <v>2916</v>
      </c>
      <c r="AA1757" t="s">
        <v>2916</v>
      </c>
    </row>
    <row r="1758" spans="1:27" x14ac:dyDescent="0.35">
      <c r="A1758" t="str">
        <f t="shared" si="55"/>
        <v>1402D4</v>
      </c>
      <c r="B1758" t="str">
        <f t="shared" si="54"/>
        <v>1402</v>
      </c>
      <c r="C1758" t="s">
        <v>2934</v>
      </c>
      <c r="D1758" t="s">
        <v>3</v>
      </c>
      <c r="E1758" t="s">
        <v>52</v>
      </c>
      <c r="F1758" t="s">
        <v>53</v>
      </c>
      <c r="G1758" t="s">
        <v>757</v>
      </c>
      <c r="H1758" t="s">
        <v>42</v>
      </c>
      <c r="I1758" t="s">
        <v>43</v>
      </c>
      <c r="J1758" t="s">
        <v>2933</v>
      </c>
      <c r="K1758" t="s">
        <v>56</v>
      </c>
      <c r="M1758" t="s">
        <v>106</v>
      </c>
      <c r="P1758" t="s">
        <v>58</v>
      </c>
      <c r="Q1758" t="s">
        <v>47</v>
      </c>
      <c r="R1758" t="s">
        <v>48</v>
      </c>
      <c r="V1758" t="s">
        <v>49</v>
      </c>
      <c r="X1758" t="s">
        <v>49</v>
      </c>
      <c r="Y1758" t="s">
        <v>59</v>
      </c>
      <c r="Z1758" t="s">
        <v>2935</v>
      </c>
      <c r="AA1758" t="s">
        <v>2935</v>
      </c>
    </row>
    <row r="1759" spans="1:27" x14ac:dyDescent="0.35">
      <c r="A1759" t="str">
        <f t="shared" si="55"/>
        <v>405_F2</v>
      </c>
      <c r="B1759" t="str">
        <f t="shared" si="54"/>
        <v>405_</v>
      </c>
      <c r="C1759" t="s">
        <v>2936</v>
      </c>
      <c r="D1759" t="s">
        <v>4</v>
      </c>
      <c r="E1759" t="s">
        <v>77</v>
      </c>
      <c r="F1759" t="s">
        <v>78</v>
      </c>
      <c r="G1759" t="s">
        <v>757</v>
      </c>
      <c r="H1759" t="s">
        <v>42</v>
      </c>
      <c r="I1759" t="s">
        <v>67</v>
      </c>
      <c r="J1759" t="s">
        <v>2931</v>
      </c>
      <c r="M1759" t="s">
        <v>106</v>
      </c>
      <c r="P1759" t="s">
        <v>138</v>
      </c>
      <c r="Q1759" t="s">
        <v>47</v>
      </c>
      <c r="R1759" t="s">
        <v>48</v>
      </c>
      <c r="V1759" t="s">
        <v>49</v>
      </c>
      <c r="X1759" t="s">
        <v>49</v>
      </c>
      <c r="Y1759" t="s">
        <v>74</v>
      </c>
      <c r="Z1759" t="s">
        <v>2937</v>
      </c>
      <c r="AA1759" t="s">
        <v>2937</v>
      </c>
    </row>
    <row r="1760" spans="1:27" x14ac:dyDescent="0.35">
      <c r="A1760" t="str">
        <f t="shared" si="55"/>
        <v>405_C2</v>
      </c>
      <c r="B1760" t="str">
        <f t="shared" si="54"/>
        <v>405_</v>
      </c>
      <c r="C1760" t="s">
        <v>2938</v>
      </c>
      <c r="D1760" t="s">
        <v>1</v>
      </c>
      <c r="E1760" t="s">
        <v>65</v>
      </c>
      <c r="F1760" t="s">
        <v>66</v>
      </c>
      <c r="G1760" t="s">
        <v>757</v>
      </c>
      <c r="H1760" t="s">
        <v>42</v>
      </c>
      <c r="I1760" t="s">
        <v>67</v>
      </c>
      <c r="J1760" t="s">
        <v>2931</v>
      </c>
      <c r="M1760" t="s">
        <v>106</v>
      </c>
      <c r="P1760" t="s">
        <v>69</v>
      </c>
      <c r="Q1760" t="s">
        <v>47</v>
      </c>
      <c r="R1760" t="s">
        <v>48</v>
      </c>
      <c r="V1760" t="s">
        <v>49</v>
      </c>
      <c r="X1760" t="s">
        <v>49</v>
      </c>
      <c r="Y1760" t="s">
        <v>70</v>
      </c>
      <c r="Z1760" t="s">
        <v>2918</v>
      </c>
      <c r="AA1760" t="s">
        <v>2918</v>
      </c>
    </row>
    <row r="1761" spans="1:27" x14ac:dyDescent="0.35">
      <c r="A1761" t="str">
        <f t="shared" si="55"/>
        <v>1402D2</v>
      </c>
      <c r="B1761" t="str">
        <f t="shared" si="54"/>
        <v>1402</v>
      </c>
      <c r="C1761" t="s">
        <v>2939</v>
      </c>
      <c r="D1761" t="s">
        <v>2</v>
      </c>
      <c r="E1761" t="s">
        <v>62</v>
      </c>
      <c r="F1761" t="s">
        <v>63</v>
      </c>
      <c r="G1761" t="s">
        <v>757</v>
      </c>
      <c r="H1761" t="s">
        <v>42</v>
      </c>
      <c r="I1761" t="s">
        <v>43</v>
      </c>
      <c r="J1761" t="s">
        <v>2933</v>
      </c>
      <c r="K1761" t="s">
        <v>56</v>
      </c>
      <c r="M1761" t="s">
        <v>106</v>
      </c>
      <c r="P1761" t="s">
        <v>69</v>
      </c>
      <c r="Q1761" t="s">
        <v>47</v>
      </c>
      <c r="R1761" t="s">
        <v>48</v>
      </c>
      <c r="V1761" t="s">
        <v>49</v>
      </c>
      <c r="X1761" t="s">
        <v>49</v>
      </c>
      <c r="Y1761" t="s">
        <v>59</v>
      </c>
      <c r="Z1761" t="s">
        <v>2899</v>
      </c>
      <c r="AA1761" t="s">
        <v>2899</v>
      </c>
    </row>
    <row r="1762" spans="1:27" x14ac:dyDescent="0.35">
      <c r="A1762" t="str">
        <f t="shared" si="55"/>
        <v>1402F3</v>
      </c>
      <c r="B1762" t="str">
        <f t="shared" si="54"/>
        <v>1402</v>
      </c>
      <c r="C1762" t="s">
        <v>2940</v>
      </c>
      <c r="D1762" t="s">
        <v>5</v>
      </c>
      <c r="E1762" t="s">
        <v>40</v>
      </c>
      <c r="F1762" t="s">
        <v>73</v>
      </c>
      <c r="G1762" t="s">
        <v>757</v>
      </c>
      <c r="H1762" t="s">
        <v>42</v>
      </c>
      <c r="I1762" t="s">
        <v>67</v>
      </c>
      <c r="J1762" t="s">
        <v>2933</v>
      </c>
      <c r="M1762" t="s">
        <v>106</v>
      </c>
      <c r="P1762" t="s">
        <v>58</v>
      </c>
      <c r="Q1762" t="s">
        <v>47</v>
      </c>
      <c r="R1762" t="s">
        <v>48</v>
      </c>
      <c r="V1762" t="s">
        <v>49</v>
      </c>
      <c r="X1762" t="s">
        <v>49</v>
      </c>
      <c r="Y1762" t="s">
        <v>74</v>
      </c>
      <c r="Z1762" t="s">
        <v>2941</v>
      </c>
      <c r="AA1762" t="s">
        <v>2941</v>
      </c>
    </row>
    <row r="1763" spans="1:27" x14ac:dyDescent="0.35">
      <c r="A1763" t="str">
        <f t="shared" si="55"/>
        <v>405_D2</v>
      </c>
      <c r="B1763" t="str">
        <f t="shared" si="54"/>
        <v>405_</v>
      </c>
      <c r="C1763" t="s">
        <v>2942</v>
      </c>
      <c r="D1763" t="s">
        <v>2</v>
      </c>
      <c r="E1763" t="s">
        <v>62</v>
      </c>
      <c r="F1763" t="s">
        <v>63</v>
      </c>
      <c r="G1763" t="s">
        <v>757</v>
      </c>
      <c r="H1763" t="s">
        <v>42</v>
      </c>
      <c r="I1763" t="s">
        <v>67</v>
      </c>
      <c r="J1763" t="s">
        <v>2931</v>
      </c>
      <c r="K1763" t="s">
        <v>56</v>
      </c>
      <c r="M1763" t="s">
        <v>106</v>
      </c>
      <c r="P1763" t="s">
        <v>58</v>
      </c>
      <c r="Q1763" t="s">
        <v>47</v>
      </c>
      <c r="R1763" t="s">
        <v>48</v>
      </c>
      <c r="V1763" t="s">
        <v>49</v>
      </c>
      <c r="X1763" t="s">
        <v>49</v>
      </c>
      <c r="Y1763" t="s">
        <v>59</v>
      </c>
      <c r="Z1763" t="s">
        <v>2918</v>
      </c>
      <c r="AA1763" t="s">
        <v>2918</v>
      </c>
    </row>
    <row r="1764" spans="1:27" x14ac:dyDescent="0.35">
      <c r="A1764" t="str">
        <f t="shared" si="55"/>
        <v>405_D7</v>
      </c>
      <c r="B1764" t="str">
        <f t="shared" si="54"/>
        <v>405_</v>
      </c>
      <c r="C1764" t="s">
        <v>2943</v>
      </c>
      <c r="D1764" t="s">
        <v>6</v>
      </c>
      <c r="E1764" t="s">
        <v>94</v>
      </c>
      <c r="F1764" t="s">
        <v>111</v>
      </c>
      <c r="G1764" t="s">
        <v>757</v>
      </c>
      <c r="H1764" t="s">
        <v>42</v>
      </c>
      <c r="I1764" t="s">
        <v>67</v>
      </c>
      <c r="J1764" t="s">
        <v>2931</v>
      </c>
      <c r="M1764" t="s">
        <v>106</v>
      </c>
      <c r="P1764" t="s">
        <v>46</v>
      </c>
      <c r="Q1764" t="s">
        <v>47</v>
      </c>
      <c r="R1764" t="s">
        <v>48</v>
      </c>
      <c r="V1764" t="s">
        <v>49</v>
      </c>
      <c r="X1764" t="s">
        <v>49</v>
      </c>
      <c r="Y1764" t="s">
        <v>59</v>
      </c>
      <c r="Z1764" t="s">
        <v>2267</v>
      </c>
      <c r="AA1764" t="s">
        <v>2267</v>
      </c>
    </row>
    <row r="1765" spans="1:27" x14ac:dyDescent="0.35">
      <c r="A1765" t="str">
        <f t="shared" si="55"/>
        <v>405_D4</v>
      </c>
      <c r="B1765" t="str">
        <f t="shared" si="54"/>
        <v>405_</v>
      </c>
      <c r="C1765" t="s">
        <v>2944</v>
      </c>
      <c r="D1765" t="s">
        <v>3</v>
      </c>
      <c r="E1765" t="s">
        <v>52</v>
      </c>
      <c r="F1765" t="s">
        <v>53</v>
      </c>
      <c r="G1765" t="s">
        <v>757</v>
      </c>
      <c r="H1765" t="s">
        <v>42</v>
      </c>
      <c r="I1765" t="s">
        <v>67</v>
      </c>
      <c r="J1765" t="s">
        <v>2931</v>
      </c>
      <c r="K1765" t="s">
        <v>56</v>
      </c>
      <c r="M1765" t="s">
        <v>106</v>
      </c>
      <c r="P1765" t="s">
        <v>58</v>
      </c>
      <c r="Q1765" t="s">
        <v>47</v>
      </c>
      <c r="R1765" t="s">
        <v>48</v>
      </c>
      <c r="V1765" t="s">
        <v>49</v>
      </c>
      <c r="X1765" t="s">
        <v>49</v>
      </c>
      <c r="Y1765" t="s">
        <v>59</v>
      </c>
      <c r="Z1765" t="s">
        <v>3855</v>
      </c>
      <c r="AA1765" t="s">
        <v>3855</v>
      </c>
    </row>
    <row r="1766" spans="1:27" x14ac:dyDescent="0.35">
      <c r="A1766" t="str">
        <f t="shared" si="55"/>
        <v>1402C2</v>
      </c>
      <c r="B1766" t="str">
        <f t="shared" si="54"/>
        <v>1402</v>
      </c>
      <c r="C1766" t="s">
        <v>2945</v>
      </c>
      <c r="D1766" t="s">
        <v>1</v>
      </c>
      <c r="E1766" t="s">
        <v>65</v>
      </c>
      <c r="F1766" t="s">
        <v>66</v>
      </c>
      <c r="G1766" t="s">
        <v>757</v>
      </c>
      <c r="H1766" t="s">
        <v>42</v>
      </c>
      <c r="I1766" t="s">
        <v>67</v>
      </c>
      <c r="J1766" t="s">
        <v>2933</v>
      </c>
      <c r="M1766" t="s">
        <v>106</v>
      </c>
      <c r="P1766" t="s">
        <v>69</v>
      </c>
      <c r="Q1766" t="s">
        <v>47</v>
      </c>
      <c r="R1766" t="s">
        <v>48</v>
      </c>
      <c r="V1766" t="s">
        <v>49</v>
      </c>
      <c r="X1766" t="s">
        <v>49</v>
      </c>
      <c r="Y1766" t="s">
        <v>70</v>
      </c>
      <c r="Z1766" t="s">
        <v>225</v>
      </c>
      <c r="AA1766" t="s">
        <v>225</v>
      </c>
    </row>
    <row r="1767" spans="1:27" x14ac:dyDescent="0.35">
      <c r="A1767" t="str">
        <f t="shared" si="55"/>
        <v>1402D7</v>
      </c>
      <c r="B1767" t="str">
        <f t="shared" si="54"/>
        <v>1402</v>
      </c>
      <c r="C1767" t="s">
        <v>2946</v>
      </c>
      <c r="D1767" t="s">
        <v>6</v>
      </c>
      <c r="E1767" t="s">
        <v>94</v>
      </c>
      <c r="F1767" t="s">
        <v>111</v>
      </c>
      <c r="G1767" t="s">
        <v>757</v>
      </c>
      <c r="H1767" t="s">
        <v>42</v>
      </c>
      <c r="I1767" t="s">
        <v>43</v>
      </c>
      <c r="J1767" t="s">
        <v>2933</v>
      </c>
      <c r="M1767" t="s">
        <v>106</v>
      </c>
      <c r="P1767" t="s">
        <v>46</v>
      </c>
      <c r="Q1767" t="s">
        <v>47</v>
      </c>
      <c r="R1767" t="s">
        <v>48</v>
      </c>
      <c r="V1767" t="s">
        <v>49</v>
      </c>
      <c r="X1767" t="s">
        <v>49</v>
      </c>
      <c r="Y1767" t="s">
        <v>59</v>
      </c>
      <c r="Z1767" t="s">
        <v>2947</v>
      </c>
      <c r="AA1767" t="s">
        <v>2947</v>
      </c>
    </row>
    <row r="1768" spans="1:27" x14ac:dyDescent="0.35">
      <c r="A1768" t="str">
        <f t="shared" si="55"/>
        <v>404_F3</v>
      </c>
      <c r="B1768" t="str">
        <f t="shared" si="54"/>
        <v>404_</v>
      </c>
      <c r="C1768" t="s">
        <v>2948</v>
      </c>
      <c r="D1768" t="s">
        <v>5</v>
      </c>
      <c r="E1768" t="s">
        <v>40</v>
      </c>
      <c r="F1768" t="s">
        <v>73</v>
      </c>
      <c r="G1768" t="s">
        <v>757</v>
      </c>
      <c r="H1768" t="s">
        <v>42</v>
      </c>
      <c r="I1768" t="s">
        <v>67</v>
      </c>
      <c r="J1768" t="s">
        <v>2949</v>
      </c>
      <c r="M1768" t="s">
        <v>106</v>
      </c>
      <c r="P1768" t="s">
        <v>46</v>
      </c>
      <c r="Q1768" t="s">
        <v>47</v>
      </c>
      <c r="R1768" t="s">
        <v>48</v>
      </c>
      <c r="V1768" t="s">
        <v>49</v>
      </c>
      <c r="X1768" t="s">
        <v>49</v>
      </c>
      <c r="Y1768" t="s">
        <v>74</v>
      </c>
      <c r="Z1768" t="s">
        <v>2937</v>
      </c>
      <c r="AA1768" t="s">
        <v>2937</v>
      </c>
    </row>
    <row r="1769" spans="1:27" x14ac:dyDescent="0.35">
      <c r="A1769" t="str">
        <f t="shared" si="55"/>
        <v>1401F2</v>
      </c>
      <c r="B1769" t="str">
        <f t="shared" si="54"/>
        <v>1401</v>
      </c>
      <c r="C1769" t="s">
        <v>2950</v>
      </c>
      <c r="D1769" t="s">
        <v>4</v>
      </c>
      <c r="E1769" t="s">
        <v>77</v>
      </c>
      <c r="F1769" t="s">
        <v>78</v>
      </c>
      <c r="G1769" t="s">
        <v>757</v>
      </c>
      <c r="H1769" t="s">
        <v>42</v>
      </c>
      <c r="I1769" t="s">
        <v>67</v>
      </c>
      <c r="J1769" t="s">
        <v>2951</v>
      </c>
      <c r="M1769" t="s">
        <v>106</v>
      </c>
      <c r="P1769" t="s">
        <v>138</v>
      </c>
      <c r="Q1769" t="s">
        <v>47</v>
      </c>
      <c r="R1769" t="s">
        <v>48</v>
      </c>
      <c r="V1769" t="s">
        <v>49</v>
      </c>
      <c r="X1769" t="s">
        <v>49</v>
      </c>
      <c r="Y1769" t="s">
        <v>74</v>
      </c>
      <c r="Z1769" t="s">
        <v>2916</v>
      </c>
      <c r="AA1769" t="s">
        <v>2916</v>
      </c>
    </row>
    <row r="1770" spans="1:27" x14ac:dyDescent="0.35">
      <c r="A1770" t="str">
        <f t="shared" si="55"/>
        <v>1401D4</v>
      </c>
      <c r="B1770" t="str">
        <f t="shared" si="54"/>
        <v>1401</v>
      </c>
      <c r="C1770" t="s">
        <v>2952</v>
      </c>
      <c r="D1770" t="s">
        <v>3</v>
      </c>
      <c r="E1770" t="s">
        <v>52</v>
      </c>
      <c r="F1770" t="s">
        <v>53</v>
      </c>
      <c r="G1770" t="s">
        <v>757</v>
      </c>
      <c r="H1770" t="s">
        <v>42</v>
      </c>
      <c r="I1770" t="s">
        <v>43</v>
      </c>
      <c r="J1770" t="s">
        <v>2951</v>
      </c>
      <c r="K1770" t="s">
        <v>56</v>
      </c>
      <c r="M1770" t="s">
        <v>106</v>
      </c>
      <c r="P1770" t="s">
        <v>58</v>
      </c>
      <c r="Q1770" t="s">
        <v>47</v>
      </c>
      <c r="R1770" t="s">
        <v>48</v>
      </c>
      <c r="V1770" t="s">
        <v>49</v>
      </c>
      <c r="X1770" t="s">
        <v>49</v>
      </c>
      <c r="Y1770" t="s">
        <v>59</v>
      </c>
      <c r="Z1770" t="s">
        <v>2953</v>
      </c>
      <c r="AA1770" t="s">
        <v>2953</v>
      </c>
    </row>
    <row r="1771" spans="1:27" x14ac:dyDescent="0.35">
      <c r="A1771" t="str">
        <f t="shared" si="55"/>
        <v>404_F2</v>
      </c>
      <c r="B1771" t="str">
        <f t="shared" si="54"/>
        <v>404_</v>
      </c>
      <c r="C1771" t="s">
        <v>2954</v>
      </c>
      <c r="D1771" t="s">
        <v>4</v>
      </c>
      <c r="E1771" t="s">
        <v>77</v>
      </c>
      <c r="F1771" t="s">
        <v>78</v>
      </c>
      <c r="G1771" t="s">
        <v>757</v>
      </c>
      <c r="H1771" t="s">
        <v>42</v>
      </c>
      <c r="I1771" t="s">
        <v>67</v>
      </c>
      <c r="J1771" t="s">
        <v>2949</v>
      </c>
      <c r="M1771" t="s">
        <v>106</v>
      </c>
      <c r="P1771" t="s">
        <v>138</v>
      </c>
      <c r="Q1771" t="s">
        <v>47</v>
      </c>
      <c r="R1771" t="s">
        <v>48</v>
      </c>
      <c r="V1771" t="s">
        <v>49</v>
      </c>
      <c r="X1771" t="s">
        <v>49</v>
      </c>
      <c r="Y1771" t="s">
        <v>74</v>
      </c>
      <c r="Z1771" t="s">
        <v>2937</v>
      </c>
      <c r="AA1771" t="s">
        <v>2937</v>
      </c>
    </row>
    <row r="1772" spans="1:27" x14ac:dyDescent="0.35">
      <c r="A1772" t="str">
        <f t="shared" si="55"/>
        <v>1401D2</v>
      </c>
      <c r="B1772" t="str">
        <f t="shared" si="54"/>
        <v>1401</v>
      </c>
      <c r="C1772" t="s">
        <v>2955</v>
      </c>
      <c r="D1772" t="s">
        <v>2</v>
      </c>
      <c r="E1772" t="s">
        <v>62</v>
      </c>
      <c r="F1772" t="s">
        <v>63</v>
      </c>
      <c r="G1772" t="s">
        <v>757</v>
      </c>
      <c r="H1772" t="s">
        <v>42</v>
      </c>
      <c r="I1772" t="s">
        <v>43</v>
      </c>
      <c r="J1772" t="s">
        <v>2951</v>
      </c>
      <c r="K1772" t="s">
        <v>56</v>
      </c>
      <c r="M1772" t="s">
        <v>106</v>
      </c>
      <c r="P1772" t="s">
        <v>69</v>
      </c>
      <c r="Q1772" t="s">
        <v>47</v>
      </c>
      <c r="R1772" t="s">
        <v>48</v>
      </c>
      <c r="V1772" t="s">
        <v>49</v>
      </c>
      <c r="X1772" t="s">
        <v>49</v>
      </c>
      <c r="Y1772" t="s">
        <v>59</v>
      </c>
      <c r="Z1772" t="s">
        <v>2956</v>
      </c>
      <c r="AA1772" t="s">
        <v>2956</v>
      </c>
    </row>
    <row r="1773" spans="1:27" x14ac:dyDescent="0.35">
      <c r="A1773" t="str">
        <f t="shared" si="55"/>
        <v>404_C2</v>
      </c>
      <c r="B1773" t="str">
        <f t="shared" si="54"/>
        <v>404_</v>
      </c>
      <c r="C1773" t="s">
        <v>2957</v>
      </c>
      <c r="D1773" t="s">
        <v>1</v>
      </c>
      <c r="E1773" t="s">
        <v>65</v>
      </c>
      <c r="F1773" t="s">
        <v>66</v>
      </c>
      <c r="G1773" t="s">
        <v>757</v>
      </c>
      <c r="H1773" t="s">
        <v>42</v>
      </c>
      <c r="I1773" t="s">
        <v>67</v>
      </c>
      <c r="J1773" t="s">
        <v>2949</v>
      </c>
      <c r="M1773" t="s">
        <v>106</v>
      </c>
      <c r="P1773" t="s">
        <v>69</v>
      </c>
      <c r="Q1773" t="s">
        <v>47</v>
      </c>
      <c r="R1773" t="s">
        <v>48</v>
      </c>
      <c r="V1773" t="s">
        <v>49</v>
      </c>
      <c r="X1773" t="s">
        <v>49</v>
      </c>
      <c r="Y1773" t="s">
        <v>70</v>
      </c>
      <c r="Z1773" t="s">
        <v>2958</v>
      </c>
      <c r="AA1773" t="s">
        <v>2958</v>
      </c>
    </row>
    <row r="1774" spans="1:27" x14ac:dyDescent="0.35">
      <c r="A1774" t="str">
        <f t="shared" si="55"/>
        <v>1401F3</v>
      </c>
      <c r="B1774" t="str">
        <f t="shared" si="54"/>
        <v>1401</v>
      </c>
      <c r="C1774" t="s">
        <v>2959</v>
      </c>
      <c r="D1774" t="s">
        <v>5</v>
      </c>
      <c r="E1774" t="s">
        <v>40</v>
      </c>
      <c r="F1774" t="s">
        <v>73</v>
      </c>
      <c r="G1774" t="s">
        <v>757</v>
      </c>
      <c r="H1774" t="s">
        <v>42</v>
      </c>
      <c r="I1774" t="s">
        <v>67</v>
      </c>
      <c r="J1774" t="s">
        <v>2951</v>
      </c>
      <c r="M1774" t="s">
        <v>106</v>
      </c>
      <c r="P1774" t="s">
        <v>58</v>
      </c>
      <c r="Q1774" t="s">
        <v>47</v>
      </c>
      <c r="R1774" t="s">
        <v>48</v>
      </c>
      <c r="V1774" t="s">
        <v>49</v>
      </c>
      <c r="X1774" t="s">
        <v>49</v>
      </c>
      <c r="Y1774" t="s">
        <v>74</v>
      </c>
      <c r="Z1774" t="s">
        <v>2941</v>
      </c>
      <c r="AA1774" t="s">
        <v>2941</v>
      </c>
    </row>
    <row r="1775" spans="1:27" x14ac:dyDescent="0.35">
      <c r="A1775" t="str">
        <f t="shared" si="55"/>
        <v>404_D2</v>
      </c>
      <c r="B1775" t="str">
        <f t="shared" si="54"/>
        <v>404_</v>
      </c>
      <c r="C1775" t="s">
        <v>2960</v>
      </c>
      <c r="D1775" t="s">
        <v>2</v>
      </c>
      <c r="E1775" t="s">
        <v>62</v>
      </c>
      <c r="F1775" t="s">
        <v>63</v>
      </c>
      <c r="G1775" t="s">
        <v>757</v>
      </c>
      <c r="H1775" t="s">
        <v>42</v>
      </c>
      <c r="I1775" t="s">
        <v>67</v>
      </c>
      <c r="J1775" t="s">
        <v>2949</v>
      </c>
      <c r="K1775" t="s">
        <v>56</v>
      </c>
      <c r="M1775" t="s">
        <v>106</v>
      </c>
      <c r="P1775" t="s">
        <v>58</v>
      </c>
      <c r="Q1775" t="s">
        <v>47</v>
      </c>
      <c r="R1775" t="s">
        <v>48</v>
      </c>
      <c r="V1775" t="s">
        <v>49</v>
      </c>
      <c r="X1775" t="s">
        <v>49</v>
      </c>
      <c r="Y1775" t="s">
        <v>59</v>
      </c>
      <c r="Z1775" t="s">
        <v>2958</v>
      </c>
      <c r="AA1775" t="s">
        <v>2958</v>
      </c>
    </row>
    <row r="1776" spans="1:27" x14ac:dyDescent="0.35">
      <c r="A1776" t="str">
        <f t="shared" si="55"/>
        <v>404_D7</v>
      </c>
      <c r="B1776" t="str">
        <f t="shared" si="54"/>
        <v>404_</v>
      </c>
      <c r="C1776" t="s">
        <v>2961</v>
      </c>
      <c r="D1776" t="s">
        <v>6</v>
      </c>
      <c r="E1776" t="s">
        <v>94</v>
      </c>
      <c r="F1776" t="s">
        <v>111</v>
      </c>
      <c r="G1776" t="s">
        <v>757</v>
      </c>
      <c r="H1776" t="s">
        <v>42</v>
      </c>
      <c r="I1776" t="s">
        <v>67</v>
      </c>
      <c r="J1776" t="s">
        <v>2949</v>
      </c>
      <c r="M1776" t="s">
        <v>106</v>
      </c>
      <c r="P1776" t="s">
        <v>46</v>
      </c>
      <c r="Q1776" t="s">
        <v>47</v>
      </c>
      <c r="R1776" t="s">
        <v>48</v>
      </c>
      <c r="V1776" t="s">
        <v>49</v>
      </c>
      <c r="X1776" t="s">
        <v>49</v>
      </c>
      <c r="Y1776" t="s">
        <v>59</v>
      </c>
      <c r="Z1776" t="s">
        <v>2256</v>
      </c>
      <c r="AA1776" t="s">
        <v>2256</v>
      </c>
    </row>
    <row r="1777" spans="1:27" x14ac:dyDescent="0.35">
      <c r="A1777" t="str">
        <f t="shared" si="55"/>
        <v>1401C2</v>
      </c>
      <c r="B1777" t="str">
        <f t="shared" si="54"/>
        <v>1401</v>
      </c>
      <c r="C1777" t="s">
        <v>2962</v>
      </c>
      <c r="D1777" t="s">
        <v>1</v>
      </c>
      <c r="E1777" t="s">
        <v>65</v>
      </c>
      <c r="F1777" t="s">
        <v>66</v>
      </c>
      <c r="G1777" t="s">
        <v>757</v>
      </c>
      <c r="H1777" t="s">
        <v>42</v>
      </c>
      <c r="I1777" t="s">
        <v>67</v>
      </c>
      <c r="J1777" t="s">
        <v>2951</v>
      </c>
      <c r="M1777" t="s">
        <v>106</v>
      </c>
      <c r="P1777" t="s">
        <v>69</v>
      </c>
      <c r="Q1777" t="s">
        <v>47</v>
      </c>
      <c r="R1777" t="s">
        <v>48</v>
      </c>
      <c r="V1777" t="s">
        <v>49</v>
      </c>
      <c r="X1777" t="s">
        <v>49</v>
      </c>
      <c r="Y1777" t="s">
        <v>70</v>
      </c>
      <c r="Z1777" t="s">
        <v>2729</v>
      </c>
      <c r="AA1777" t="s">
        <v>2729</v>
      </c>
    </row>
    <row r="1778" spans="1:27" x14ac:dyDescent="0.35">
      <c r="A1778" t="str">
        <f t="shared" si="55"/>
        <v>404_D4</v>
      </c>
      <c r="B1778" t="str">
        <f t="shared" si="54"/>
        <v>404_</v>
      </c>
      <c r="C1778" t="s">
        <v>2963</v>
      </c>
      <c r="D1778" t="s">
        <v>3</v>
      </c>
      <c r="E1778" t="s">
        <v>52</v>
      </c>
      <c r="F1778" t="s">
        <v>53</v>
      </c>
      <c r="G1778" t="s">
        <v>757</v>
      </c>
      <c r="H1778" t="s">
        <v>42</v>
      </c>
      <c r="I1778" t="s">
        <v>67</v>
      </c>
      <c r="J1778" t="s">
        <v>2949</v>
      </c>
      <c r="K1778" t="s">
        <v>56</v>
      </c>
      <c r="M1778" t="s">
        <v>106</v>
      </c>
      <c r="P1778" t="s">
        <v>58</v>
      </c>
      <c r="Q1778" t="s">
        <v>47</v>
      </c>
      <c r="R1778" t="s">
        <v>48</v>
      </c>
      <c r="V1778" t="s">
        <v>49</v>
      </c>
      <c r="X1778" t="s">
        <v>49</v>
      </c>
      <c r="Y1778" t="s">
        <v>59</v>
      </c>
      <c r="Z1778" t="s">
        <v>2958</v>
      </c>
      <c r="AA1778" t="s">
        <v>2958</v>
      </c>
    </row>
    <row r="1779" spans="1:27" x14ac:dyDescent="0.35">
      <c r="A1779" t="str">
        <f t="shared" si="55"/>
        <v>1401D7</v>
      </c>
      <c r="B1779" t="str">
        <f t="shared" si="54"/>
        <v>1401</v>
      </c>
      <c r="C1779" t="s">
        <v>2964</v>
      </c>
      <c r="D1779" t="s">
        <v>6</v>
      </c>
      <c r="E1779" t="s">
        <v>94</v>
      </c>
      <c r="F1779" t="s">
        <v>111</v>
      </c>
      <c r="G1779" t="s">
        <v>757</v>
      </c>
      <c r="H1779" t="s">
        <v>42</v>
      </c>
      <c r="I1779" t="s">
        <v>43</v>
      </c>
      <c r="J1779" t="s">
        <v>2951</v>
      </c>
      <c r="M1779" t="s">
        <v>106</v>
      </c>
      <c r="P1779" t="s">
        <v>46</v>
      </c>
      <c r="Q1779" t="s">
        <v>47</v>
      </c>
      <c r="R1779" t="s">
        <v>48</v>
      </c>
      <c r="V1779" t="s">
        <v>49</v>
      </c>
      <c r="X1779" t="s">
        <v>49</v>
      </c>
      <c r="Y1779" t="s">
        <v>59</v>
      </c>
      <c r="Z1779" t="s">
        <v>2947</v>
      </c>
      <c r="AA1779" t="s">
        <v>2947</v>
      </c>
    </row>
    <row r="1780" spans="1:27" x14ac:dyDescent="0.35">
      <c r="A1780" t="str">
        <f t="shared" si="55"/>
        <v>403_F3</v>
      </c>
      <c r="B1780" t="str">
        <f t="shared" si="54"/>
        <v>403_</v>
      </c>
      <c r="C1780" t="s">
        <v>2965</v>
      </c>
      <c r="D1780" t="s">
        <v>5</v>
      </c>
      <c r="E1780" t="s">
        <v>40</v>
      </c>
      <c r="F1780" t="s">
        <v>73</v>
      </c>
      <c r="G1780" t="s">
        <v>757</v>
      </c>
      <c r="H1780" t="s">
        <v>42</v>
      </c>
      <c r="I1780" t="s">
        <v>67</v>
      </c>
      <c r="J1780" t="s">
        <v>2966</v>
      </c>
      <c r="M1780" t="s">
        <v>106</v>
      </c>
      <c r="P1780" t="s">
        <v>46</v>
      </c>
      <c r="Q1780" t="s">
        <v>47</v>
      </c>
      <c r="R1780" t="s">
        <v>48</v>
      </c>
      <c r="V1780" t="s">
        <v>49</v>
      </c>
      <c r="X1780" t="s">
        <v>49</v>
      </c>
      <c r="Y1780" t="s">
        <v>74</v>
      </c>
      <c r="Z1780" t="s">
        <v>2937</v>
      </c>
      <c r="AA1780" t="s">
        <v>2937</v>
      </c>
    </row>
    <row r="1781" spans="1:27" x14ac:dyDescent="0.35">
      <c r="A1781" t="str">
        <f t="shared" si="55"/>
        <v>1308F2</v>
      </c>
      <c r="B1781" t="str">
        <f t="shared" si="54"/>
        <v>1308</v>
      </c>
      <c r="C1781" t="s">
        <v>2967</v>
      </c>
      <c r="D1781" t="s">
        <v>4</v>
      </c>
      <c r="E1781" t="s">
        <v>77</v>
      </c>
      <c r="F1781" t="s">
        <v>78</v>
      </c>
      <c r="G1781" t="s">
        <v>757</v>
      </c>
      <c r="H1781" t="s">
        <v>42</v>
      </c>
      <c r="I1781" t="s">
        <v>67</v>
      </c>
      <c r="J1781" t="s">
        <v>2968</v>
      </c>
      <c r="M1781" t="s">
        <v>106</v>
      </c>
      <c r="P1781" t="s">
        <v>189</v>
      </c>
      <c r="Q1781" t="s">
        <v>47</v>
      </c>
      <c r="R1781" t="s">
        <v>48</v>
      </c>
      <c r="V1781" t="s">
        <v>49</v>
      </c>
      <c r="X1781" t="s">
        <v>49</v>
      </c>
      <c r="Y1781" t="s">
        <v>74</v>
      </c>
      <c r="Z1781" t="s">
        <v>2969</v>
      </c>
      <c r="AA1781" t="s">
        <v>2969</v>
      </c>
    </row>
    <row r="1782" spans="1:27" x14ac:dyDescent="0.35">
      <c r="A1782" t="str">
        <f t="shared" si="55"/>
        <v>1308D4</v>
      </c>
      <c r="B1782" t="str">
        <f t="shared" si="54"/>
        <v>1308</v>
      </c>
      <c r="C1782" t="s">
        <v>2970</v>
      </c>
      <c r="D1782" t="s">
        <v>3</v>
      </c>
      <c r="E1782" t="s">
        <v>52</v>
      </c>
      <c r="F1782" t="s">
        <v>53</v>
      </c>
      <c r="G1782" t="s">
        <v>757</v>
      </c>
      <c r="H1782" t="s">
        <v>42</v>
      </c>
      <c r="I1782" t="s">
        <v>43</v>
      </c>
      <c r="J1782" t="s">
        <v>2968</v>
      </c>
      <c r="K1782" t="s">
        <v>56</v>
      </c>
      <c r="M1782" t="s">
        <v>106</v>
      </c>
      <c r="P1782" t="s">
        <v>58</v>
      </c>
      <c r="Q1782" t="s">
        <v>47</v>
      </c>
      <c r="R1782" t="s">
        <v>48</v>
      </c>
      <c r="V1782" t="s">
        <v>49</v>
      </c>
      <c r="X1782" t="s">
        <v>49</v>
      </c>
      <c r="Y1782" t="s">
        <v>59</v>
      </c>
      <c r="Z1782" t="s">
        <v>2956</v>
      </c>
      <c r="AA1782" t="s">
        <v>2956</v>
      </c>
    </row>
    <row r="1783" spans="1:27" x14ac:dyDescent="0.35">
      <c r="A1783" t="str">
        <f t="shared" si="55"/>
        <v>403_F2</v>
      </c>
      <c r="B1783" t="str">
        <f t="shared" si="54"/>
        <v>403_</v>
      </c>
      <c r="C1783" t="s">
        <v>2971</v>
      </c>
      <c r="D1783" t="s">
        <v>4</v>
      </c>
      <c r="E1783" t="s">
        <v>77</v>
      </c>
      <c r="F1783" t="s">
        <v>78</v>
      </c>
      <c r="G1783" t="s">
        <v>757</v>
      </c>
      <c r="H1783" t="s">
        <v>42</v>
      </c>
      <c r="I1783" t="s">
        <v>67</v>
      </c>
      <c r="J1783" t="s">
        <v>2966</v>
      </c>
      <c r="M1783" t="s">
        <v>106</v>
      </c>
      <c r="P1783" t="s">
        <v>91</v>
      </c>
      <c r="Q1783" t="s">
        <v>47</v>
      </c>
      <c r="R1783" t="s">
        <v>48</v>
      </c>
      <c r="V1783" t="s">
        <v>49</v>
      </c>
      <c r="X1783" t="s">
        <v>49</v>
      </c>
      <c r="Y1783" t="s">
        <v>74</v>
      </c>
      <c r="Z1783" t="s">
        <v>2937</v>
      </c>
      <c r="AA1783" t="s">
        <v>2937</v>
      </c>
    </row>
    <row r="1784" spans="1:27" x14ac:dyDescent="0.35">
      <c r="A1784" t="str">
        <f t="shared" si="55"/>
        <v>1308D2</v>
      </c>
      <c r="B1784" t="str">
        <f t="shared" si="54"/>
        <v>1308</v>
      </c>
      <c r="C1784" t="s">
        <v>2972</v>
      </c>
      <c r="D1784" t="s">
        <v>2</v>
      </c>
      <c r="E1784" t="s">
        <v>62</v>
      </c>
      <c r="F1784" t="s">
        <v>63</v>
      </c>
      <c r="G1784" t="s">
        <v>757</v>
      </c>
      <c r="H1784" t="s">
        <v>42</v>
      </c>
      <c r="I1784" t="s">
        <v>43</v>
      </c>
      <c r="J1784" t="s">
        <v>2968</v>
      </c>
      <c r="K1784" t="s">
        <v>56</v>
      </c>
      <c r="M1784" t="s">
        <v>106</v>
      </c>
      <c r="P1784" t="s">
        <v>58</v>
      </c>
      <c r="Q1784" t="s">
        <v>47</v>
      </c>
      <c r="R1784" t="s">
        <v>48</v>
      </c>
      <c r="V1784" t="s">
        <v>49</v>
      </c>
      <c r="X1784" t="s">
        <v>49</v>
      </c>
      <c r="Y1784" t="s">
        <v>59</v>
      </c>
      <c r="Z1784" t="s">
        <v>135</v>
      </c>
      <c r="AA1784" t="s">
        <v>135</v>
      </c>
    </row>
    <row r="1785" spans="1:27" x14ac:dyDescent="0.35">
      <c r="A1785" t="str">
        <f t="shared" si="55"/>
        <v>403_C2</v>
      </c>
      <c r="B1785" t="str">
        <f t="shared" si="54"/>
        <v>403_</v>
      </c>
      <c r="C1785" t="s">
        <v>2973</v>
      </c>
      <c r="D1785" t="s">
        <v>1</v>
      </c>
      <c r="E1785" t="s">
        <v>65</v>
      </c>
      <c r="F1785" t="s">
        <v>66</v>
      </c>
      <c r="G1785" t="s">
        <v>757</v>
      </c>
      <c r="H1785" t="s">
        <v>42</v>
      </c>
      <c r="I1785" t="s">
        <v>67</v>
      </c>
      <c r="J1785" t="s">
        <v>2966</v>
      </c>
      <c r="M1785" t="s">
        <v>106</v>
      </c>
      <c r="P1785" t="s">
        <v>69</v>
      </c>
      <c r="Q1785" t="s">
        <v>47</v>
      </c>
      <c r="R1785" t="s">
        <v>48</v>
      </c>
      <c r="V1785" t="s">
        <v>49</v>
      </c>
      <c r="X1785" t="s">
        <v>49</v>
      </c>
      <c r="Y1785" t="s">
        <v>70</v>
      </c>
      <c r="Z1785" t="s">
        <v>2958</v>
      </c>
      <c r="AA1785" t="s">
        <v>2958</v>
      </c>
    </row>
    <row r="1786" spans="1:27" x14ac:dyDescent="0.35">
      <c r="A1786" t="str">
        <f t="shared" si="55"/>
        <v>1308F3</v>
      </c>
      <c r="B1786" t="str">
        <f t="shared" si="54"/>
        <v>1308</v>
      </c>
      <c r="C1786" t="s">
        <v>2974</v>
      </c>
      <c r="D1786" t="s">
        <v>5</v>
      </c>
      <c r="E1786" t="s">
        <v>40</v>
      </c>
      <c r="F1786" t="s">
        <v>73</v>
      </c>
      <c r="G1786" t="s">
        <v>757</v>
      </c>
      <c r="H1786" t="s">
        <v>42</v>
      </c>
      <c r="I1786" t="s">
        <v>67</v>
      </c>
      <c r="J1786" t="s">
        <v>2968</v>
      </c>
      <c r="M1786" t="s">
        <v>106</v>
      </c>
      <c r="P1786" t="s">
        <v>46</v>
      </c>
      <c r="Q1786" t="s">
        <v>47</v>
      </c>
      <c r="R1786" t="s">
        <v>48</v>
      </c>
      <c r="V1786" t="s">
        <v>49</v>
      </c>
      <c r="X1786" t="s">
        <v>49</v>
      </c>
      <c r="Y1786" t="s">
        <v>74</v>
      </c>
      <c r="Z1786" t="s">
        <v>133</v>
      </c>
      <c r="AA1786" t="s">
        <v>133</v>
      </c>
    </row>
    <row r="1787" spans="1:27" x14ac:dyDescent="0.35">
      <c r="A1787" t="str">
        <f t="shared" si="55"/>
        <v>403_D2</v>
      </c>
      <c r="B1787" t="str">
        <f t="shared" si="54"/>
        <v>403_</v>
      </c>
      <c r="C1787" t="s">
        <v>2975</v>
      </c>
      <c r="D1787" t="s">
        <v>2</v>
      </c>
      <c r="E1787" t="s">
        <v>62</v>
      </c>
      <c r="F1787" t="s">
        <v>63</v>
      </c>
      <c r="G1787" t="s">
        <v>757</v>
      </c>
      <c r="H1787" t="s">
        <v>42</v>
      </c>
      <c r="I1787" t="s">
        <v>67</v>
      </c>
      <c r="J1787" t="s">
        <v>2966</v>
      </c>
      <c r="K1787" t="s">
        <v>56</v>
      </c>
      <c r="M1787" t="s">
        <v>106</v>
      </c>
      <c r="P1787" t="s">
        <v>58</v>
      </c>
      <c r="Q1787" t="s">
        <v>47</v>
      </c>
      <c r="R1787" t="s">
        <v>48</v>
      </c>
      <c r="V1787" t="s">
        <v>49</v>
      </c>
      <c r="X1787" t="s">
        <v>49</v>
      </c>
      <c r="Y1787" t="s">
        <v>59</v>
      </c>
      <c r="Z1787" t="s">
        <v>2958</v>
      </c>
      <c r="AA1787" t="s">
        <v>2958</v>
      </c>
    </row>
    <row r="1788" spans="1:27" x14ac:dyDescent="0.35">
      <c r="A1788" t="str">
        <f t="shared" si="55"/>
        <v>403_D7</v>
      </c>
      <c r="B1788" t="str">
        <f t="shared" si="54"/>
        <v>403_</v>
      </c>
      <c r="C1788" t="s">
        <v>2976</v>
      </c>
      <c r="D1788" t="s">
        <v>6</v>
      </c>
      <c r="E1788" t="s">
        <v>94</v>
      </c>
      <c r="F1788" t="s">
        <v>111</v>
      </c>
      <c r="G1788" t="s">
        <v>757</v>
      </c>
      <c r="H1788" t="s">
        <v>42</v>
      </c>
      <c r="I1788" t="s">
        <v>67</v>
      </c>
      <c r="J1788" t="s">
        <v>2966</v>
      </c>
      <c r="M1788" t="s">
        <v>106</v>
      </c>
      <c r="P1788" t="s">
        <v>46</v>
      </c>
      <c r="Q1788" t="s">
        <v>47</v>
      </c>
      <c r="R1788" t="s">
        <v>48</v>
      </c>
      <c r="V1788" t="s">
        <v>49</v>
      </c>
      <c r="X1788" t="s">
        <v>49</v>
      </c>
      <c r="Y1788" t="s">
        <v>59</v>
      </c>
      <c r="Z1788" t="s">
        <v>2256</v>
      </c>
      <c r="AA1788" t="s">
        <v>2256</v>
      </c>
    </row>
    <row r="1789" spans="1:27" x14ac:dyDescent="0.35">
      <c r="A1789" t="str">
        <f t="shared" si="55"/>
        <v>1308C2</v>
      </c>
      <c r="B1789" t="str">
        <f t="shared" si="54"/>
        <v>1308</v>
      </c>
      <c r="C1789" t="s">
        <v>2977</v>
      </c>
      <c r="D1789" t="s">
        <v>1</v>
      </c>
      <c r="E1789" t="s">
        <v>65</v>
      </c>
      <c r="F1789" t="s">
        <v>66</v>
      </c>
      <c r="G1789" t="s">
        <v>757</v>
      </c>
      <c r="H1789" t="s">
        <v>42</v>
      </c>
      <c r="I1789" t="s">
        <v>67</v>
      </c>
      <c r="J1789" t="s">
        <v>2968</v>
      </c>
      <c r="M1789" t="s">
        <v>106</v>
      </c>
      <c r="P1789" t="s">
        <v>69</v>
      </c>
      <c r="Q1789" t="s">
        <v>47</v>
      </c>
      <c r="R1789" t="s">
        <v>48</v>
      </c>
      <c r="V1789" t="s">
        <v>49</v>
      </c>
      <c r="X1789" t="s">
        <v>49</v>
      </c>
      <c r="Y1789" t="s">
        <v>70</v>
      </c>
      <c r="Z1789" t="s">
        <v>2978</v>
      </c>
      <c r="AA1789" t="s">
        <v>2978</v>
      </c>
    </row>
    <row r="1790" spans="1:27" x14ac:dyDescent="0.35">
      <c r="A1790" t="str">
        <f t="shared" si="55"/>
        <v>403_D4</v>
      </c>
      <c r="B1790" t="str">
        <f t="shared" si="54"/>
        <v>403_</v>
      </c>
      <c r="C1790" t="s">
        <v>2979</v>
      </c>
      <c r="D1790" t="s">
        <v>3</v>
      </c>
      <c r="E1790" t="s">
        <v>52</v>
      </c>
      <c r="F1790" t="s">
        <v>53</v>
      </c>
      <c r="G1790" t="s">
        <v>757</v>
      </c>
      <c r="H1790" t="s">
        <v>42</v>
      </c>
      <c r="I1790" t="s">
        <v>67</v>
      </c>
      <c r="J1790" t="s">
        <v>2966</v>
      </c>
      <c r="K1790" t="s">
        <v>56</v>
      </c>
      <c r="M1790" t="s">
        <v>106</v>
      </c>
      <c r="P1790" t="s">
        <v>58</v>
      </c>
      <c r="Q1790" t="s">
        <v>47</v>
      </c>
      <c r="R1790" t="s">
        <v>48</v>
      </c>
      <c r="V1790" t="s">
        <v>49</v>
      </c>
      <c r="X1790" t="s">
        <v>49</v>
      </c>
      <c r="Y1790" t="s">
        <v>59</v>
      </c>
      <c r="Z1790" t="s">
        <v>2980</v>
      </c>
      <c r="AA1790" t="s">
        <v>2980</v>
      </c>
    </row>
    <row r="1791" spans="1:27" x14ac:dyDescent="0.35">
      <c r="A1791" t="str">
        <f t="shared" si="55"/>
        <v>1308D7</v>
      </c>
      <c r="B1791" t="str">
        <f t="shared" si="54"/>
        <v>1308</v>
      </c>
      <c r="C1791" t="s">
        <v>2981</v>
      </c>
      <c r="D1791" t="s">
        <v>6</v>
      </c>
      <c r="E1791" t="s">
        <v>94</v>
      </c>
      <c r="F1791" t="s">
        <v>111</v>
      </c>
      <c r="G1791" t="s">
        <v>757</v>
      </c>
      <c r="H1791" t="s">
        <v>42</v>
      </c>
      <c r="I1791" t="s">
        <v>43</v>
      </c>
      <c r="J1791" t="s">
        <v>2968</v>
      </c>
      <c r="M1791" t="s">
        <v>106</v>
      </c>
      <c r="P1791" t="s">
        <v>46</v>
      </c>
      <c r="Q1791" t="s">
        <v>47</v>
      </c>
      <c r="R1791" t="s">
        <v>48</v>
      </c>
      <c r="V1791" t="s">
        <v>49</v>
      </c>
      <c r="X1791" t="s">
        <v>49</v>
      </c>
      <c r="Y1791" t="s">
        <v>59</v>
      </c>
      <c r="Z1791" t="s">
        <v>2982</v>
      </c>
      <c r="AA1791" t="s">
        <v>129</v>
      </c>
    </row>
    <row r="1792" spans="1:27" x14ac:dyDescent="0.35">
      <c r="A1792" t="str">
        <f t="shared" si="55"/>
        <v>402_F3</v>
      </c>
      <c r="B1792" t="str">
        <f t="shared" si="54"/>
        <v>402_</v>
      </c>
      <c r="C1792" t="s">
        <v>2983</v>
      </c>
      <c r="D1792" t="s">
        <v>5</v>
      </c>
      <c r="E1792" t="s">
        <v>40</v>
      </c>
      <c r="F1792" t="s">
        <v>73</v>
      </c>
      <c r="G1792" t="s">
        <v>757</v>
      </c>
      <c r="H1792" t="s">
        <v>42</v>
      </c>
      <c r="I1792" t="s">
        <v>67</v>
      </c>
      <c r="J1792" t="s">
        <v>2984</v>
      </c>
      <c r="M1792" t="s">
        <v>106</v>
      </c>
      <c r="P1792" t="s">
        <v>46</v>
      </c>
      <c r="Q1792" t="s">
        <v>47</v>
      </c>
      <c r="R1792" t="s">
        <v>48</v>
      </c>
      <c r="V1792" t="s">
        <v>49</v>
      </c>
      <c r="X1792" t="s">
        <v>49</v>
      </c>
      <c r="Y1792" t="s">
        <v>74</v>
      </c>
      <c r="Z1792" t="s">
        <v>2985</v>
      </c>
      <c r="AA1792" t="s">
        <v>2985</v>
      </c>
    </row>
    <row r="1793" spans="1:27" x14ac:dyDescent="0.35">
      <c r="A1793" t="str">
        <f t="shared" si="55"/>
        <v>402_F2</v>
      </c>
      <c r="B1793" t="str">
        <f t="shared" si="54"/>
        <v>402_</v>
      </c>
      <c r="C1793" t="s">
        <v>2986</v>
      </c>
      <c r="D1793" t="s">
        <v>4</v>
      </c>
      <c r="E1793" t="s">
        <v>77</v>
      </c>
      <c r="F1793" t="s">
        <v>78</v>
      </c>
      <c r="G1793" t="s">
        <v>757</v>
      </c>
      <c r="H1793" t="s">
        <v>42</v>
      </c>
      <c r="I1793" t="s">
        <v>67</v>
      </c>
      <c r="J1793" t="s">
        <v>2984</v>
      </c>
      <c r="M1793" t="s">
        <v>106</v>
      </c>
      <c r="P1793" t="s">
        <v>91</v>
      </c>
      <c r="Q1793" t="s">
        <v>47</v>
      </c>
      <c r="R1793" t="s">
        <v>48</v>
      </c>
      <c r="V1793" t="s">
        <v>49</v>
      </c>
      <c r="X1793" t="s">
        <v>49</v>
      </c>
      <c r="Y1793" t="s">
        <v>74</v>
      </c>
      <c r="Z1793" t="s">
        <v>2985</v>
      </c>
      <c r="AA1793" t="s">
        <v>2985</v>
      </c>
    </row>
    <row r="1794" spans="1:27" x14ac:dyDescent="0.35">
      <c r="A1794" t="str">
        <f t="shared" si="55"/>
        <v>402_C2</v>
      </c>
      <c r="B1794" t="str">
        <f t="shared" ref="B1794:B1857" si="56">LEFT($J:$J,4)</f>
        <v>402_</v>
      </c>
      <c r="C1794" t="s">
        <v>2987</v>
      </c>
      <c r="D1794" t="s">
        <v>1</v>
      </c>
      <c r="E1794" t="s">
        <v>65</v>
      </c>
      <c r="F1794" t="s">
        <v>66</v>
      </c>
      <c r="G1794" t="s">
        <v>757</v>
      </c>
      <c r="H1794" t="s">
        <v>42</v>
      </c>
      <c r="I1794" t="s">
        <v>67</v>
      </c>
      <c r="J1794" t="s">
        <v>2984</v>
      </c>
      <c r="M1794" t="s">
        <v>106</v>
      </c>
      <c r="P1794" t="s">
        <v>69</v>
      </c>
      <c r="Q1794" t="s">
        <v>47</v>
      </c>
      <c r="R1794" t="s">
        <v>48</v>
      </c>
      <c r="V1794" t="s">
        <v>49</v>
      </c>
      <c r="X1794" t="s">
        <v>49</v>
      </c>
      <c r="Y1794" t="s">
        <v>70</v>
      </c>
      <c r="Z1794" t="s">
        <v>2980</v>
      </c>
      <c r="AA1794" t="s">
        <v>2980</v>
      </c>
    </row>
    <row r="1795" spans="1:27" x14ac:dyDescent="0.35">
      <c r="A1795" t="str">
        <f t="shared" ref="A1795:A1858" si="57">B1795&amp;D1795</f>
        <v>1307F2</v>
      </c>
      <c r="B1795" t="str">
        <f t="shared" si="56"/>
        <v>1307</v>
      </c>
      <c r="C1795" t="s">
        <v>2988</v>
      </c>
      <c r="D1795" t="s">
        <v>4</v>
      </c>
      <c r="E1795" t="s">
        <v>77</v>
      </c>
      <c r="F1795" t="s">
        <v>78</v>
      </c>
      <c r="G1795" t="s">
        <v>757</v>
      </c>
      <c r="H1795" t="s">
        <v>42</v>
      </c>
      <c r="I1795" t="s">
        <v>67</v>
      </c>
      <c r="J1795" t="s">
        <v>2989</v>
      </c>
      <c r="M1795" t="s">
        <v>106</v>
      </c>
      <c r="P1795" t="s">
        <v>79</v>
      </c>
      <c r="Q1795" t="s">
        <v>47</v>
      </c>
      <c r="R1795" t="s">
        <v>48</v>
      </c>
      <c r="V1795" t="s">
        <v>49</v>
      </c>
      <c r="X1795" t="s">
        <v>49</v>
      </c>
      <c r="Y1795" t="s">
        <v>74</v>
      </c>
      <c r="Z1795" t="s">
        <v>2990</v>
      </c>
      <c r="AA1795" t="s">
        <v>2990</v>
      </c>
    </row>
    <row r="1796" spans="1:27" x14ac:dyDescent="0.35">
      <c r="A1796" t="str">
        <f t="shared" si="57"/>
        <v>1307D4</v>
      </c>
      <c r="B1796" t="str">
        <f t="shared" si="56"/>
        <v>1307</v>
      </c>
      <c r="C1796" t="s">
        <v>2991</v>
      </c>
      <c r="D1796" t="s">
        <v>3</v>
      </c>
      <c r="E1796" t="s">
        <v>52</v>
      </c>
      <c r="F1796" t="s">
        <v>53</v>
      </c>
      <c r="G1796" t="s">
        <v>757</v>
      </c>
      <c r="H1796" t="s">
        <v>42</v>
      </c>
      <c r="I1796" t="s">
        <v>43</v>
      </c>
      <c r="J1796" t="s">
        <v>2989</v>
      </c>
      <c r="K1796" t="s">
        <v>56</v>
      </c>
      <c r="M1796" t="s">
        <v>106</v>
      </c>
      <c r="P1796" t="s">
        <v>58</v>
      </c>
      <c r="Q1796" t="s">
        <v>47</v>
      </c>
      <c r="R1796" t="s">
        <v>48</v>
      </c>
      <c r="V1796" t="s">
        <v>49</v>
      </c>
      <c r="X1796" t="s">
        <v>49</v>
      </c>
      <c r="Y1796" t="s">
        <v>59</v>
      </c>
      <c r="Z1796" t="s">
        <v>2956</v>
      </c>
      <c r="AA1796" t="s">
        <v>2956</v>
      </c>
    </row>
    <row r="1797" spans="1:27" x14ac:dyDescent="0.35">
      <c r="A1797" t="str">
        <f t="shared" si="57"/>
        <v>402_D2</v>
      </c>
      <c r="B1797" t="str">
        <f t="shared" si="56"/>
        <v>402_</v>
      </c>
      <c r="C1797" t="s">
        <v>2992</v>
      </c>
      <c r="D1797" t="s">
        <v>2</v>
      </c>
      <c r="E1797" t="s">
        <v>62</v>
      </c>
      <c r="F1797" t="s">
        <v>63</v>
      </c>
      <c r="G1797" t="s">
        <v>757</v>
      </c>
      <c r="H1797" t="s">
        <v>42</v>
      </c>
      <c r="I1797" t="s">
        <v>67</v>
      </c>
      <c r="J1797" t="s">
        <v>2984</v>
      </c>
      <c r="K1797" t="s">
        <v>56</v>
      </c>
      <c r="M1797" t="s">
        <v>106</v>
      </c>
      <c r="P1797" t="s">
        <v>58</v>
      </c>
      <c r="Q1797" t="s">
        <v>47</v>
      </c>
      <c r="R1797" t="s">
        <v>48</v>
      </c>
      <c r="V1797" t="s">
        <v>49</v>
      </c>
      <c r="X1797" t="s">
        <v>49</v>
      </c>
      <c r="Y1797" t="s">
        <v>59</v>
      </c>
      <c r="Z1797" t="s">
        <v>2980</v>
      </c>
      <c r="AA1797" t="s">
        <v>2980</v>
      </c>
    </row>
    <row r="1798" spans="1:27" x14ac:dyDescent="0.35">
      <c r="A1798" t="str">
        <f t="shared" si="57"/>
        <v>402_D7</v>
      </c>
      <c r="B1798" t="str">
        <f t="shared" si="56"/>
        <v>402_</v>
      </c>
      <c r="C1798" t="s">
        <v>2993</v>
      </c>
      <c r="D1798" t="s">
        <v>6</v>
      </c>
      <c r="E1798" t="s">
        <v>94</v>
      </c>
      <c r="F1798" t="s">
        <v>111</v>
      </c>
      <c r="G1798" t="s">
        <v>757</v>
      </c>
      <c r="H1798" t="s">
        <v>42</v>
      </c>
      <c r="I1798" t="s">
        <v>67</v>
      </c>
      <c r="J1798" t="s">
        <v>2984</v>
      </c>
      <c r="M1798" t="s">
        <v>106</v>
      </c>
      <c r="P1798" t="s">
        <v>46</v>
      </c>
      <c r="Q1798" t="s">
        <v>47</v>
      </c>
      <c r="R1798" t="s">
        <v>48</v>
      </c>
      <c r="V1798" t="s">
        <v>49</v>
      </c>
      <c r="X1798" t="s">
        <v>49</v>
      </c>
      <c r="Y1798" t="s">
        <v>59</v>
      </c>
      <c r="Z1798" t="s">
        <v>2256</v>
      </c>
      <c r="AA1798" t="s">
        <v>2256</v>
      </c>
    </row>
    <row r="1799" spans="1:27" x14ac:dyDescent="0.35">
      <c r="A1799" t="str">
        <f t="shared" si="57"/>
        <v>402_D4</v>
      </c>
      <c r="B1799" t="str">
        <f t="shared" si="56"/>
        <v>402_</v>
      </c>
      <c r="C1799" t="s">
        <v>2994</v>
      </c>
      <c r="D1799" t="s">
        <v>3</v>
      </c>
      <c r="E1799" t="s">
        <v>52</v>
      </c>
      <c r="F1799" t="s">
        <v>53</v>
      </c>
      <c r="G1799" t="s">
        <v>757</v>
      </c>
      <c r="H1799" t="s">
        <v>42</v>
      </c>
      <c r="I1799" t="s">
        <v>67</v>
      </c>
      <c r="J1799" t="s">
        <v>2984</v>
      </c>
      <c r="K1799" t="s">
        <v>56</v>
      </c>
      <c r="M1799" t="s">
        <v>106</v>
      </c>
      <c r="P1799" t="s">
        <v>58</v>
      </c>
      <c r="Q1799" t="s">
        <v>47</v>
      </c>
      <c r="R1799" t="s">
        <v>48</v>
      </c>
      <c r="V1799" t="s">
        <v>49</v>
      </c>
      <c r="X1799" t="s">
        <v>49</v>
      </c>
      <c r="Y1799" t="s">
        <v>59</v>
      </c>
      <c r="Z1799" t="s">
        <v>2980</v>
      </c>
      <c r="AA1799" t="s">
        <v>2980</v>
      </c>
    </row>
    <row r="1800" spans="1:27" x14ac:dyDescent="0.35">
      <c r="A1800" t="str">
        <f t="shared" si="57"/>
        <v>1307D2</v>
      </c>
      <c r="B1800" t="str">
        <f t="shared" si="56"/>
        <v>1307</v>
      </c>
      <c r="C1800" t="s">
        <v>2995</v>
      </c>
      <c r="D1800" t="s">
        <v>2</v>
      </c>
      <c r="E1800" t="s">
        <v>62</v>
      </c>
      <c r="F1800" t="s">
        <v>63</v>
      </c>
      <c r="G1800" t="s">
        <v>757</v>
      </c>
      <c r="H1800" t="s">
        <v>42</v>
      </c>
      <c r="I1800" t="s">
        <v>43</v>
      </c>
      <c r="J1800" t="s">
        <v>2989</v>
      </c>
      <c r="K1800" t="s">
        <v>56</v>
      </c>
      <c r="M1800" t="s">
        <v>106</v>
      </c>
      <c r="P1800" t="s">
        <v>69</v>
      </c>
      <c r="Q1800" t="s">
        <v>47</v>
      </c>
      <c r="R1800" t="s">
        <v>48</v>
      </c>
      <c r="V1800" t="s">
        <v>49</v>
      </c>
      <c r="X1800" t="s">
        <v>49</v>
      </c>
      <c r="Y1800" t="s">
        <v>59</v>
      </c>
      <c r="Z1800" t="s">
        <v>2996</v>
      </c>
      <c r="AA1800" t="s">
        <v>2996</v>
      </c>
    </row>
    <row r="1801" spans="1:27" x14ac:dyDescent="0.35">
      <c r="A1801" t="str">
        <f t="shared" si="57"/>
        <v>1307F3</v>
      </c>
      <c r="B1801" t="str">
        <f t="shared" si="56"/>
        <v>1307</v>
      </c>
      <c r="C1801" t="s">
        <v>2997</v>
      </c>
      <c r="D1801" t="s">
        <v>5</v>
      </c>
      <c r="E1801" t="s">
        <v>40</v>
      </c>
      <c r="F1801" t="s">
        <v>73</v>
      </c>
      <c r="G1801" t="s">
        <v>757</v>
      </c>
      <c r="H1801" t="s">
        <v>42</v>
      </c>
      <c r="I1801" t="s">
        <v>67</v>
      </c>
      <c r="J1801" t="s">
        <v>2989</v>
      </c>
      <c r="M1801" t="s">
        <v>106</v>
      </c>
      <c r="P1801" t="s">
        <v>46</v>
      </c>
      <c r="Q1801" t="s">
        <v>47</v>
      </c>
      <c r="R1801" t="s">
        <v>48</v>
      </c>
      <c r="V1801" t="s">
        <v>49</v>
      </c>
      <c r="X1801" t="s">
        <v>49</v>
      </c>
      <c r="Y1801" t="s">
        <v>74</v>
      </c>
      <c r="Z1801" t="s">
        <v>133</v>
      </c>
      <c r="AA1801" t="s">
        <v>133</v>
      </c>
    </row>
    <row r="1802" spans="1:27" x14ac:dyDescent="0.35">
      <c r="A1802" t="str">
        <f t="shared" si="57"/>
        <v>1307C2</v>
      </c>
      <c r="B1802" t="str">
        <f t="shared" si="56"/>
        <v>1307</v>
      </c>
      <c r="C1802" t="s">
        <v>2998</v>
      </c>
      <c r="D1802" t="s">
        <v>1</v>
      </c>
      <c r="E1802" t="s">
        <v>65</v>
      </c>
      <c r="F1802" t="s">
        <v>66</v>
      </c>
      <c r="G1802" t="s">
        <v>757</v>
      </c>
      <c r="H1802" t="s">
        <v>42</v>
      </c>
      <c r="I1802" t="s">
        <v>67</v>
      </c>
      <c r="J1802" t="s">
        <v>2989</v>
      </c>
      <c r="M1802" t="s">
        <v>106</v>
      </c>
      <c r="P1802" t="s">
        <v>69</v>
      </c>
      <c r="Q1802" t="s">
        <v>47</v>
      </c>
      <c r="R1802" t="s">
        <v>48</v>
      </c>
      <c r="V1802" t="s">
        <v>49</v>
      </c>
      <c r="X1802" t="s">
        <v>49</v>
      </c>
      <c r="Y1802" t="s">
        <v>70</v>
      </c>
      <c r="Z1802" t="s">
        <v>2828</v>
      </c>
      <c r="AA1802" t="s">
        <v>2828</v>
      </c>
    </row>
    <row r="1803" spans="1:27" x14ac:dyDescent="0.35">
      <c r="A1803" t="str">
        <f t="shared" si="57"/>
        <v>1307D7</v>
      </c>
      <c r="B1803" t="str">
        <f t="shared" si="56"/>
        <v>1307</v>
      </c>
      <c r="C1803" t="s">
        <v>2999</v>
      </c>
      <c r="D1803" t="s">
        <v>6</v>
      </c>
      <c r="E1803" t="s">
        <v>94</v>
      </c>
      <c r="F1803" t="s">
        <v>111</v>
      </c>
      <c r="G1803" t="s">
        <v>757</v>
      </c>
      <c r="H1803" t="s">
        <v>42</v>
      </c>
      <c r="I1803" t="s">
        <v>43</v>
      </c>
      <c r="J1803" t="s">
        <v>2989</v>
      </c>
      <c r="M1803" t="s">
        <v>106</v>
      </c>
      <c r="P1803" t="s">
        <v>46</v>
      </c>
      <c r="Q1803" t="s">
        <v>47</v>
      </c>
      <c r="R1803" t="s">
        <v>48</v>
      </c>
      <c r="V1803" t="s">
        <v>49</v>
      </c>
      <c r="X1803" t="s">
        <v>49</v>
      </c>
      <c r="Y1803" t="s">
        <v>59</v>
      </c>
      <c r="Z1803" t="s">
        <v>129</v>
      </c>
      <c r="AA1803" t="s">
        <v>129</v>
      </c>
    </row>
    <row r="1804" spans="1:27" x14ac:dyDescent="0.35">
      <c r="A1804" t="str">
        <f t="shared" si="57"/>
        <v>401_F3</v>
      </c>
      <c r="B1804" t="str">
        <f t="shared" si="56"/>
        <v>401_</v>
      </c>
      <c r="C1804" t="s">
        <v>3000</v>
      </c>
      <c r="D1804" t="s">
        <v>5</v>
      </c>
      <c r="E1804" t="s">
        <v>40</v>
      </c>
      <c r="F1804" t="s">
        <v>73</v>
      </c>
      <c r="G1804" t="s">
        <v>757</v>
      </c>
      <c r="H1804" t="s">
        <v>42</v>
      </c>
      <c r="I1804" t="s">
        <v>67</v>
      </c>
      <c r="J1804" t="s">
        <v>3001</v>
      </c>
      <c r="M1804" t="s">
        <v>106</v>
      </c>
      <c r="P1804" t="s">
        <v>46</v>
      </c>
      <c r="Q1804" t="s">
        <v>47</v>
      </c>
      <c r="R1804" t="s">
        <v>48</v>
      </c>
      <c r="V1804" t="s">
        <v>49</v>
      </c>
      <c r="X1804" t="s">
        <v>49</v>
      </c>
      <c r="Y1804" t="s">
        <v>74</v>
      </c>
      <c r="Z1804" t="s">
        <v>2897</v>
      </c>
      <c r="AA1804" t="s">
        <v>2897</v>
      </c>
    </row>
    <row r="1805" spans="1:27" x14ac:dyDescent="0.35">
      <c r="A1805" t="str">
        <f t="shared" si="57"/>
        <v>401_F2</v>
      </c>
      <c r="B1805" t="str">
        <f t="shared" si="56"/>
        <v>401_</v>
      </c>
      <c r="C1805" t="s">
        <v>3002</v>
      </c>
      <c r="D1805" t="s">
        <v>4</v>
      </c>
      <c r="E1805" t="s">
        <v>77</v>
      </c>
      <c r="F1805" t="s">
        <v>78</v>
      </c>
      <c r="G1805" t="s">
        <v>757</v>
      </c>
      <c r="H1805" t="s">
        <v>42</v>
      </c>
      <c r="I1805" t="s">
        <v>67</v>
      </c>
      <c r="J1805" t="s">
        <v>3001</v>
      </c>
      <c r="M1805" t="s">
        <v>106</v>
      </c>
      <c r="P1805" t="s">
        <v>138</v>
      </c>
      <c r="Q1805" t="s">
        <v>47</v>
      </c>
      <c r="R1805" t="s">
        <v>48</v>
      </c>
      <c r="V1805" t="s">
        <v>49</v>
      </c>
      <c r="X1805" t="s">
        <v>49</v>
      </c>
      <c r="Y1805" t="s">
        <v>74</v>
      </c>
      <c r="Z1805" t="s">
        <v>3003</v>
      </c>
      <c r="AA1805" t="s">
        <v>3003</v>
      </c>
    </row>
    <row r="1806" spans="1:27" x14ac:dyDescent="0.35">
      <c r="A1806" t="str">
        <f t="shared" si="57"/>
        <v>401_C2</v>
      </c>
      <c r="B1806" t="str">
        <f t="shared" si="56"/>
        <v>401_</v>
      </c>
      <c r="C1806" t="s">
        <v>3004</v>
      </c>
      <c r="D1806" t="s">
        <v>1</v>
      </c>
      <c r="E1806" t="s">
        <v>65</v>
      </c>
      <c r="F1806" t="s">
        <v>66</v>
      </c>
      <c r="G1806" t="s">
        <v>757</v>
      </c>
      <c r="H1806" t="s">
        <v>42</v>
      </c>
      <c r="I1806" t="s">
        <v>67</v>
      </c>
      <c r="J1806" t="s">
        <v>3001</v>
      </c>
      <c r="M1806" t="s">
        <v>106</v>
      </c>
      <c r="P1806" t="s">
        <v>69</v>
      </c>
      <c r="Q1806" t="s">
        <v>47</v>
      </c>
      <c r="R1806" t="s">
        <v>48</v>
      </c>
      <c r="V1806" t="s">
        <v>49</v>
      </c>
      <c r="X1806" t="s">
        <v>49</v>
      </c>
      <c r="Y1806" t="s">
        <v>70</v>
      </c>
      <c r="Z1806" t="s">
        <v>3600</v>
      </c>
      <c r="AA1806" t="s">
        <v>3600</v>
      </c>
    </row>
    <row r="1807" spans="1:27" x14ac:dyDescent="0.35">
      <c r="A1807" t="str">
        <f t="shared" si="57"/>
        <v>401_D2</v>
      </c>
      <c r="B1807" t="str">
        <f t="shared" si="56"/>
        <v>401_</v>
      </c>
      <c r="C1807" t="s">
        <v>3005</v>
      </c>
      <c r="D1807" t="s">
        <v>2</v>
      </c>
      <c r="E1807" t="s">
        <v>62</v>
      </c>
      <c r="F1807" t="s">
        <v>63</v>
      </c>
      <c r="G1807" t="s">
        <v>757</v>
      </c>
      <c r="H1807" t="s">
        <v>42</v>
      </c>
      <c r="I1807" t="s">
        <v>67</v>
      </c>
      <c r="J1807" t="s">
        <v>3001</v>
      </c>
      <c r="K1807" t="s">
        <v>56</v>
      </c>
      <c r="M1807" t="s">
        <v>106</v>
      </c>
      <c r="P1807" t="s">
        <v>58</v>
      </c>
      <c r="Q1807" t="s">
        <v>47</v>
      </c>
      <c r="R1807" t="s">
        <v>48</v>
      </c>
      <c r="V1807" t="s">
        <v>49</v>
      </c>
      <c r="X1807" t="s">
        <v>49</v>
      </c>
      <c r="Y1807" t="s">
        <v>59</v>
      </c>
      <c r="Z1807" t="s">
        <v>2980</v>
      </c>
      <c r="AA1807" t="s">
        <v>2980</v>
      </c>
    </row>
    <row r="1808" spans="1:27" x14ac:dyDescent="0.35">
      <c r="A1808" t="str">
        <f t="shared" si="57"/>
        <v>401_D7</v>
      </c>
      <c r="B1808" t="str">
        <f t="shared" si="56"/>
        <v>401_</v>
      </c>
      <c r="C1808" t="s">
        <v>3006</v>
      </c>
      <c r="D1808" t="s">
        <v>6</v>
      </c>
      <c r="E1808" t="s">
        <v>94</v>
      </c>
      <c r="F1808" t="s">
        <v>111</v>
      </c>
      <c r="G1808" t="s">
        <v>757</v>
      </c>
      <c r="H1808" t="s">
        <v>42</v>
      </c>
      <c r="I1808" t="s">
        <v>67</v>
      </c>
      <c r="J1808" t="s">
        <v>3001</v>
      </c>
      <c r="M1808" t="s">
        <v>106</v>
      </c>
      <c r="P1808" t="s">
        <v>46</v>
      </c>
      <c r="Q1808" t="s">
        <v>47</v>
      </c>
      <c r="R1808" t="s">
        <v>48</v>
      </c>
      <c r="V1808" t="s">
        <v>49</v>
      </c>
      <c r="X1808" t="s">
        <v>49</v>
      </c>
      <c r="Y1808" t="s">
        <v>59</v>
      </c>
      <c r="Z1808" t="s">
        <v>3007</v>
      </c>
      <c r="AA1808" t="s">
        <v>3007</v>
      </c>
    </row>
    <row r="1809" spans="1:27" x14ac:dyDescent="0.35">
      <c r="A1809" t="str">
        <f t="shared" si="57"/>
        <v>401_D4</v>
      </c>
      <c r="B1809" t="str">
        <f t="shared" si="56"/>
        <v>401_</v>
      </c>
      <c r="C1809" t="s">
        <v>3008</v>
      </c>
      <c r="D1809" t="s">
        <v>3</v>
      </c>
      <c r="E1809" t="s">
        <v>52</v>
      </c>
      <c r="F1809" t="s">
        <v>53</v>
      </c>
      <c r="G1809" t="s">
        <v>757</v>
      </c>
      <c r="H1809" t="s">
        <v>42</v>
      </c>
      <c r="I1809" t="s">
        <v>67</v>
      </c>
      <c r="J1809" t="s">
        <v>3001</v>
      </c>
      <c r="K1809" t="s">
        <v>56</v>
      </c>
      <c r="M1809" t="s">
        <v>106</v>
      </c>
      <c r="P1809" t="s">
        <v>58</v>
      </c>
      <c r="Q1809" t="s">
        <v>47</v>
      </c>
      <c r="R1809" t="s">
        <v>48</v>
      </c>
      <c r="V1809" t="s">
        <v>49</v>
      </c>
      <c r="X1809" t="s">
        <v>49</v>
      </c>
      <c r="Y1809" t="s">
        <v>59</v>
      </c>
      <c r="Z1809" t="s">
        <v>3009</v>
      </c>
      <c r="AA1809" t="s">
        <v>3009</v>
      </c>
    </row>
    <row r="1810" spans="1:27" x14ac:dyDescent="0.35">
      <c r="A1810" t="str">
        <f t="shared" si="57"/>
        <v>1306F2</v>
      </c>
      <c r="B1810" t="str">
        <f t="shared" si="56"/>
        <v>1306</v>
      </c>
      <c r="C1810" t="s">
        <v>3010</v>
      </c>
      <c r="D1810" t="s">
        <v>4</v>
      </c>
      <c r="E1810" t="s">
        <v>77</v>
      </c>
      <c r="F1810" t="s">
        <v>78</v>
      </c>
      <c r="G1810" t="s">
        <v>757</v>
      </c>
      <c r="H1810" t="s">
        <v>42</v>
      </c>
      <c r="I1810" t="s">
        <v>67</v>
      </c>
      <c r="J1810" t="s">
        <v>3011</v>
      </c>
      <c r="M1810" t="s">
        <v>106</v>
      </c>
      <c r="P1810" t="s">
        <v>189</v>
      </c>
      <c r="Q1810" t="s">
        <v>47</v>
      </c>
      <c r="R1810" t="s">
        <v>48</v>
      </c>
      <c r="V1810" t="s">
        <v>49</v>
      </c>
      <c r="X1810" t="s">
        <v>49</v>
      </c>
      <c r="Y1810" t="s">
        <v>74</v>
      </c>
      <c r="Z1810" t="s">
        <v>2990</v>
      </c>
      <c r="AA1810" t="s">
        <v>2990</v>
      </c>
    </row>
    <row r="1811" spans="1:27" x14ac:dyDescent="0.35">
      <c r="A1811" t="str">
        <f t="shared" si="57"/>
        <v>1306D4</v>
      </c>
      <c r="B1811" t="str">
        <f t="shared" si="56"/>
        <v>1306</v>
      </c>
      <c r="C1811" t="s">
        <v>3012</v>
      </c>
      <c r="D1811" t="s">
        <v>3</v>
      </c>
      <c r="E1811" t="s">
        <v>52</v>
      </c>
      <c r="F1811" t="s">
        <v>53</v>
      </c>
      <c r="G1811" t="s">
        <v>757</v>
      </c>
      <c r="H1811" t="s">
        <v>42</v>
      </c>
      <c r="I1811" t="s">
        <v>43</v>
      </c>
      <c r="J1811" t="s">
        <v>3011</v>
      </c>
      <c r="K1811" t="s">
        <v>56</v>
      </c>
      <c r="M1811" t="s">
        <v>106</v>
      </c>
      <c r="P1811" t="s">
        <v>58</v>
      </c>
      <c r="Q1811" t="s">
        <v>47</v>
      </c>
      <c r="R1811" t="s">
        <v>48</v>
      </c>
      <c r="V1811" t="s">
        <v>49</v>
      </c>
      <c r="X1811" t="s">
        <v>49</v>
      </c>
      <c r="Y1811" t="s">
        <v>59</v>
      </c>
      <c r="Z1811" t="s">
        <v>3013</v>
      </c>
      <c r="AA1811" t="s">
        <v>3013</v>
      </c>
    </row>
    <row r="1812" spans="1:27" x14ac:dyDescent="0.35">
      <c r="A1812" t="str">
        <f t="shared" si="57"/>
        <v>1306D2</v>
      </c>
      <c r="B1812" t="str">
        <f t="shared" si="56"/>
        <v>1306</v>
      </c>
      <c r="C1812" t="s">
        <v>3014</v>
      </c>
      <c r="D1812" t="s">
        <v>2</v>
      </c>
      <c r="E1812" t="s">
        <v>62</v>
      </c>
      <c r="F1812" t="s">
        <v>63</v>
      </c>
      <c r="G1812" t="s">
        <v>757</v>
      </c>
      <c r="H1812" t="s">
        <v>42</v>
      </c>
      <c r="I1812" t="s">
        <v>43</v>
      </c>
      <c r="J1812" t="s">
        <v>3011</v>
      </c>
      <c r="K1812" t="s">
        <v>56</v>
      </c>
      <c r="M1812" t="s">
        <v>106</v>
      </c>
      <c r="P1812" t="s">
        <v>69</v>
      </c>
      <c r="Q1812" t="s">
        <v>47</v>
      </c>
      <c r="R1812" t="s">
        <v>48</v>
      </c>
      <c r="V1812" t="s">
        <v>49</v>
      </c>
      <c r="X1812" t="s">
        <v>49</v>
      </c>
      <c r="Y1812" t="s">
        <v>59</v>
      </c>
      <c r="Z1812" t="s">
        <v>3015</v>
      </c>
      <c r="AA1812" t="s">
        <v>3015</v>
      </c>
    </row>
    <row r="1813" spans="1:27" x14ac:dyDescent="0.35">
      <c r="A1813" t="str">
        <f t="shared" si="57"/>
        <v>1306F3</v>
      </c>
      <c r="B1813" t="str">
        <f t="shared" si="56"/>
        <v>1306</v>
      </c>
      <c r="C1813" t="s">
        <v>3016</v>
      </c>
      <c r="D1813" t="s">
        <v>5</v>
      </c>
      <c r="E1813" t="s">
        <v>40</v>
      </c>
      <c r="F1813" t="s">
        <v>73</v>
      </c>
      <c r="G1813" t="s">
        <v>757</v>
      </c>
      <c r="H1813" t="s">
        <v>42</v>
      </c>
      <c r="I1813" t="s">
        <v>67</v>
      </c>
      <c r="J1813" t="s">
        <v>3011</v>
      </c>
      <c r="M1813" t="s">
        <v>106</v>
      </c>
      <c r="P1813" t="s">
        <v>46</v>
      </c>
      <c r="Q1813" t="s">
        <v>47</v>
      </c>
      <c r="R1813" t="s">
        <v>48</v>
      </c>
      <c r="V1813" t="s">
        <v>49</v>
      </c>
      <c r="X1813" t="s">
        <v>49</v>
      </c>
      <c r="Y1813" t="s">
        <v>74</v>
      </c>
      <c r="Z1813" t="s">
        <v>133</v>
      </c>
      <c r="AA1813" t="s">
        <v>133</v>
      </c>
    </row>
    <row r="1814" spans="1:27" x14ac:dyDescent="0.35">
      <c r="A1814" t="str">
        <f t="shared" si="57"/>
        <v>1306C2</v>
      </c>
      <c r="B1814" t="str">
        <f t="shared" si="56"/>
        <v>1306</v>
      </c>
      <c r="C1814" t="s">
        <v>3017</v>
      </c>
      <c r="D1814" t="s">
        <v>1</v>
      </c>
      <c r="E1814" t="s">
        <v>65</v>
      </c>
      <c r="F1814" t="s">
        <v>66</v>
      </c>
      <c r="G1814" t="s">
        <v>757</v>
      </c>
      <c r="H1814" t="s">
        <v>42</v>
      </c>
      <c r="I1814" t="s">
        <v>67</v>
      </c>
      <c r="J1814" t="s">
        <v>3011</v>
      </c>
      <c r="M1814" t="s">
        <v>106</v>
      </c>
      <c r="P1814" t="s">
        <v>69</v>
      </c>
      <c r="Q1814" t="s">
        <v>47</v>
      </c>
      <c r="R1814" t="s">
        <v>48</v>
      </c>
      <c r="V1814" t="s">
        <v>49</v>
      </c>
      <c r="X1814" t="s">
        <v>49</v>
      </c>
      <c r="Y1814" t="s">
        <v>70</v>
      </c>
      <c r="Z1814" t="s">
        <v>3018</v>
      </c>
      <c r="AA1814" t="s">
        <v>3019</v>
      </c>
    </row>
    <row r="1815" spans="1:27" x14ac:dyDescent="0.35">
      <c r="A1815" t="str">
        <f t="shared" si="57"/>
        <v>1306D7</v>
      </c>
      <c r="B1815" t="str">
        <f t="shared" si="56"/>
        <v>1306</v>
      </c>
      <c r="C1815" t="s">
        <v>3020</v>
      </c>
      <c r="D1815" t="s">
        <v>6</v>
      </c>
      <c r="E1815" t="s">
        <v>94</v>
      </c>
      <c r="F1815" t="s">
        <v>111</v>
      </c>
      <c r="G1815" t="s">
        <v>757</v>
      </c>
      <c r="H1815" t="s">
        <v>42</v>
      </c>
      <c r="I1815" t="s">
        <v>43</v>
      </c>
      <c r="J1815" t="s">
        <v>3011</v>
      </c>
      <c r="M1815" t="s">
        <v>106</v>
      </c>
      <c r="P1815" t="s">
        <v>46</v>
      </c>
      <c r="Q1815" t="s">
        <v>47</v>
      </c>
      <c r="R1815" t="s">
        <v>48</v>
      </c>
      <c r="V1815" t="s">
        <v>49</v>
      </c>
      <c r="X1815" t="s">
        <v>49</v>
      </c>
      <c r="Y1815" t="s">
        <v>59</v>
      </c>
      <c r="Z1815" t="s">
        <v>3021</v>
      </c>
      <c r="AA1815" t="s">
        <v>3021</v>
      </c>
    </row>
    <row r="1816" spans="1:27" x14ac:dyDescent="0.35">
      <c r="A1816" t="str">
        <f t="shared" si="57"/>
        <v>312_F3</v>
      </c>
      <c r="B1816" t="str">
        <f t="shared" si="56"/>
        <v>312_</v>
      </c>
      <c r="C1816" t="s">
        <v>3022</v>
      </c>
      <c r="D1816" t="s">
        <v>5</v>
      </c>
      <c r="E1816" t="s">
        <v>40</v>
      </c>
      <c r="F1816" t="s">
        <v>73</v>
      </c>
      <c r="G1816" t="s">
        <v>757</v>
      </c>
      <c r="H1816" t="s">
        <v>42</v>
      </c>
      <c r="I1816" t="s">
        <v>67</v>
      </c>
      <c r="J1816" t="s">
        <v>3023</v>
      </c>
      <c r="M1816" t="s">
        <v>106</v>
      </c>
      <c r="P1816" t="s">
        <v>58</v>
      </c>
      <c r="Q1816" t="s">
        <v>47</v>
      </c>
      <c r="R1816" t="s">
        <v>48</v>
      </c>
      <c r="V1816" t="s">
        <v>49</v>
      </c>
      <c r="X1816" t="s">
        <v>49</v>
      </c>
      <c r="Y1816" t="s">
        <v>74</v>
      </c>
      <c r="Z1816" t="s">
        <v>3599</v>
      </c>
      <c r="AA1816" t="s">
        <v>3599</v>
      </c>
    </row>
    <row r="1817" spans="1:27" x14ac:dyDescent="0.35">
      <c r="A1817" t="str">
        <f t="shared" si="57"/>
        <v>312_F2</v>
      </c>
      <c r="B1817" t="str">
        <f t="shared" si="56"/>
        <v>312_</v>
      </c>
      <c r="C1817" t="s">
        <v>3024</v>
      </c>
      <c r="D1817" t="s">
        <v>4</v>
      </c>
      <c r="E1817" t="s">
        <v>77</v>
      </c>
      <c r="F1817" t="s">
        <v>78</v>
      </c>
      <c r="G1817" t="s">
        <v>757</v>
      </c>
      <c r="H1817" t="s">
        <v>42</v>
      </c>
      <c r="I1817" t="s">
        <v>67</v>
      </c>
      <c r="J1817" t="s">
        <v>3023</v>
      </c>
      <c r="M1817" t="s">
        <v>106</v>
      </c>
      <c r="P1817" t="s">
        <v>710</v>
      </c>
      <c r="Q1817" t="s">
        <v>47</v>
      </c>
      <c r="R1817" t="s">
        <v>48</v>
      </c>
      <c r="V1817" t="s">
        <v>49</v>
      </c>
      <c r="X1817" t="s">
        <v>49</v>
      </c>
      <c r="Y1817" t="s">
        <v>74</v>
      </c>
      <c r="Z1817" t="s">
        <v>3599</v>
      </c>
      <c r="AA1817" t="s">
        <v>3599</v>
      </c>
    </row>
    <row r="1818" spans="1:27" x14ac:dyDescent="0.35">
      <c r="A1818" t="str">
        <f t="shared" si="57"/>
        <v>312_C2</v>
      </c>
      <c r="B1818" t="str">
        <f t="shared" si="56"/>
        <v>312_</v>
      </c>
      <c r="C1818" t="s">
        <v>3025</v>
      </c>
      <c r="D1818" t="s">
        <v>1</v>
      </c>
      <c r="E1818" t="s">
        <v>65</v>
      </c>
      <c r="F1818" t="s">
        <v>66</v>
      </c>
      <c r="G1818" t="s">
        <v>757</v>
      </c>
      <c r="H1818" t="s">
        <v>42</v>
      </c>
      <c r="I1818" t="s">
        <v>67</v>
      </c>
      <c r="J1818" t="s">
        <v>3023</v>
      </c>
      <c r="M1818" t="s">
        <v>106</v>
      </c>
      <c r="P1818" t="s">
        <v>69</v>
      </c>
      <c r="Q1818" t="s">
        <v>47</v>
      </c>
      <c r="R1818" t="s">
        <v>48</v>
      </c>
      <c r="V1818" t="s">
        <v>49</v>
      </c>
      <c r="X1818" t="s">
        <v>49</v>
      </c>
      <c r="Y1818" t="s">
        <v>70</v>
      </c>
      <c r="Z1818" t="s">
        <v>3995</v>
      </c>
      <c r="AA1818" t="s">
        <v>3995</v>
      </c>
    </row>
    <row r="1819" spans="1:27" x14ac:dyDescent="0.35">
      <c r="A1819" t="str">
        <f t="shared" si="57"/>
        <v>312_D2</v>
      </c>
      <c r="B1819" t="str">
        <f t="shared" si="56"/>
        <v>312_</v>
      </c>
      <c r="C1819" t="s">
        <v>3026</v>
      </c>
      <c r="D1819" t="s">
        <v>2</v>
      </c>
      <c r="E1819" t="s">
        <v>62</v>
      </c>
      <c r="F1819" t="s">
        <v>63</v>
      </c>
      <c r="G1819" t="s">
        <v>757</v>
      </c>
      <c r="H1819" t="s">
        <v>42</v>
      </c>
      <c r="I1819" t="s">
        <v>67</v>
      </c>
      <c r="J1819" t="s">
        <v>3023</v>
      </c>
      <c r="K1819" t="s">
        <v>56</v>
      </c>
      <c r="M1819" t="s">
        <v>106</v>
      </c>
      <c r="P1819" t="s">
        <v>58</v>
      </c>
      <c r="Q1819" t="s">
        <v>47</v>
      </c>
      <c r="R1819" t="s">
        <v>48</v>
      </c>
      <c r="V1819" t="s">
        <v>49</v>
      </c>
      <c r="X1819" t="s">
        <v>49</v>
      </c>
      <c r="Y1819" t="s">
        <v>59</v>
      </c>
      <c r="Z1819" t="s">
        <v>3884</v>
      </c>
      <c r="AA1819" t="s">
        <v>3884</v>
      </c>
    </row>
    <row r="1820" spans="1:27" x14ac:dyDescent="0.35">
      <c r="A1820" t="str">
        <f t="shared" si="57"/>
        <v>312_D7</v>
      </c>
      <c r="B1820" t="str">
        <f t="shared" si="56"/>
        <v>312_</v>
      </c>
      <c r="C1820" t="s">
        <v>3027</v>
      </c>
      <c r="D1820" t="s">
        <v>6</v>
      </c>
      <c r="E1820" t="s">
        <v>94</v>
      </c>
      <c r="F1820" t="s">
        <v>111</v>
      </c>
      <c r="G1820" t="s">
        <v>757</v>
      </c>
      <c r="H1820" t="s">
        <v>42</v>
      </c>
      <c r="I1820" t="s">
        <v>67</v>
      </c>
      <c r="J1820" t="s">
        <v>3023</v>
      </c>
      <c r="M1820" t="s">
        <v>106</v>
      </c>
      <c r="P1820" t="s">
        <v>46</v>
      </c>
      <c r="Q1820" t="s">
        <v>47</v>
      </c>
      <c r="R1820" t="s">
        <v>48</v>
      </c>
      <c r="V1820" t="s">
        <v>49</v>
      </c>
      <c r="X1820" t="s">
        <v>49</v>
      </c>
      <c r="Y1820" t="s">
        <v>59</v>
      </c>
      <c r="Z1820" t="s">
        <v>3681</v>
      </c>
      <c r="AA1820" t="s">
        <v>3028</v>
      </c>
    </row>
    <row r="1821" spans="1:27" x14ac:dyDescent="0.35">
      <c r="A1821" t="str">
        <f t="shared" si="57"/>
        <v>312_D4</v>
      </c>
      <c r="B1821" t="str">
        <f t="shared" si="56"/>
        <v>312_</v>
      </c>
      <c r="C1821" t="s">
        <v>3029</v>
      </c>
      <c r="D1821" t="s">
        <v>3</v>
      </c>
      <c r="E1821" t="s">
        <v>52</v>
      </c>
      <c r="F1821" t="s">
        <v>53</v>
      </c>
      <c r="G1821" t="s">
        <v>757</v>
      </c>
      <c r="H1821" t="s">
        <v>42</v>
      </c>
      <c r="I1821" t="s">
        <v>67</v>
      </c>
      <c r="J1821" t="s">
        <v>3023</v>
      </c>
      <c r="K1821" t="s">
        <v>56</v>
      </c>
      <c r="M1821" t="s">
        <v>106</v>
      </c>
      <c r="P1821" t="s">
        <v>58</v>
      </c>
      <c r="Q1821" t="s">
        <v>47</v>
      </c>
      <c r="R1821" t="s">
        <v>48</v>
      </c>
      <c r="V1821" t="s">
        <v>49</v>
      </c>
      <c r="X1821" t="s">
        <v>49</v>
      </c>
      <c r="Y1821" t="s">
        <v>59</v>
      </c>
      <c r="Z1821" t="s">
        <v>3885</v>
      </c>
      <c r="AA1821" t="s">
        <v>3885</v>
      </c>
    </row>
    <row r="1822" spans="1:27" x14ac:dyDescent="0.35">
      <c r="A1822" t="str">
        <f t="shared" si="57"/>
        <v>1305F2</v>
      </c>
      <c r="B1822" t="str">
        <f t="shared" si="56"/>
        <v>1305</v>
      </c>
      <c r="C1822" t="s">
        <v>3030</v>
      </c>
      <c r="D1822" t="s">
        <v>4</v>
      </c>
      <c r="E1822" t="s">
        <v>77</v>
      </c>
      <c r="F1822" t="s">
        <v>78</v>
      </c>
      <c r="G1822" t="s">
        <v>757</v>
      </c>
      <c r="H1822" t="s">
        <v>42</v>
      </c>
      <c r="I1822" t="s">
        <v>67</v>
      </c>
      <c r="J1822" t="s">
        <v>3031</v>
      </c>
      <c r="M1822" t="s">
        <v>106</v>
      </c>
      <c r="P1822" t="s">
        <v>178</v>
      </c>
      <c r="Q1822" t="s">
        <v>47</v>
      </c>
      <c r="R1822" t="s">
        <v>48</v>
      </c>
      <c r="V1822" t="s">
        <v>49</v>
      </c>
      <c r="X1822" t="s">
        <v>49</v>
      </c>
      <c r="Y1822" t="s">
        <v>74</v>
      </c>
      <c r="Z1822" t="s">
        <v>3032</v>
      </c>
      <c r="AA1822" t="s">
        <v>3032</v>
      </c>
    </row>
    <row r="1823" spans="1:27" x14ac:dyDescent="0.35">
      <c r="A1823" t="str">
        <f t="shared" si="57"/>
        <v>1305D4</v>
      </c>
      <c r="B1823" t="str">
        <f t="shared" si="56"/>
        <v>1305</v>
      </c>
      <c r="C1823" t="s">
        <v>3033</v>
      </c>
      <c r="D1823" t="s">
        <v>3</v>
      </c>
      <c r="E1823" t="s">
        <v>52</v>
      </c>
      <c r="F1823" t="s">
        <v>53</v>
      </c>
      <c r="G1823" t="s">
        <v>757</v>
      </c>
      <c r="H1823" t="s">
        <v>42</v>
      </c>
      <c r="I1823" t="s">
        <v>43</v>
      </c>
      <c r="J1823" t="s">
        <v>3031</v>
      </c>
      <c r="K1823" t="s">
        <v>56</v>
      </c>
      <c r="M1823" t="s">
        <v>106</v>
      </c>
      <c r="P1823" t="s">
        <v>58</v>
      </c>
      <c r="Q1823" t="s">
        <v>47</v>
      </c>
      <c r="R1823" t="s">
        <v>48</v>
      </c>
      <c r="V1823" t="s">
        <v>49</v>
      </c>
      <c r="X1823" t="s">
        <v>49</v>
      </c>
      <c r="Y1823" t="s">
        <v>59</v>
      </c>
      <c r="Z1823" t="s">
        <v>3013</v>
      </c>
      <c r="AA1823" t="s">
        <v>3013</v>
      </c>
    </row>
    <row r="1824" spans="1:27" x14ac:dyDescent="0.35">
      <c r="A1824" t="str">
        <f t="shared" si="57"/>
        <v>1305D2</v>
      </c>
      <c r="B1824" t="str">
        <f t="shared" si="56"/>
        <v>1305</v>
      </c>
      <c r="C1824" t="s">
        <v>3034</v>
      </c>
      <c r="D1824" t="s">
        <v>2</v>
      </c>
      <c r="E1824" t="s">
        <v>62</v>
      </c>
      <c r="F1824" t="s">
        <v>63</v>
      </c>
      <c r="G1824" t="s">
        <v>757</v>
      </c>
      <c r="H1824" t="s">
        <v>42</v>
      </c>
      <c r="I1824" t="s">
        <v>43</v>
      </c>
      <c r="J1824" t="s">
        <v>3031</v>
      </c>
      <c r="K1824" t="s">
        <v>56</v>
      </c>
      <c r="M1824" t="s">
        <v>106</v>
      </c>
      <c r="P1824" t="s">
        <v>58</v>
      </c>
      <c r="Q1824" t="s">
        <v>47</v>
      </c>
      <c r="R1824" t="s">
        <v>48</v>
      </c>
      <c r="V1824" t="s">
        <v>49</v>
      </c>
      <c r="X1824" t="s">
        <v>49</v>
      </c>
      <c r="Y1824" t="s">
        <v>59</v>
      </c>
      <c r="Z1824" t="s">
        <v>2106</v>
      </c>
      <c r="AA1824" t="s">
        <v>2106</v>
      </c>
    </row>
    <row r="1825" spans="1:27" x14ac:dyDescent="0.35">
      <c r="A1825" t="str">
        <f t="shared" si="57"/>
        <v>1305F3</v>
      </c>
      <c r="B1825" t="str">
        <f t="shared" si="56"/>
        <v>1305</v>
      </c>
      <c r="C1825" t="s">
        <v>3035</v>
      </c>
      <c r="D1825" t="s">
        <v>5</v>
      </c>
      <c r="E1825" t="s">
        <v>40</v>
      </c>
      <c r="F1825" t="s">
        <v>73</v>
      </c>
      <c r="G1825" t="s">
        <v>757</v>
      </c>
      <c r="H1825" t="s">
        <v>42</v>
      </c>
      <c r="I1825" t="s">
        <v>67</v>
      </c>
      <c r="J1825" t="s">
        <v>3031</v>
      </c>
      <c r="M1825" t="s">
        <v>106</v>
      </c>
      <c r="P1825" t="s">
        <v>46</v>
      </c>
      <c r="Q1825" t="s">
        <v>47</v>
      </c>
      <c r="R1825" t="s">
        <v>48</v>
      </c>
      <c r="V1825" t="s">
        <v>49</v>
      </c>
      <c r="X1825" t="s">
        <v>49</v>
      </c>
      <c r="Y1825" t="s">
        <v>74</v>
      </c>
      <c r="Z1825" t="s">
        <v>133</v>
      </c>
      <c r="AA1825" t="s">
        <v>133</v>
      </c>
    </row>
    <row r="1826" spans="1:27" x14ac:dyDescent="0.35">
      <c r="A1826" t="str">
        <f t="shared" si="57"/>
        <v>1305C2</v>
      </c>
      <c r="B1826" t="str">
        <f t="shared" si="56"/>
        <v>1305</v>
      </c>
      <c r="C1826" t="s">
        <v>3036</v>
      </c>
      <c r="D1826" t="s">
        <v>1</v>
      </c>
      <c r="E1826" t="s">
        <v>65</v>
      </c>
      <c r="F1826" t="s">
        <v>66</v>
      </c>
      <c r="G1826" t="s">
        <v>757</v>
      </c>
      <c r="H1826" t="s">
        <v>42</v>
      </c>
      <c r="I1826" t="s">
        <v>67</v>
      </c>
      <c r="J1826" t="s">
        <v>3031</v>
      </c>
      <c r="M1826" t="s">
        <v>106</v>
      </c>
      <c r="P1826" t="s">
        <v>69</v>
      </c>
      <c r="Q1826" t="s">
        <v>47</v>
      </c>
      <c r="R1826" t="s">
        <v>48</v>
      </c>
      <c r="V1826" t="s">
        <v>49</v>
      </c>
      <c r="X1826" t="s">
        <v>49</v>
      </c>
      <c r="Y1826" t="s">
        <v>70</v>
      </c>
      <c r="Z1826" t="s">
        <v>3037</v>
      </c>
      <c r="AA1826" t="s">
        <v>3037</v>
      </c>
    </row>
    <row r="1827" spans="1:27" x14ac:dyDescent="0.35">
      <c r="A1827" t="str">
        <f t="shared" si="57"/>
        <v>1305D7</v>
      </c>
      <c r="B1827" t="str">
        <f t="shared" si="56"/>
        <v>1305</v>
      </c>
      <c r="C1827" t="s">
        <v>3038</v>
      </c>
      <c r="D1827" t="s">
        <v>6</v>
      </c>
      <c r="E1827" t="s">
        <v>94</v>
      </c>
      <c r="F1827" t="s">
        <v>111</v>
      </c>
      <c r="G1827" t="s">
        <v>757</v>
      </c>
      <c r="H1827" t="s">
        <v>42</v>
      </c>
      <c r="I1827" t="s">
        <v>43</v>
      </c>
      <c r="J1827" t="s">
        <v>3031</v>
      </c>
      <c r="M1827" t="s">
        <v>106</v>
      </c>
      <c r="P1827" t="s">
        <v>46</v>
      </c>
      <c r="Q1827" t="s">
        <v>47</v>
      </c>
      <c r="R1827" t="s">
        <v>48</v>
      </c>
      <c r="V1827" t="s">
        <v>49</v>
      </c>
      <c r="X1827" t="s">
        <v>49</v>
      </c>
      <c r="Y1827" t="s">
        <v>59</v>
      </c>
      <c r="Z1827" t="s">
        <v>3021</v>
      </c>
      <c r="AA1827" t="s">
        <v>3021</v>
      </c>
    </row>
    <row r="1828" spans="1:27" x14ac:dyDescent="0.35">
      <c r="A1828" t="str">
        <f t="shared" si="57"/>
        <v>311_F3</v>
      </c>
      <c r="B1828" t="str">
        <f t="shared" si="56"/>
        <v>311_</v>
      </c>
      <c r="C1828" t="s">
        <v>3039</v>
      </c>
      <c r="D1828" t="s">
        <v>5</v>
      </c>
      <c r="E1828" t="s">
        <v>40</v>
      </c>
      <c r="F1828" t="s">
        <v>73</v>
      </c>
      <c r="G1828" t="s">
        <v>757</v>
      </c>
      <c r="H1828" t="s">
        <v>42</v>
      </c>
      <c r="I1828" t="s">
        <v>67</v>
      </c>
      <c r="J1828" t="s">
        <v>3040</v>
      </c>
      <c r="M1828" t="s">
        <v>106</v>
      </c>
      <c r="P1828" t="s">
        <v>58</v>
      </c>
      <c r="Q1828" t="s">
        <v>47</v>
      </c>
      <c r="R1828" t="s">
        <v>48</v>
      </c>
      <c r="V1828" t="s">
        <v>49</v>
      </c>
      <c r="X1828" t="s">
        <v>49</v>
      </c>
      <c r="Y1828" t="s">
        <v>74</v>
      </c>
      <c r="Z1828" t="s">
        <v>3599</v>
      </c>
      <c r="AA1828" t="s">
        <v>3599</v>
      </c>
    </row>
    <row r="1829" spans="1:27" x14ac:dyDescent="0.35">
      <c r="A1829" t="str">
        <f t="shared" si="57"/>
        <v>311_F2</v>
      </c>
      <c r="B1829" t="str">
        <f t="shared" si="56"/>
        <v>311_</v>
      </c>
      <c r="C1829" t="s">
        <v>3041</v>
      </c>
      <c r="D1829" t="s">
        <v>4</v>
      </c>
      <c r="E1829" t="s">
        <v>77</v>
      </c>
      <c r="F1829" t="s">
        <v>78</v>
      </c>
      <c r="G1829" t="s">
        <v>757</v>
      </c>
      <c r="H1829" t="s">
        <v>42</v>
      </c>
      <c r="I1829" t="s">
        <v>67</v>
      </c>
      <c r="J1829" t="s">
        <v>3040</v>
      </c>
      <c r="M1829" t="s">
        <v>106</v>
      </c>
      <c r="P1829" t="s">
        <v>710</v>
      </c>
      <c r="Q1829" t="s">
        <v>47</v>
      </c>
      <c r="R1829" t="s">
        <v>48</v>
      </c>
      <c r="V1829" t="s">
        <v>49</v>
      </c>
      <c r="X1829" t="s">
        <v>49</v>
      </c>
      <c r="Y1829" t="s">
        <v>74</v>
      </c>
      <c r="Z1829" t="s">
        <v>3599</v>
      </c>
      <c r="AA1829" t="s">
        <v>3599</v>
      </c>
    </row>
    <row r="1830" spans="1:27" x14ac:dyDescent="0.35">
      <c r="A1830" t="str">
        <f t="shared" si="57"/>
        <v>311_C2</v>
      </c>
      <c r="B1830" t="str">
        <f t="shared" si="56"/>
        <v>311_</v>
      </c>
      <c r="C1830" t="s">
        <v>3042</v>
      </c>
      <c r="D1830" t="s">
        <v>1</v>
      </c>
      <c r="E1830" t="s">
        <v>65</v>
      </c>
      <c r="F1830" t="s">
        <v>66</v>
      </c>
      <c r="G1830" t="s">
        <v>757</v>
      </c>
      <c r="H1830" t="s">
        <v>42</v>
      </c>
      <c r="I1830" t="s">
        <v>67</v>
      </c>
      <c r="J1830" t="s">
        <v>3040</v>
      </c>
      <c r="M1830" t="s">
        <v>106</v>
      </c>
      <c r="P1830" t="s">
        <v>69</v>
      </c>
      <c r="Q1830" t="s">
        <v>47</v>
      </c>
      <c r="R1830" t="s">
        <v>48</v>
      </c>
      <c r="V1830" t="s">
        <v>49</v>
      </c>
      <c r="X1830" t="s">
        <v>49</v>
      </c>
      <c r="Y1830" t="s">
        <v>70</v>
      </c>
      <c r="Z1830" t="s">
        <v>3959</v>
      </c>
      <c r="AA1830" t="s">
        <v>3959</v>
      </c>
    </row>
    <row r="1831" spans="1:27" x14ac:dyDescent="0.35">
      <c r="A1831" t="str">
        <f t="shared" si="57"/>
        <v>311_D2</v>
      </c>
      <c r="B1831" t="str">
        <f t="shared" si="56"/>
        <v>311_</v>
      </c>
      <c r="C1831" t="s">
        <v>3043</v>
      </c>
      <c r="D1831" t="s">
        <v>2</v>
      </c>
      <c r="E1831" t="s">
        <v>62</v>
      </c>
      <c r="F1831" t="s">
        <v>63</v>
      </c>
      <c r="G1831" t="s">
        <v>757</v>
      </c>
      <c r="H1831" t="s">
        <v>42</v>
      </c>
      <c r="I1831" t="s">
        <v>67</v>
      </c>
      <c r="J1831" t="s">
        <v>3040</v>
      </c>
      <c r="K1831" t="s">
        <v>56</v>
      </c>
      <c r="M1831" t="s">
        <v>106</v>
      </c>
      <c r="P1831" t="s">
        <v>58</v>
      </c>
      <c r="Q1831" t="s">
        <v>47</v>
      </c>
      <c r="R1831" t="s">
        <v>48</v>
      </c>
      <c r="V1831" t="s">
        <v>49</v>
      </c>
      <c r="X1831" t="s">
        <v>49</v>
      </c>
      <c r="Y1831" t="s">
        <v>59</v>
      </c>
      <c r="Z1831" t="s">
        <v>3886</v>
      </c>
      <c r="AA1831" t="s">
        <v>3886</v>
      </c>
    </row>
    <row r="1832" spans="1:27" x14ac:dyDescent="0.35">
      <c r="A1832" t="str">
        <f t="shared" si="57"/>
        <v>311_D7</v>
      </c>
      <c r="B1832" t="str">
        <f t="shared" si="56"/>
        <v>311_</v>
      </c>
      <c r="C1832" t="s">
        <v>3044</v>
      </c>
      <c r="D1832" t="s">
        <v>6</v>
      </c>
      <c r="E1832" t="s">
        <v>94</v>
      </c>
      <c r="F1832" t="s">
        <v>111</v>
      </c>
      <c r="G1832" t="s">
        <v>757</v>
      </c>
      <c r="H1832" t="s">
        <v>42</v>
      </c>
      <c r="I1832" t="s">
        <v>67</v>
      </c>
      <c r="J1832" t="s">
        <v>3040</v>
      </c>
      <c r="M1832" t="s">
        <v>106</v>
      </c>
      <c r="P1832" t="s">
        <v>46</v>
      </c>
      <c r="Q1832" t="s">
        <v>47</v>
      </c>
      <c r="R1832" t="s">
        <v>48</v>
      </c>
      <c r="V1832" t="s">
        <v>49</v>
      </c>
      <c r="X1832" t="s">
        <v>49</v>
      </c>
      <c r="Y1832" t="s">
        <v>59</v>
      </c>
      <c r="Z1832" t="s">
        <v>3045</v>
      </c>
      <c r="AA1832" t="s">
        <v>3045</v>
      </c>
    </row>
    <row r="1833" spans="1:27" x14ac:dyDescent="0.35">
      <c r="A1833" t="str">
        <f t="shared" si="57"/>
        <v>311_D4</v>
      </c>
      <c r="B1833" t="str">
        <f t="shared" si="56"/>
        <v>311_</v>
      </c>
      <c r="C1833" t="s">
        <v>3046</v>
      </c>
      <c r="D1833" t="s">
        <v>3</v>
      </c>
      <c r="E1833" t="s">
        <v>52</v>
      </c>
      <c r="F1833" t="s">
        <v>53</v>
      </c>
      <c r="G1833" t="s">
        <v>757</v>
      </c>
      <c r="H1833" t="s">
        <v>42</v>
      </c>
      <c r="I1833" t="s">
        <v>67</v>
      </c>
      <c r="J1833" t="s">
        <v>3040</v>
      </c>
      <c r="K1833" t="s">
        <v>56</v>
      </c>
      <c r="M1833" t="s">
        <v>106</v>
      </c>
      <c r="P1833" t="s">
        <v>58</v>
      </c>
      <c r="Q1833" t="s">
        <v>47</v>
      </c>
      <c r="R1833" t="s">
        <v>48</v>
      </c>
      <c r="V1833" t="s">
        <v>49</v>
      </c>
      <c r="X1833" t="s">
        <v>49</v>
      </c>
      <c r="Y1833" t="s">
        <v>59</v>
      </c>
      <c r="Z1833" t="s">
        <v>3886</v>
      </c>
      <c r="AA1833" t="s">
        <v>3886</v>
      </c>
    </row>
    <row r="1834" spans="1:27" x14ac:dyDescent="0.35">
      <c r="A1834" t="str">
        <f t="shared" si="57"/>
        <v>1304F2</v>
      </c>
      <c r="B1834" t="str">
        <f t="shared" si="56"/>
        <v>1304</v>
      </c>
      <c r="C1834" t="s">
        <v>3047</v>
      </c>
      <c r="D1834" t="s">
        <v>4</v>
      </c>
      <c r="E1834" t="s">
        <v>77</v>
      </c>
      <c r="F1834" t="s">
        <v>78</v>
      </c>
      <c r="G1834" t="s">
        <v>757</v>
      </c>
      <c r="H1834" t="s">
        <v>42</v>
      </c>
      <c r="I1834" t="s">
        <v>67</v>
      </c>
      <c r="J1834" t="s">
        <v>3048</v>
      </c>
      <c r="M1834" t="s">
        <v>106</v>
      </c>
      <c r="P1834" t="s">
        <v>138</v>
      </c>
      <c r="Q1834" t="s">
        <v>47</v>
      </c>
      <c r="R1834" t="s">
        <v>48</v>
      </c>
      <c r="V1834" t="s">
        <v>49</v>
      </c>
      <c r="X1834" t="s">
        <v>49</v>
      </c>
      <c r="Y1834" t="s">
        <v>74</v>
      </c>
      <c r="Z1834" t="s">
        <v>3032</v>
      </c>
      <c r="AA1834" t="s">
        <v>3032</v>
      </c>
    </row>
    <row r="1835" spans="1:27" x14ac:dyDescent="0.35">
      <c r="A1835" t="str">
        <f t="shared" si="57"/>
        <v>1304D4</v>
      </c>
      <c r="B1835" t="str">
        <f t="shared" si="56"/>
        <v>1304</v>
      </c>
      <c r="C1835" t="s">
        <v>3049</v>
      </c>
      <c r="D1835" t="s">
        <v>3</v>
      </c>
      <c r="E1835" t="s">
        <v>52</v>
      </c>
      <c r="F1835" t="s">
        <v>53</v>
      </c>
      <c r="G1835" t="s">
        <v>757</v>
      </c>
      <c r="H1835" t="s">
        <v>42</v>
      </c>
      <c r="I1835" t="s">
        <v>43</v>
      </c>
      <c r="J1835" t="s">
        <v>3048</v>
      </c>
      <c r="K1835" t="s">
        <v>56</v>
      </c>
      <c r="M1835" t="s">
        <v>106</v>
      </c>
      <c r="P1835" t="s">
        <v>58</v>
      </c>
      <c r="Q1835" t="s">
        <v>47</v>
      </c>
      <c r="R1835" t="s">
        <v>48</v>
      </c>
      <c r="V1835" t="s">
        <v>49</v>
      </c>
      <c r="X1835" t="s">
        <v>49</v>
      </c>
      <c r="Y1835" t="s">
        <v>59</v>
      </c>
      <c r="Z1835" t="s">
        <v>3013</v>
      </c>
      <c r="AA1835" t="s">
        <v>3013</v>
      </c>
    </row>
    <row r="1836" spans="1:27" x14ac:dyDescent="0.35">
      <c r="A1836" t="str">
        <f t="shared" si="57"/>
        <v>1304D2</v>
      </c>
      <c r="B1836" t="str">
        <f t="shared" si="56"/>
        <v>1304</v>
      </c>
      <c r="C1836" t="s">
        <v>3050</v>
      </c>
      <c r="D1836" t="s">
        <v>2</v>
      </c>
      <c r="E1836" t="s">
        <v>62</v>
      </c>
      <c r="F1836" t="s">
        <v>63</v>
      </c>
      <c r="G1836" t="s">
        <v>757</v>
      </c>
      <c r="H1836" t="s">
        <v>42</v>
      </c>
      <c r="I1836" t="s">
        <v>43</v>
      </c>
      <c r="J1836" t="s">
        <v>3048</v>
      </c>
      <c r="K1836" t="s">
        <v>56</v>
      </c>
      <c r="M1836" t="s">
        <v>106</v>
      </c>
      <c r="P1836" t="s">
        <v>69</v>
      </c>
      <c r="Q1836" t="s">
        <v>47</v>
      </c>
      <c r="R1836" t="s">
        <v>48</v>
      </c>
      <c r="V1836" t="s">
        <v>49</v>
      </c>
      <c r="X1836" t="s">
        <v>49</v>
      </c>
      <c r="Y1836" t="s">
        <v>59</v>
      </c>
      <c r="Z1836" t="s">
        <v>3051</v>
      </c>
      <c r="AA1836" t="s">
        <v>3051</v>
      </c>
    </row>
    <row r="1837" spans="1:27" x14ac:dyDescent="0.35">
      <c r="A1837" t="str">
        <f t="shared" si="57"/>
        <v>1304F3</v>
      </c>
      <c r="B1837" t="str">
        <f t="shared" si="56"/>
        <v>1304</v>
      </c>
      <c r="C1837" t="s">
        <v>3052</v>
      </c>
      <c r="D1837" t="s">
        <v>5</v>
      </c>
      <c r="E1837" t="s">
        <v>40</v>
      </c>
      <c r="F1837" t="s">
        <v>73</v>
      </c>
      <c r="G1837" t="s">
        <v>757</v>
      </c>
      <c r="H1837" t="s">
        <v>42</v>
      </c>
      <c r="I1837" t="s">
        <v>67</v>
      </c>
      <c r="J1837" t="s">
        <v>3048</v>
      </c>
      <c r="M1837" t="s">
        <v>106</v>
      </c>
      <c r="P1837" t="s">
        <v>46</v>
      </c>
      <c r="Q1837" t="s">
        <v>47</v>
      </c>
      <c r="R1837" t="s">
        <v>48</v>
      </c>
      <c r="V1837" t="s">
        <v>49</v>
      </c>
      <c r="X1837" t="s">
        <v>49</v>
      </c>
      <c r="Y1837" t="s">
        <v>74</v>
      </c>
      <c r="Z1837" t="s">
        <v>3053</v>
      </c>
      <c r="AA1837" t="s">
        <v>3053</v>
      </c>
    </row>
    <row r="1838" spans="1:27" x14ac:dyDescent="0.35">
      <c r="A1838" t="str">
        <f t="shared" si="57"/>
        <v>1304C2</v>
      </c>
      <c r="B1838" t="str">
        <f t="shared" si="56"/>
        <v>1304</v>
      </c>
      <c r="C1838" t="s">
        <v>3054</v>
      </c>
      <c r="D1838" t="s">
        <v>1</v>
      </c>
      <c r="E1838" t="s">
        <v>65</v>
      </c>
      <c r="F1838" t="s">
        <v>66</v>
      </c>
      <c r="G1838" t="s">
        <v>757</v>
      </c>
      <c r="H1838" t="s">
        <v>42</v>
      </c>
      <c r="I1838" t="s">
        <v>67</v>
      </c>
      <c r="J1838" t="s">
        <v>3048</v>
      </c>
      <c r="M1838" t="s">
        <v>106</v>
      </c>
      <c r="P1838" t="s">
        <v>69</v>
      </c>
      <c r="Q1838" t="s">
        <v>47</v>
      </c>
      <c r="R1838" t="s">
        <v>48</v>
      </c>
      <c r="V1838" t="s">
        <v>49</v>
      </c>
      <c r="X1838" t="s">
        <v>49</v>
      </c>
      <c r="Y1838" t="s">
        <v>70</v>
      </c>
      <c r="Z1838" t="s">
        <v>2928</v>
      </c>
      <c r="AA1838" t="s">
        <v>2928</v>
      </c>
    </row>
    <row r="1839" spans="1:27" x14ac:dyDescent="0.35">
      <c r="A1839" t="str">
        <f t="shared" si="57"/>
        <v>1304D7</v>
      </c>
      <c r="B1839" t="str">
        <f t="shared" si="56"/>
        <v>1304</v>
      </c>
      <c r="C1839" t="s">
        <v>3055</v>
      </c>
      <c r="D1839" t="s">
        <v>6</v>
      </c>
      <c r="E1839" t="s">
        <v>94</v>
      </c>
      <c r="F1839" t="s">
        <v>111</v>
      </c>
      <c r="G1839" t="s">
        <v>757</v>
      </c>
      <c r="H1839" t="s">
        <v>42</v>
      </c>
      <c r="I1839" t="s">
        <v>43</v>
      </c>
      <c r="J1839" t="s">
        <v>3048</v>
      </c>
      <c r="M1839" t="s">
        <v>106</v>
      </c>
      <c r="P1839" t="s">
        <v>46</v>
      </c>
      <c r="Q1839" t="s">
        <v>47</v>
      </c>
      <c r="R1839" t="s">
        <v>48</v>
      </c>
      <c r="V1839" t="s">
        <v>49</v>
      </c>
      <c r="X1839" t="s">
        <v>49</v>
      </c>
      <c r="Y1839" t="s">
        <v>59</v>
      </c>
      <c r="Z1839" t="s">
        <v>3056</v>
      </c>
      <c r="AA1839" t="s">
        <v>3056</v>
      </c>
    </row>
    <row r="1840" spans="1:27" x14ac:dyDescent="0.35">
      <c r="A1840" t="str">
        <f t="shared" si="57"/>
        <v>310_F3</v>
      </c>
      <c r="B1840" t="str">
        <f t="shared" si="56"/>
        <v>310_</v>
      </c>
      <c r="C1840" t="s">
        <v>3057</v>
      </c>
      <c r="D1840" t="s">
        <v>5</v>
      </c>
      <c r="E1840" t="s">
        <v>40</v>
      </c>
      <c r="F1840" t="s">
        <v>73</v>
      </c>
      <c r="G1840" t="s">
        <v>757</v>
      </c>
      <c r="H1840" t="s">
        <v>42</v>
      </c>
      <c r="I1840" t="s">
        <v>67</v>
      </c>
      <c r="J1840" t="s">
        <v>3058</v>
      </c>
      <c r="M1840" t="s">
        <v>106</v>
      </c>
      <c r="P1840" t="s">
        <v>58</v>
      </c>
      <c r="Q1840" t="s">
        <v>47</v>
      </c>
      <c r="R1840" t="s">
        <v>48</v>
      </c>
      <c r="V1840" t="s">
        <v>49</v>
      </c>
      <c r="X1840" t="s">
        <v>49</v>
      </c>
      <c r="Y1840" t="s">
        <v>74</v>
      </c>
      <c r="Z1840" t="s">
        <v>3601</v>
      </c>
      <c r="AA1840" t="s">
        <v>3601</v>
      </c>
    </row>
    <row r="1841" spans="1:27" x14ac:dyDescent="0.35">
      <c r="A1841" t="str">
        <f t="shared" si="57"/>
        <v>310_F2</v>
      </c>
      <c r="B1841" t="str">
        <f t="shared" si="56"/>
        <v>310_</v>
      </c>
      <c r="C1841" t="s">
        <v>3059</v>
      </c>
      <c r="D1841" t="s">
        <v>4</v>
      </c>
      <c r="E1841" t="s">
        <v>77</v>
      </c>
      <c r="F1841" t="s">
        <v>78</v>
      </c>
      <c r="G1841" t="s">
        <v>757</v>
      </c>
      <c r="H1841" t="s">
        <v>42</v>
      </c>
      <c r="I1841" t="s">
        <v>67</v>
      </c>
      <c r="J1841" t="s">
        <v>3058</v>
      </c>
      <c r="M1841" t="s">
        <v>106</v>
      </c>
      <c r="P1841" t="s">
        <v>710</v>
      </c>
      <c r="Q1841" t="s">
        <v>47</v>
      </c>
      <c r="R1841" t="s">
        <v>48</v>
      </c>
      <c r="V1841" t="s">
        <v>49</v>
      </c>
      <c r="X1841" t="s">
        <v>49</v>
      </c>
      <c r="Y1841" t="s">
        <v>74</v>
      </c>
      <c r="Z1841" t="s">
        <v>3601</v>
      </c>
      <c r="AA1841" t="s">
        <v>3601</v>
      </c>
    </row>
    <row r="1842" spans="1:27" x14ac:dyDescent="0.35">
      <c r="A1842" t="str">
        <f t="shared" si="57"/>
        <v>310_C2</v>
      </c>
      <c r="B1842" t="str">
        <f t="shared" si="56"/>
        <v>310_</v>
      </c>
      <c r="C1842" t="s">
        <v>3060</v>
      </c>
      <c r="D1842" t="s">
        <v>1</v>
      </c>
      <c r="E1842" t="s">
        <v>65</v>
      </c>
      <c r="F1842" t="s">
        <v>66</v>
      </c>
      <c r="G1842" t="s">
        <v>757</v>
      </c>
      <c r="H1842" t="s">
        <v>42</v>
      </c>
      <c r="I1842" t="s">
        <v>67</v>
      </c>
      <c r="J1842" t="s">
        <v>3058</v>
      </c>
      <c r="M1842" t="s">
        <v>106</v>
      </c>
      <c r="P1842" t="s">
        <v>69</v>
      </c>
      <c r="Q1842" t="s">
        <v>47</v>
      </c>
      <c r="R1842" t="s">
        <v>48</v>
      </c>
      <c r="V1842" t="s">
        <v>49</v>
      </c>
      <c r="X1842" t="s">
        <v>49</v>
      </c>
      <c r="Y1842" t="s">
        <v>70</v>
      </c>
      <c r="Z1842" t="s">
        <v>3995</v>
      </c>
      <c r="AA1842" t="s">
        <v>3995</v>
      </c>
    </row>
    <row r="1843" spans="1:27" x14ac:dyDescent="0.35">
      <c r="A1843" t="str">
        <f t="shared" si="57"/>
        <v>310_D2</v>
      </c>
      <c r="B1843" t="str">
        <f t="shared" si="56"/>
        <v>310_</v>
      </c>
      <c r="C1843" t="s">
        <v>3061</v>
      </c>
      <c r="D1843" t="s">
        <v>2</v>
      </c>
      <c r="E1843" t="s">
        <v>62</v>
      </c>
      <c r="F1843" t="s">
        <v>63</v>
      </c>
      <c r="G1843" t="s">
        <v>757</v>
      </c>
      <c r="H1843" t="s">
        <v>42</v>
      </c>
      <c r="I1843" t="s">
        <v>67</v>
      </c>
      <c r="J1843" t="s">
        <v>3058</v>
      </c>
      <c r="K1843" t="s">
        <v>56</v>
      </c>
      <c r="M1843" t="s">
        <v>106</v>
      </c>
      <c r="P1843" t="s">
        <v>58</v>
      </c>
      <c r="Q1843" t="s">
        <v>47</v>
      </c>
      <c r="R1843" t="s">
        <v>48</v>
      </c>
      <c r="V1843" t="s">
        <v>49</v>
      </c>
      <c r="X1843" t="s">
        <v>49</v>
      </c>
      <c r="Y1843" t="s">
        <v>59</v>
      </c>
      <c r="Z1843" t="s">
        <v>3887</v>
      </c>
      <c r="AA1843" t="s">
        <v>3887</v>
      </c>
    </row>
    <row r="1844" spans="1:27" x14ac:dyDescent="0.35">
      <c r="A1844" t="str">
        <f t="shared" si="57"/>
        <v>310_D7</v>
      </c>
      <c r="B1844" t="str">
        <f t="shared" si="56"/>
        <v>310_</v>
      </c>
      <c r="C1844" t="s">
        <v>3062</v>
      </c>
      <c r="D1844" t="s">
        <v>6</v>
      </c>
      <c r="E1844" t="s">
        <v>94</v>
      </c>
      <c r="F1844" t="s">
        <v>111</v>
      </c>
      <c r="G1844" t="s">
        <v>757</v>
      </c>
      <c r="H1844" t="s">
        <v>42</v>
      </c>
      <c r="I1844" t="s">
        <v>67</v>
      </c>
      <c r="J1844" t="s">
        <v>3058</v>
      </c>
      <c r="M1844" t="s">
        <v>106</v>
      </c>
      <c r="P1844" t="s">
        <v>46</v>
      </c>
      <c r="Q1844" t="s">
        <v>47</v>
      </c>
      <c r="R1844" t="s">
        <v>48</v>
      </c>
      <c r="V1844" t="s">
        <v>49</v>
      </c>
      <c r="X1844" t="s">
        <v>49</v>
      </c>
      <c r="Y1844" t="s">
        <v>59</v>
      </c>
      <c r="Z1844" t="s">
        <v>3045</v>
      </c>
      <c r="AA1844" t="s">
        <v>3045</v>
      </c>
    </row>
    <row r="1845" spans="1:27" x14ac:dyDescent="0.35">
      <c r="A1845" t="str">
        <f t="shared" si="57"/>
        <v>310_D4</v>
      </c>
      <c r="B1845" t="str">
        <f t="shared" si="56"/>
        <v>310_</v>
      </c>
      <c r="C1845" t="s">
        <v>3063</v>
      </c>
      <c r="D1845" t="s">
        <v>3</v>
      </c>
      <c r="E1845" t="s">
        <v>52</v>
      </c>
      <c r="F1845" t="s">
        <v>53</v>
      </c>
      <c r="G1845" t="s">
        <v>757</v>
      </c>
      <c r="H1845" t="s">
        <v>42</v>
      </c>
      <c r="I1845" t="s">
        <v>67</v>
      </c>
      <c r="J1845" t="s">
        <v>3058</v>
      </c>
      <c r="K1845" t="s">
        <v>56</v>
      </c>
      <c r="M1845" t="s">
        <v>106</v>
      </c>
      <c r="P1845" t="s">
        <v>58</v>
      </c>
      <c r="Q1845" t="s">
        <v>47</v>
      </c>
      <c r="R1845" t="s">
        <v>48</v>
      </c>
      <c r="V1845" t="s">
        <v>49</v>
      </c>
      <c r="X1845" t="s">
        <v>49</v>
      </c>
      <c r="Y1845" t="s">
        <v>59</v>
      </c>
      <c r="Z1845" t="s">
        <v>3887</v>
      </c>
      <c r="AA1845" t="s">
        <v>3887</v>
      </c>
    </row>
    <row r="1846" spans="1:27" x14ac:dyDescent="0.35">
      <c r="A1846" t="str">
        <f t="shared" si="57"/>
        <v>1303F2</v>
      </c>
      <c r="B1846" t="str">
        <f t="shared" si="56"/>
        <v>1303</v>
      </c>
      <c r="C1846" t="s">
        <v>3064</v>
      </c>
      <c r="D1846" t="s">
        <v>4</v>
      </c>
      <c r="E1846" t="s">
        <v>77</v>
      </c>
      <c r="F1846" t="s">
        <v>78</v>
      </c>
      <c r="G1846" t="s">
        <v>757</v>
      </c>
      <c r="H1846" t="s">
        <v>42</v>
      </c>
      <c r="I1846" t="s">
        <v>67</v>
      </c>
      <c r="J1846" t="s">
        <v>3065</v>
      </c>
      <c r="M1846" t="s">
        <v>106</v>
      </c>
      <c r="P1846" t="s">
        <v>91</v>
      </c>
      <c r="Q1846" t="s">
        <v>47</v>
      </c>
      <c r="R1846" t="s">
        <v>48</v>
      </c>
      <c r="V1846" t="s">
        <v>49</v>
      </c>
      <c r="X1846" t="s">
        <v>49</v>
      </c>
      <c r="Y1846" t="s">
        <v>74</v>
      </c>
      <c r="Z1846" t="s">
        <v>3032</v>
      </c>
      <c r="AA1846" t="s">
        <v>3032</v>
      </c>
    </row>
    <row r="1847" spans="1:27" x14ac:dyDescent="0.35">
      <c r="A1847" t="str">
        <f t="shared" si="57"/>
        <v>1303D4</v>
      </c>
      <c r="B1847" t="str">
        <f t="shared" si="56"/>
        <v>1303</v>
      </c>
      <c r="C1847" t="s">
        <v>3066</v>
      </c>
      <c r="D1847" t="s">
        <v>3</v>
      </c>
      <c r="E1847" t="s">
        <v>52</v>
      </c>
      <c r="F1847" t="s">
        <v>53</v>
      </c>
      <c r="G1847" t="s">
        <v>757</v>
      </c>
      <c r="H1847" t="s">
        <v>42</v>
      </c>
      <c r="I1847" t="s">
        <v>43</v>
      </c>
      <c r="J1847" t="s">
        <v>3065</v>
      </c>
      <c r="K1847" t="s">
        <v>56</v>
      </c>
      <c r="M1847" t="s">
        <v>106</v>
      </c>
      <c r="P1847" t="s">
        <v>58</v>
      </c>
      <c r="Q1847" t="s">
        <v>47</v>
      </c>
      <c r="R1847" t="s">
        <v>48</v>
      </c>
      <c r="V1847" t="s">
        <v>49</v>
      </c>
      <c r="X1847" t="s">
        <v>49</v>
      </c>
      <c r="Y1847" t="s">
        <v>59</v>
      </c>
      <c r="Z1847" t="s">
        <v>3067</v>
      </c>
      <c r="AA1847" t="s">
        <v>3067</v>
      </c>
    </row>
    <row r="1848" spans="1:27" x14ac:dyDescent="0.35">
      <c r="A1848" t="str">
        <f t="shared" si="57"/>
        <v>1303D2</v>
      </c>
      <c r="B1848" t="str">
        <f t="shared" si="56"/>
        <v>1303</v>
      </c>
      <c r="C1848" t="s">
        <v>3068</v>
      </c>
      <c r="D1848" t="s">
        <v>2</v>
      </c>
      <c r="E1848" t="s">
        <v>62</v>
      </c>
      <c r="F1848" t="s">
        <v>63</v>
      </c>
      <c r="G1848" t="s">
        <v>757</v>
      </c>
      <c r="H1848" t="s">
        <v>42</v>
      </c>
      <c r="I1848" t="s">
        <v>43</v>
      </c>
      <c r="J1848" t="s">
        <v>3065</v>
      </c>
      <c r="K1848" t="s">
        <v>56</v>
      </c>
      <c r="M1848" t="s">
        <v>106</v>
      </c>
      <c r="P1848" t="s">
        <v>69</v>
      </c>
      <c r="Q1848" t="s">
        <v>47</v>
      </c>
      <c r="R1848" t="s">
        <v>48</v>
      </c>
      <c r="V1848" t="s">
        <v>49</v>
      </c>
      <c r="X1848" t="s">
        <v>49</v>
      </c>
      <c r="Y1848" t="s">
        <v>59</v>
      </c>
      <c r="Z1848" t="s">
        <v>3051</v>
      </c>
      <c r="AA1848" t="s">
        <v>3051</v>
      </c>
    </row>
    <row r="1849" spans="1:27" x14ac:dyDescent="0.35">
      <c r="A1849" t="str">
        <f t="shared" si="57"/>
        <v>1303F3</v>
      </c>
      <c r="B1849" t="str">
        <f t="shared" si="56"/>
        <v>1303</v>
      </c>
      <c r="C1849" t="s">
        <v>3069</v>
      </c>
      <c r="D1849" t="s">
        <v>5</v>
      </c>
      <c r="E1849" t="s">
        <v>40</v>
      </c>
      <c r="F1849" t="s">
        <v>73</v>
      </c>
      <c r="G1849" t="s">
        <v>757</v>
      </c>
      <c r="H1849" t="s">
        <v>42</v>
      </c>
      <c r="I1849" t="s">
        <v>67</v>
      </c>
      <c r="J1849" t="s">
        <v>3065</v>
      </c>
      <c r="M1849" t="s">
        <v>106</v>
      </c>
      <c r="P1849" t="s">
        <v>46</v>
      </c>
      <c r="Q1849" t="s">
        <v>47</v>
      </c>
      <c r="R1849" t="s">
        <v>48</v>
      </c>
      <c r="V1849" t="s">
        <v>49</v>
      </c>
      <c r="X1849" t="s">
        <v>49</v>
      </c>
      <c r="Y1849" t="s">
        <v>74</v>
      </c>
      <c r="Z1849" t="s">
        <v>3053</v>
      </c>
      <c r="AA1849" t="s">
        <v>3053</v>
      </c>
    </row>
    <row r="1850" spans="1:27" x14ac:dyDescent="0.35">
      <c r="A1850" t="str">
        <f t="shared" si="57"/>
        <v>1303C2</v>
      </c>
      <c r="B1850" t="str">
        <f t="shared" si="56"/>
        <v>1303</v>
      </c>
      <c r="C1850" t="s">
        <v>3070</v>
      </c>
      <c r="D1850" t="s">
        <v>1</v>
      </c>
      <c r="E1850" t="s">
        <v>65</v>
      </c>
      <c r="F1850" t="s">
        <v>66</v>
      </c>
      <c r="G1850" t="s">
        <v>757</v>
      </c>
      <c r="H1850" t="s">
        <v>42</v>
      </c>
      <c r="I1850" t="s">
        <v>67</v>
      </c>
      <c r="J1850" t="s">
        <v>3065</v>
      </c>
      <c r="M1850" t="s">
        <v>106</v>
      </c>
      <c r="P1850" t="s">
        <v>69</v>
      </c>
      <c r="Q1850" t="s">
        <v>47</v>
      </c>
      <c r="R1850" t="s">
        <v>48</v>
      </c>
      <c r="V1850" t="s">
        <v>49</v>
      </c>
      <c r="X1850" t="s">
        <v>49</v>
      </c>
      <c r="Y1850" t="s">
        <v>70</v>
      </c>
      <c r="Z1850" t="s">
        <v>3071</v>
      </c>
      <c r="AA1850" t="s">
        <v>3071</v>
      </c>
    </row>
    <row r="1851" spans="1:27" x14ac:dyDescent="0.35">
      <c r="A1851" t="str">
        <f t="shared" si="57"/>
        <v>309_F3</v>
      </c>
      <c r="B1851" t="str">
        <f t="shared" si="56"/>
        <v>309_</v>
      </c>
      <c r="C1851" t="s">
        <v>3072</v>
      </c>
      <c r="D1851" t="s">
        <v>5</v>
      </c>
      <c r="E1851" t="s">
        <v>40</v>
      </c>
      <c r="F1851" t="s">
        <v>73</v>
      </c>
      <c r="G1851" t="s">
        <v>757</v>
      </c>
      <c r="H1851" t="s">
        <v>42</v>
      </c>
      <c r="I1851" t="s">
        <v>67</v>
      </c>
      <c r="J1851" t="s">
        <v>3073</v>
      </c>
      <c r="M1851" t="s">
        <v>106</v>
      </c>
      <c r="P1851" t="s">
        <v>58</v>
      </c>
      <c r="Q1851" t="s">
        <v>47</v>
      </c>
      <c r="R1851" t="s">
        <v>48</v>
      </c>
      <c r="V1851" t="s">
        <v>49</v>
      </c>
      <c r="X1851" t="s">
        <v>49</v>
      </c>
      <c r="Y1851" t="s">
        <v>74</v>
      </c>
      <c r="Z1851" t="s">
        <v>3601</v>
      </c>
      <c r="AA1851" t="s">
        <v>3601</v>
      </c>
    </row>
    <row r="1852" spans="1:27" x14ac:dyDescent="0.35">
      <c r="A1852" t="str">
        <f t="shared" si="57"/>
        <v>1303D7</v>
      </c>
      <c r="B1852" t="str">
        <f t="shared" si="56"/>
        <v>1303</v>
      </c>
      <c r="C1852" t="s">
        <v>3074</v>
      </c>
      <c r="D1852" t="s">
        <v>6</v>
      </c>
      <c r="E1852" t="s">
        <v>94</v>
      </c>
      <c r="F1852" t="s">
        <v>111</v>
      </c>
      <c r="G1852" t="s">
        <v>757</v>
      </c>
      <c r="H1852" t="s">
        <v>42</v>
      </c>
      <c r="I1852" t="s">
        <v>43</v>
      </c>
      <c r="J1852" t="s">
        <v>3065</v>
      </c>
      <c r="M1852" t="s">
        <v>106</v>
      </c>
      <c r="P1852" t="s">
        <v>46</v>
      </c>
      <c r="Q1852" t="s">
        <v>47</v>
      </c>
      <c r="R1852" t="s">
        <v>48</v>
      </c>
      <c r="V1852" t="s">
        <v>49</v>
      </c>
      <c r="X1852" t="s">
        <v>49</v>
      </c>
      <c r="Y1852" t="s">
        <v>59</v>
      </c>
      <c r="Z1852" t="s">
        <v>3075</v>
      </c>
      <c r="AA1852" t="s">
        <v>3075</v>
      </c>
    </row>
    <row r="1853" spans="1:27" x14ac:dyDescent="0.35">
      <c r="A1853" t="str">
        <f t="shared" si="57"/>
        <v>309_F2</v>
      </c>
      <c r="B1853" t="str">
        <f t="shared" si="56"/>
        <v>309_</v>
      </c>
      <c r="C1853" t="s">
        <v>3076</v>
      </c>
      <c r="D1853" t="s">
        <v>4</v>
      </c>
      <c r="E1853" t="s">
        <v>77</v>
      </c>
      <c r="F1853" t="s">
        <v>78</v>
      </c>
      <c r="G1853" t="s">
        <v>757</v>
      </c>
      <c r="H1853" t="s">
        <v>42</v>
      </c>
      <c r="I1853" t="s">
        <v>67</v>
      </c>
      <c r="J1853" t="s">
        <v>3073</v>
      </c>
      <c r="M1853" t="s">
        <v>106</v>
      </c>
      <c r="P1853" t="s">
        <v>79</v>
      </c>
      <c r="Q1853" t="s">
        <v>47</v>
      </c>
      <c r="R1853" t="s">
        <v>48</v>
      </c>
      <c r="V1853" t="s">
        <v>49</v>
      </c>
      <c r="X1853" t="s">
        <v>49</v>
      </c>
      <c r="Y1853" t="s">
        <v>74</v>
      </c>
      <c r="Z1853" t="s">
        <v>3601</v>
      </c>
      <c r="AA1853" t="s">
        <v>3601</v>
      </c>
    </row>
    <row r="1854" spans="1:27" x14ac:dyDescent="0.35">
      <c r="A1854" t="str">
        <f t="shared" si="57"/>
        <v>309_C2</v>
      </c>
      <c r="B1854" t="str">
        <f t="shared" si="56"/>
        <v>309_</v>
      </c>
      <c r="C1854" t="s">
        <v>3077</v>
      </c>
      <c r="D1854" t="s">
        <v>1</v>
      </c>
      <c r="E1854" t="s">
        <v>65</v>
      </c>
      <c r="F1854" t="s">
        <v>66</v>
      </c>
      <c r="G1854" t="s">
        <v>757</v>
      </c>
      <c r="H1854" t="s">
        <v>42</v>
      </c>
      <c r="I1854" t="s">
        <v>67</v>
      </c>
      <c r="J1854" t="s">
        <v>3073</v>
      </c>
      <c r="M1854" t="s">
        <v>106</v>
      </c>
      <c r="P1854" t="s">
        <v>58</v>
      </c>
      <c r="Q1854" t="s">
        <v>47</v>
      </c>
      <c r="R1854" t="s">
        <v>48</v>
      </c>
      <c r="V1854" t="s">
        <v>49</v>
      </c>
      <c r="X1854" t="s">
        <v>49</v>
      </c>
      <c r="Y1854" t="s">
        <v>70</v>
      </c>
      <c r="Z1854" t="s">
        <v>3960</v>
      </c>
      <c r="AA1854" t="s">
        <v>3960</v>
      </c>
    </row>
    <row r="1855" spans="1:27" x14ac:dyDescent="0.35">
      <c r="A1855" t="str">
        <f t="shared" si="57"/>
        <v>309_D2</v>
      </c>
      <c r="B1855" t="str">
        <f t="shared" si="56"/>
        <v>309_</v>
      </c>
      <c r="C1855" t="s">
        <v>3078</v>
      </c>
      <c r="D1855" t="s">
        <v>2</v>
      </c>
      <c r="E1855" t="s">
        <v>62</v>
      </c>
      <c r="F1855" t="s">
        <v>63</v>
      </c>
      <c r="G1855" t="s">
        <v>757</v>
      </c>
      <c r="H1855" t="s">
        <v>42</v>
      </c>
      <c r="I1855" t="s">
        <v>67</v>
      </c>
      <c r="J1855" t="s">
        <v>3073</v>
      </c>
      <c r="K1855" t="s">
        <v>56</v>
      </c>
      <c r="M1855" t="s">
        <v>106</v>
      </c>
      <c r="P1855" t="s">
        <v>58</v>
      </c>
      <c r="Q1855" t="s">
        <v>47</v>
      </c>
      <c r="R1855" t="s">
        <v>48</v>
      </c>
      <c r="V1855" t="s">
        <v>49</v>
      </c>
      <c r="X1855" t="s">
        <v>49</v>
      </c>
      <c r="Y1855" t="s">
        <v>59</v>
      </c>
      <c r="Z1855" t="s">
        <v>3887</v>
      </c>
      <c r="AA1855" t="s">
        <v>3887</v>
      </c>
    </row>
    <row r="1856" spans="1:27" x14ac:dyDescent="0.35">
      <c r="A1856" t="str">
        <f t="shared" si="57"/>
        <v>309_D7</v>
      </c>
      <c r="B1856" t="str">
        <f t="shared" si="56"/>
        <v>309_</v>
      </c>
      <c r="C1856" t="s">
        <v>3079</v>
      </c>
      <c r="D1856" t="s">
        <v>6</v>
      </c>
      <c r="E1856" t="s">
        <v>94</v>
      </c>
      <c r="F1856" t="s">
        <v>111</v>
      </c>
      <c r="G1856" t="s">
        <v>757</v>
      </c>
      <c r="H1856" t="s">
        <v>42</v>
      </c>
      <c r="I1856" t="s">
        <v>67</v>
      </c>
      <c r="J1856" t="s">
        <v>3073</v>
      </c>
      <c r="M1856" t="s">
        <v>106</v>
      </c>
      <c r="P1856" t="s">
        <v>46</v>
      </c>
      <c r="Q1856" t="s">
        <v>47</v>
      </c>
      <c r="R1856" t="s">
        <v>48</v>
      </c>
      <c r="V1856" t="s">
        <v>49</v>
      </c>
      <c r="X1856" t="s">
        <v>49</v>
      </c>
      <c r="Y1856" t="s">
        <v>59</v>
      </c>
      <c r="Z1856" t="s">
        <v>3682</v>
      </c>
      <c r="AA1856" t="s">
        <v>3045</v>
      </c>
    </row>
    <row r="1857" spans="1:27" x14ac:dyDescent="0.35">
      <c r="A1857" t="str">
        <f t="shared" si="57"/>
        <v>309_D4</v>
      </c>
      <c r="B1857" t="str">
        <f t="shared" si="56"/>
        <v>309_</v>
      </c>
      <c r="C1857" t="s">
        <v>3080</v>
      </c>
      <c r="D1857" t="s">
        <v>3</v>
      </c>
      <c r="E1857" t="s">
        <v>52</v>
      </c>
      <c r="F1857" t="s">
        <v>53</v>
      </c>
      <c r="G1857" t="s">
        <v>757</v>
      </c>
      <c r="H1857" t="s">
        <v>42</v>
      </c>
      <c r="I1857" t="s">
        <v>67</v>
      </c>
      <c r="J1857" t="s">
        <v>3073</v>
      </c>
      <c r="K1857" t="s">
        <v>56</v>
      </c>
      <c r="M1857" t="s">
        <v>106</v>
      </c>
      <c r="P1857" t="s">
        <v>58</v>
      </c>
      <c r="Q1857" t="s">
        <v>47</v>
      </c>
      <c r="R1857" t="s">
        <v>48</v>
      </c>
      <c r="V1857" t="s">
        <v>49</v>
      </c>
      <c r="X1857" t="s">
        <v>49</v>
      </c>
      <c r="Y1857" t="s">
        <v>59</v>
      </c>
      <c r="Z1857" t="s">
        <v>3887</v>
      </c>
      <c r="AA1857" t="s">
        <v>3887</v>
      </c>
    </row>
    <row r="1858" spans="1:27" x14ac:dyDescent="0.35">
      <c r="A1858" t="str">
        <f t="shared" si="57"/>
        <v>1302F2</v>
      </c>
      <c r="B1858" t="str">
        <f t="shared" ref="B1858:B1921" si="58">LEFT($J:$J,4)</f>
        <v>1302</v>
      </c>
      <c r="C1858" t="s">
        <v>3081</v>
      </c>
      <c r="D1858" t="s">
        <v>4</v>
      </c>
      <c r="E1858" t="s">
        <v>77</v>
      </c>
      <c r="F1858" t="s">
        <v>78</v>
      </c>
      <c r="G1858" t="s">
        <v>757</v>
      </c>
      <c r="H1858" t="s">
        <v>42</v>
      </c>
      <c r="I1858" t="s">
        <v>67</v>
      </c>
      <c r="J1858" t="s">
        <v>3082</v>
      </c>
      <c r="M1858" t="s">
        <v>106</v>
      </c>
      <c r="P1858" t="s">
        <v>91</v>
      </c>
      <c r="Q1858" t="s">
        <v>47</v>
      </c>
      <c r="R1858" t="s">
        <v>48</v>
      </c>
      <c r="V1858" t="s">
        <v>49</v>
      </c>
      <c r="X1858" t="s">
        <v>49</v>
      </c>
      <c r="Y1858" t="s">
        <v>74</v>
      </c>
      <c r="Z1858" t="s">
        <v>3083</v>
      </c>
      <c r="AA1858" t="s">
        <v>3083</v>
      </c>
    </row>
    <row r="1859" spans="1:27" x14ac:dyDescent="0.35">
      <c r="A1859" t="str">
        <f t="shared" ref="A1859:A1922" si="59">B1859&amp;D1859</f>
        <v>1302D4</v>
      </c>
      <c r="B1859" t="str">
        <f t="shared" si="58"/>
        <v>1302</v>
      </c>
      <c r="C1859" t="s">
        <v>3084</v>
      </c>
      <c r="D1859" t="s">
        <v>3</v>
      </c>
      <c r="E1859" t="s">
        <v>52</v>
      </c>
      <c r="F1859" t="s">
        <v>53</v>
      </c>
      <c r="G1859" t="s">
        <v>757</v>
      </c>
      <c r="H1859" t="s">
        <v>42</v>
      </c>
      <c r="I1859" t="s">
        <v>43</v>
      </c>
      <c r="J1859" t="s">
        <v>3082</v>
      </c>
      <c r="K1859" t="s">
        <v>56</v>
      </c>
      <c r="M1859" t="s">
        <v>106</v>
      </c>
      <c r="P1859" t="s">
        <v>58</v>
      </c>
      <c r="Q1859" t="s">
        <v>47</v>
      </c>
      <c r="R1859" t="s">
        <v>48</v>
      </c>
      <c r="V1859" t="s">
        <v>49</v>
      </c>
      <c r="X1859" t="s">
        <v>49</v>
      </c>
      <c r="Y1859" t="s">
        <v>59</v>
      </c>
      <c r="Z1859" t="s">
        <v>3067</v>
      </c>
      <c r="AA1859" t="s">
        <v>3067</v>
      </c>
    </row>
    <row r="1860" spans="1:27" x14ac:dyDescent="0.35">
      <c r="A1860" t="str">
        <f t="shared" si="59"/>
        <v>1302D2</v>
      </c>
      <c r="B1860" t="str">
        <f t="shared" si="58"/>
        <v>1302</v>
      </c>
      <c r="C1860" t="s">
        <v>3085</v>
      </c>
      <c r="D1860" t="s">
        <v>2</v>
      </c>
      <c r="E1860" t="s">
        <v>62</v>
      </c>
      <c r="F1860" t="s">
        <v>63</v>
      </c>
      <c r="G1860" t="s">
        <v>757</v>
      </c>
      <c r="H1860" t="s">
        <v>42</v>
      </c>
      <c r="I1860" t="s">
        <v>67</v>
      </c>
      <c r="J1860" t="s">
        <v>3082</v>
      </c>
      <c r="K1860" t="s">
        <v>56</v>
      </c>
      <c r="M1860" t="s">
        <v>106</v>
      </c>
      <c r="P1860" t="s">
        <v>69</v>
      </c>
      <c r="Q1860" t="s">
        <v>47</v>
      </c>
      <c r="R1860" t="s">
        <v>48</v>
      </c>
      <c r="V1860" t="s">
        <v>49</v>
      </c>
      <c r="X1860" t="s">
        <v>49</v>
      </c>
      <c r="Y1860" t="s">
        <v>59</v>
      </c>
      <c r="Z1860" t="s">
        <v>3086</v>
      </c>
      <c r="AA1860" t="s">
        <v>3086</v>
      </c>
    </row>
    <row r="1861" spans="1:27" x14ac:dyDescent="0.35">
      <c r="A1861" t="str">
        <f t="shared" si="59"/>
        <v>1302F3</v>
      </c>
      <c r="B1861" t="str">
        <f t="shared" si="58"/>
        <v>1302</v>
      </c>
      <c r="C1861" t="s">
        <v>3087</v>
      </c>
      <c r="D1861" t="s">
        <v>5</v>
      </c>
      <c r="E1861" t="s">
        <v>40</v>
      </c>
      <c r="F1861" t="s">
        <v>73</v>
      </c>
      <c r="G1861" t="s">
        <v>757</v>
      </c>
      <c r="H1861" t="s">
        <v>42</v>
      </c>
      <c r="I1861" t="s">
        <v>67</v>
      </c>
      <c r="J1861" t="s">
        <v>3082</v>
      </c>
      <c r="M1861" t="s">
        <v>106</v>
      </c>
      <c r="P1861" t="s">
        <v>46</v>
      </c>
      <c r="Q1861" t="s">
        <v>47</v>
      </c>
      <c r="R1861" t="s">
        <v>48</v>
      </c>
      <c r="V1861" t="s">
        <v>49</v>
      </c>
      <c r="X1861" t="s">
        <v>49</v>
      </c>
      <c r="Y1861" t="s">
        <v>74</v>
      </c>
      <c r="Z1861" t="s">
        <v>3053</v>
      </c>
      <c r="AA1861" t="s">
        <v>3053</v>
      </c>
    </row>
    <row r="1862" spans="1:27" x14ac:dyDescent="0.35">
      <c r="A1862" t="str">
        <f t="shared" si="59"/>
        <v>1302C2</v>
      </c>
      <c r="B1862" t="str">
        <f t="shared" si="58"/>
        <v>1302</v>
      </c>
      <c r="C1862" t="s">
        <v>3088</v>
      </c>
      <c r="D1862" t="s">
        <v>1</v>
      </c>
      <c r="E1862" t="s">
        <v>65</v>
      </c>
      <c r="F1862" t="s">
        <v>66</v>
      </c>
      <c r="G1862" t="s">
        <v>757</v>
      </c>
      <c r="H1862" t="s">
        <v>42</v>
      </c>
      <c r="I1862" t="s">
        <v>67</v>
      </c>
      <c r="J1862" t="s">
        <v>3082</v>
      </c>
      <c r="M1862" t="s">
        <v>106</v>
      </c>
      <c r="P1862" t="s">
        <v>69</v>
      </c>
      <c r="Q1862" t="s">
        <v>47</v>
      </c>
      <c r="R1862" t="s">
        <v>48</v>
      </c>
      <c r="V1862" t="s">
        <v>49</v>
      </c>
      <c r="X1862" t="s">
        <v>49</v>
      </c>
      <c r="Y1862" t="s">
        <v>70</v>
      </c>
      <c r="Z1862" t="s">
        <v>225</v>
      </c>
      <c r="AA1862" t="s">
        <v>225</v>
      </c>
    </row>
    <row r="1863" spans="1:27" x14ac:dyDescent="0.35">
      <c r="A1863" t="str">
        <f t="shared" si="59"/>
        <v>1302D7</v>
      </c>
      <c r="B1863" t="str">
        <f t="shared" si="58"/>
        <v>1302</v>
      </c>
      <c r="C1863" t="s">
        <v>3089</v>
      </c>
      <c r="D1863" t="s">
        <v>6</v>
      </c>
      <c r="E1863" t="s">
        <v>94</v>
      </c>
      <c r="F1863" t="s">
        <v>111</v>
      </c>
      <c r="G1863" t="s">
        <v>757</v>
      </c>
      <c r="H1863" t="s">
        <v>42</v>
      </c>
      <c r="I1863" t="s">
        <v>43</v>
      </c>
      <c r="J1863" t="s">
        <v>3082</v>
      </c>
      <c r="M1863" t="s">
        <v>106</v>
      </c>
      <c r="P1863" t="s">
        <v>46</v>
      </c>
      <c r="Q1863" t="s">
        <v>47</v>
      </c>
      <c r="R1863" t="s">
        <v>48</v>
      </c>
      <c r="V1863" t="s">
        <v>49</v>
      </c>
      <c r="X1863" t="s">
        <v>49</v>
      </c>
      <c r="Y1863" t="s">
        <v>59</v>
      </c>
      <c r="Z1863" t="s">
        <v>3075</v>
      </c>
      <c r="AA1863" t="s">
        <v>3075</v>
      </c>
    </row>
    <row r="1864" spans="1:27" x14ac:dyDescent="0.35">
      <c r="A1864" t="str">
        <f t="shared" si="59"/>
        <v>308_F3</v>
      </c>
      <c r="B1864" t="str">
        <f t="shared" si="58"/>
        <v>308_</v>
      </c>
      <c r="C1864" t="s">
        <v>3090</v>
      </c>
      <c r="D1864" t="s">
        <v>5</v>
      </c>
      <c r="E1864" t="s">
        <v>40</v>
      </c>
      <c r="F1864" t="s">
        <v>73</v>
      </c>
      <c r="G1864" t="s">
        <v>757</v>
      </c>
      <c r="H1864" t="s">
        <v>42</v>
      </c>
      <c r="I1864" t="s">
        <v>67</v>
      </c>
      <c r="J1864" t="s">
        <v>3091</v>
      </c>
      <c r="M1864" t="s">
        <v>106</v>
      </c>
      <c r="P1864" t="s">
        <v>58</v>
      </c>
      <c r="Q1864" t="s">
        <v>47</v>
      </c>
      <c r="R1864" t="s">
        <v>48</v>
      </c>
      <c r="V1864" t="s">
        <v>49</v>
      </c>
      <c r="X1864" t="s">
        <v>49</v>
      </c>
      <c r="Y1864" t="s">
        <v>74</v>
      </c>
      <c r="Z1864" t="s">
        <v>3601</v>
      </c>
      <c r="AA1864" t="s">
        <v>3601</v>
      </c>
    </row>
    <row r="1865" spans="1:27" x14ac:dyDescent="0.35">
      <c r="A1865" t="str">
        <f t="shared" si="59"/>
        <v>308_F2</v>
      </c>
      <c r="B1865" t="str">
        <f t="shared" si="58"/>
        <v>308_</v>
      </c>
      <c r="C1865" t="s">
        <v>3092</v>
      </c>
      <c r="D1865" t="s">
        <v>4</v>
      </c>
      <c r="E1865" t="s">
        <v>77</v>
      </c>
      <c r="F1865" t="s">
        <v>78</v>
      </c>
      <c r="G1865" t="s">
        <v>757</v>
      </c>
      <c r="H1865" t="s">
        <v>42</v>
      </c>
      <c r="I1865" t="s">
        <v>67</v>
      </c>
      <c r="J1865" t="s">
        <v>3091</v>
      </c>
      <c r="M1865" t="s">
        <v>106</v>
      </c>
      <c r="P1865" t="s">
        <v>138</v>
      </c>
      <c r="Q1865" t="s">
        <v>47</v>
      </c>
      <c r="R1865" t="s">
        <v>48</v>
      </c>
      <c r="V1865" t="s">
        <v>49</v>
      </c>
      <c r="X1865" t="s">
        <v>49</v>
      </c>
      <c r="Y1865" t="s">
        <v>74</v>
      </c>
      <c r="Z1865" t="s">
        <v>3601</v>
      </c>
      <c r="AA1865" t="s">
        <v>3601</v>
      </c>
    </row>
    <row r="1866" spans="1:27" x14ac:dyDescent="0.35">
      <c r="A1866" t="str">
        <f t="shared" si="59"/>
        <v>308_C2</v>
      </c>
      <c r="B1866" t="str">
        <f t="shared" si="58"/>
        <v>308_</v>
      </c>
      <c r="C1866" t="s">
        <v>3093</v>
      </c>
      <c r="D1866" t="s">
        <v>1</v>
      </c>
      <c r="E1866" t="s">
        <v>65</v>
      </c>
      <c r="F1866" t="s">
        <v>66</v>
      </c>
      <c r="G1866" t="s">
        <v>757</v>
      </c>
      <c r="H1866" t="s">
        <v>42</v>
      </c>
      <c r="I1866" t="s">
        <v>67</v>
      </c>
      <c r="J1866" t="s">
        <v>3091</v>
      </c>
      <c r="M1866" t="s">
        <v>106</v>
      </c>
      <c r="P1866" t="s">
        <v>69</v>
      </c>
      <c r="Q1866" t="s">
        <v>47</v>
      </c>
      <c r="R1866" t="s">
        <v>48</v>
      </c>
      <c r="V1866" t="s">
        <v>49</v>
      </c>
      <c r="X1866" t="s">
        <v>49</v>
      </c>
      <c r="Y1866" t="s">
        <v>70</v>
      </c>
      <c r="Z1866" t="s">
        <v>3995</v>
      </c>
      <c r="AA1866" t="s">
        <v>3995</v>
      </c>
    </row>
    <row r="1867" spans="1:27" x14ac:dyDescent="0.35">
      <c r="A1867" t="str">
        <f t="shared" si="59"/>
        <v>308_D2</v>
      </c>
      <c r="B1867" t="str">
        <f t="shared" si="58"/>
        <v>308_</v>
      </c>
      <c r="C1867" t="s">
        <v>3094</v>
      </c>
      <c r="D1867" t="s">
        <v>2</v>
      </c>
      <c r="E1867" t="s">
        <v>62</v>
      </c>
      <c r="F1867" t="s">
        <v>63</v>
      </c>
      <c r="G1867" t="s">
        <v>757</v>
      </c>
      <c r="H1867" t="s">
        <v>42</v>
      </c>
      <c r="I1867" t="s">
        <v>67</v>
      </c>
      <c r="J1867" t="s">
        <v>3091</v>
      </c>
      <c r="K1867" t="s">
        <v>56</v>
      </c>
      <c r="M1867" t="s">
        <v>106</v>
      </c>
      <c r="P1867" t="s">
        <v>58</v>
      </c>
      <c r="Q1867" t="s">
        <v>47</v>
      </c>
      <c r="R1867" t="s">
        <v>48</v>
      </c>
      <c r="V1867" t="s">
        <v>49</v>
      </c>
      <c r="X1867" t="s">
        <v>49</v>
      </c>
      <c r="Y1867" t="s">
        <v>59</v>
      </c>
      <c r="Z1867" t="s">
        <v>3888</v>
      </c>
      <c r="AA1867" t="s">
        <v>3888</v>
      </c>
    </row>
    <row r="1868" spans="1:27" x14ac:dyDescent="0.35">
      <c r="A1868" t="str">
        <f t="shared" si="59"/>
        <v>308_D7</v>
      </c>
      <c r="B1868" t="str">
        <f t="shared" si="58"/>
        <v>308_</v>
      </c>
      <c r="C1868" t="s">
        <v>3095</v>
      </c>
      <c r="D1868" t="s">
        <v>6</v>
      </c>
      <c r="E1868" t="s">
        <v>94</v>
      </c>
      <c r="F1868" t="s">
        <v>111</v>
      </c>
      <c r="G1868" t="s">
        <v>757</v>
      </c>
      <c r="H1868" t="s">
        <v>42</v>
      </c>
      <c r="I1868" t="s">
        <v>67</v>
      </c>
      <c r="J1868" t="s">
        <v>3091</v>
      </c>
      <c r="M1868" t="s">
        <v>106</v>
      </c>
      <c r="P1868" t="s">
        <v>58</v>
      </c>
      <c r="Q1868" t="s">
        <v>47</v>
      </c>
      <c r="R1868" t="s">
        <v>48</v>
      </c>
      <c r="V1868" t="s">
        <v>49</v>
      </c>
      <c r="X1868" t="s">
        <v>49</v>
      </c>
      <c r="Y1868" t="s">
        <v>59</v>
      </c>
      <c r="Z1868" t="s">
        <v>3096</v>
      </c>
      <c r="AA1868" t="s">
        <v>3096</v>
      </c>
    </row>
    <row r="1869" spans="1:27" x14ac:dyDescent="0.35">
      <c r="A1869" t="str">
        <f t="shared" si="59"/>
        <v>308_D4</v>
      </c>
      <c r="B1869" t="str">
        <f t="shared" si="58"/>
        <v>308_</v>
      </c>
      <c r="C1869" t="s">
        <v>3097</v>
      </c>
      <c r="D1869" t="s">
        <v>3</v>
      </c>
      <c r="E1869" t="s">
        <v>52</v>
      </c>
      <c r="F1869" t="s">
        <v>53</v>
      </c>
      <c r="G1869" t="s">
        <v>757</v>
      </c>
      <c r="H1869" t="s">
        <v>42</v>
      </c>
      <c r="I1869" t="s">
        <v>67</v>
      </c>
      <c r="J1869" t="s">
        <v>3091</v>
      </c>
      <c r="K1869" t="s">
        <v>56</v>
      </c>
      <c r="M1869" t="s">
        <v>106</v>
      </c>
      <c r="P1869" t="s">
        <v>58</v>
      </c>
      <c r="Q1869" t="s">
        <v>47</v>
      </c>
      <c r="R1869" t="s">
        <v>48</v>
      </c>
      <c r="V1869" t="s">
        <v>49</v>
      </c>
      <c r="X1869" t="s">
        <v>49</v>
      </c>
      <c r="Y1869" t="s">
        <v>59</v>
      </c>
      <c r="Z1869" t="s">
        <v>3888</v>
      </c>
      <c r="AA1869" t="s">
        <v>3888</v>
      </c>
    </row>
    <row r="1870" spans="1:27" x14ac:dyDescent="0.35">
      <c r="A1870" t="str">
        <f t="shared" si="59"/>
        <v>1301F2</v>
      </c>
      <c r="B1870" t="str">
        <f t="shared" si="58"/>
        <v>1301</v>
      </c>
      <c r="C1870" t="s">
        <v>3098</v>
      </c>
      <c r="D1870" t="s">
        <v>4</v>
      </c>
      <c r="E1870" t="s">
        <v>77</v>
      </c>
      <c r="F1870" t="s">
        <v>78</v>
      </c>
      <c r="G1870" t="s">
        <v>757</v>
      </c>
      <c r="H1870" t="s">
        <v>42</v>
      </c>
      <c r="I1870" t="s">
        <v>67</v>
      </c>
      <c r="J1870" t="s">
        <v>3099</v>
      </c>
      <c r="M1870" t="s">
        <v>106</v>
      </c>
      <c r="P1870" t="s">
        <v>138</v>
      </c>
      <c r="Q1870" t="s">
        <v>47</v>
      </c>
      <c r="R1870" t="s">
        <v>48</v>
      </c>
      <c r="V1870" t="s">
        <v>49</v>
      </c>
      <c r="X1870" t="s">
        <v>49</v>
      </c>
      <c r="Y1870" t="s">
        <v>74</v>
      </c>
      <c r="Z1870" t="s">
        <v>3083</v>
      </c>
      <c r="AA1870" t="s">
        <v>3083</v>
      </c>
    </row>
    <row r="1871" spans="1:27" x14ac:dyDescent="0.35">
      <c r="A1871" t="str">
        <f t="shared" si="59"/>
        <v>1301D4</v>
      </c>
      <c r="B1871" t="str">
        <f t="shared" si="58"/>
        <v>1301</v>
      </c>
      <c r="C1871" t="s">
        <v>3100</v>
      </c>
      <c r="D1871" t="s">
        <v>3</v>
      </c>
      <c r="E1871" t="s">
        <v>52</v>
      </c>
      <c r="F1871" t="s">
        <v>53</v>
      </c>
      <c r="G1871" t="s">
        <v>757</v>
      </c>
      <c r="H1871" t="s">
        <v>42</v>
      </c>
      <c r="I1871" t="s">
        <v>43</v>
      </c>
      <c r="J1871" t="s">
        <v>3099</v>
      </c>
      <c r="K1871" t="s">
        <v>56</v>
      </c>
      <c r="M1871" t="s">
        <v>106</v>
      </c>
      <c r="P1871" t="s">
        <v>58</v>
      </c>
      <c r="Q1871" t="s">
        <v>47</v>
      </c>
      <c r="R1871" t="s">
        <v>48</v>
      </c>
      <c r="V1871" t="s">
        <v>49</v>
      </c>
      <c r="X1871" t="s">
        <v>49</v>
      </c>
      <c r="Y1871" t="s">
        <v>59</v>
      </c>
      <c r="Z1871" t="s">
        <v>3067</v>
      </c>
      <c r="AA1871" t="s">
        <v>3067</v>
      </c>
    </row>
    <row r="1872" spans="1:27" x14ac:dyDescent="0.35">
      <c r="A1872" t="str">
        <f t="shared" si="59"/>
        <v>1301D2</v>
      </c>
      <c r="B1872" t="str">
        <f t="shared" si="58"/>
        <v>1301</v>
      </c>
      <c r="C1872" t="s">
        <v>3101</v>
      </c>
      <c r="D1872" t="s">
        <v>2</v>
      </c>
      <c r="E1872" t="s">
        <v>62</v>
      </c>
      <c r="F1872" t="s">
        <v>63</v>
      </c>
      <c r="G1872" t="s">
        <v>757</v>
      </c>
      <c r="H1872" t="s">
        <v>42</v>
      </c>
      <c r="I1872" t="s">
        <v>43</v>
      </c>
      <c r="J1872" t="s">
        <v>3099</v>
      </c>
      <c r="K1872" t="s">
        <v>56</v>
      </c>
      <c r="M1872" t="s">
        <v>106</v>
      </c>
      <c r="P1872" t="s">
        <v>69</v>
      </c>
      <c r="Q1872" t="s">
        <v>47</v>
      </c>
      <c r="R1872" t="s">
        <v>48</v>
      </c>
      <c r="V1872" t="s">
        <v>49</v>
      </c>
      <c r="X1872" t="s">
        <v>49</v>
      </c>
      <c r="Y1872" t="s">
        <v>59</v>
      </c>
      <c r="Z1872" t="s">
        <v>3102</v>
      </c>
      <c r="AA1872" t="s">
        <v>3102</v>
      </c>
    </row>
    <row r="1873" spans="1:27" x14ac:dyDescent="0.35">
      <c r="A1873" t="str">
        <f t="shared" si="59"/>
        <v>1301F3</v>
      </c>
      <c r="B1873" t="str">
        <f t="shared" si="58"/>
        <v>1301</v>
      </c>
      <c r="C1873" t="s">
        <v>3103</v>
      </c>
      <c r="D1873" t="s">
        <v>5</v>
      </c>
      <c r="E1873" t="s">
        <v>40</v>
      </c>
      <c r="F1873" t="s">
        <v>73</v>
      </c>
      <c r="G1873" t="s">
        <v>757</v>
      </c>
      <c r="H1873" t="s">
        <v>42</v>
      </c>
      <c r="I1873" t="s">
        <v>67</v>
      </c>
      <c r="J1873" t="s">
        <v>3099</v>
      </c>
      <c r="M1873" t="s">
        <v>106</v>
      </c>
      <c r="P1873" t="s">
        <v>46</v>
      </c>
      <c r="Q1873" t="s">
        <v>47</v>
      </c>
      <c r="R1873" t="s">
        <v>48</v>
      </c>
      <c r="V1873" t="s">
        <v>49</v>
      </c>
      <c r="X1873" t="s">
        <v>49</v>
      </c>
      <c r="Y1873" t="s">
        <v>74</v>
      </c>
      <c r="Z1873" t="s">
        <v>3053</v>
      </c>
      <c r="AA1873" t="s">
        <v>3053</v>
      </c>
    </row>
    <row r="1874" spans="1:27" x14ac:dyDescent="0.35">
      <c r="A1874" t="str">
        <f t="shared" si="59"/>
        <v>1301C2</v>
      </c>
      <c r="B1874" t="str">
        <f t="shared" si="58"/>
        <v>1301</v>
      </c>
      <c r="C1874" t="s">
        <v>3104</v>
      </c>
      <c r="D1874" t="s">
        <v>1</v>
      </c>
      <c r="E1874" t="s">
        <v>65</v>
      </c>
      <c r="F1874" t="s">
        <v>66</v>
      </c>
      <c r="G1874" t="s">
        <v>757</v>
      </c>
      <c r="H1874" t="s">
        <v>42</v>
      </c>
      <c r="I1874" t="s">
        <v>67</v>
      </c>
      <c r="J1874" t="s">
        <v>3099</v>
      </c>
      <c r="M1874" t="s">
        <v>106</v>
      </c>
      <c r="P1874" t="s">
        <v>69</v>
      </c>
      <c r="Q1874" t="s">
        <v>47</v>
      </c>
      <c r="R1874" t="s">
        <v>48</v>
      </c>
      <c r="V1874" t="s">
        <v>49</v>
      </c>
      <c r="X1874" t="s">
        <v>49</v>
      </c>
      <c r="Y1874" t="s">
        <v>70</v>
      </c>
      <c r="Z1874" t="s">
        <v>3105</v>
      </c>
      <c r="AA1874" t="s">
        <v>3105</v>
      </c>
    </row>
    <row r="1875" spans="1:27" x14ac:dyDescent="0.35">
      <c r="A1875" t="str">
        <f t="shared" si="59"/>
        <v>1301D7</v>
      </c>
      <c r="B1875" t="str">
        <f t="shared" si="58"/>
        <v>1301</v>
      </c>
      <c r="C1875" t="s">
        <v>3106</v>
      </c>
      <c r="D1875" t="s">
        <v>6</v>
      </c>
      <c r="E1875" t="s">
        <v>94</v>
      </c>
      <c r="F1875" t="s">
        <v>111</v>
      </c>
      <c r="G1875" t="s">
        <v>757</v>
      </c>
      <c r="H1875" t="s">
        <v>42</v>
      </c>
      <c r="I1875" t="s">
        <v>43</v>
      </c>
      <c r="J1875" t="s">
        <v>3099</v>
      </c>
      <c r="M1875" t="s">
        <v>106</v>
      </c>
      <c r="P1875" t="s">
        <v>46</v>
      </c>
      <c r="Q1875" t="s">
        <v>47</v>
      </c>
      <c r="R1875" t="s">
        <v>48</v>
      </c>
      <c r="V1875" t="s">
        <v>49</v>
      </c>
      <c r="X1875" t="s">
        <v>49</v>
      </c>
      <c r="Y1875" t="s">
        <v>59</v>
      </c>
      <c r="Z1875" t="s">
        <v>3075</v>
      </c>
      <c r="AA1875" t="s">
        <v>3075</v>
      </c>
    </row>
    <row r="1876" spans="1:27" x14ac:dyDescent="0.35">
      <c r="A1876" t="str">
        <f t="shared" si="59"/>
        <v>307_F3</v>
      </c>
      <c r="B1876" t="str">
        <f t="shared" si="58"/>
        <v>307_</v>
      </c>
      <c r="C1876" t="s">
        <v>3107</v>
      </c>
      <c r="D1876" t="s">
        <v>5</v>
      </c>
      <c r="E1876" t="s">
        <v>40</v>
      </c>
      <c r="F1876" t="s">
        <v>73</v>
      </c>
      <c r="G1876" t="s">
        <v>757</v>
      </c>
      <c r="H1876" t="s">
        <v>42</v>
      </c>
      <c r="I1876" t="s">
        <v>67</v>
      </c>
      <c r="J1876" t="s">
        <v>3108</v>
      </c>
      <c r="M1876" t="s">
        <v>106</v>
      </c>
      <c r="P1876" t="s">
        <v>46</v>
      </c>
      <c r="Q1876" t="s">
        <v>47</v>
      </c>
      <c r="R1876" t="s">
        <v>48</v>
      </c>
      <c r="V1876" t="s">
        <v>49</v>
      </c>
      <c r="X1876" t="s">
        <v>49</v>
      </c>
      <c r="Y1876" t="s">
        <v>74</v>
      </c>
      <c r="Z1876" t="s">
        <v>3003</v>
      </c>
      <c r="AA1876" t="s">
        <v>3003</v>
      </c>
    </row>
    <row r="1877" spans="1:27" x14ac:dyDescent="0.35">
      <c r="A1877" t="str">
        <f t="shared" si="59"/>
        <v>307_F2</v>
      </c>
      <c r="B1877" t="str">
        <f t="shared" si="58"/>
        <v>307_</v>
      </c>
      <c r="C1877" t="s">
        <v>3109</v>
      </c>
      <c r="D1877" t="s">
        <v>4</v>
      </c>
      <c r="E1877" t="s">
        <v>77</v>
      </c>
      <c r="F1877" t="s">
        <v>78</v>
      </c>
      <c r="G1877" t="s">
        <v>757</v>
      </c>
      <c r="H1877" t="s">
        <v>42</v>
      </c>
      <c r="I1877" t="s">
        <v>67</v>
      </c>
      <c r="J1877" t="s">
        <v>3108</v>
      </c>
      <c r="M1877" t="s">
        <v>106</v>
      </c>
      <c r="P1877" t="s">
        <v>79</v>
      </c>
      <c r="Q1877" t="s">
        <v>47</v>
      </c>
      <c r="R1877" t="s">
        <v>48</v>
      </c>
      <c r="V1877" t="s">
        <v>49</v>
      </c>
      <c r="X1877" t="s">
        <v>49</v>
      </c>
      <c r="Y1877" t="s">
        <v>74</v>
      </c>
      <c r="Z1877" t="s">
        <v>3003</v>
      </c>
      <c r="AA1877" t="s">
        <v>3003</v>
      </c>
    </row>
    <row r="1878" spans="1:27" x14ac:dyDescent="0.35">
      <c r="A1878" t="str">
        <f t="shared" si="59"/>
        <v>307_C2</v>
      </c>
      <c r="B1878" t="str">
        <f t="shared" si="58"/>
        <v>307_</v>
      </c>
      <c r="C1878" t="s">
        <v>3110</v>
      </c>
      <c r="D1878" t="s">
        <v>1</v>
      </c>
      <c r="E1878" t="s">
        <v>65</v>
      </c>
      <c r="F1878" t="s">
        <v>66</v>
      </c>
      <c r="G1878" t="s">
        <v>757</v>
      </c>
      <c r="H1878" t="s">
        <v>42</v>
      </c>
      <c r="I1878" t="s">
        <v>67</v>
      </c>
      <c r="J1878" t="s">
        <v>3108</v>
      </c>
      <c r="M1878" t="s">
        <v>106</v>
      </c>
      <c r="P1878" t="s">
        <v>69</v>
      </c>
      <c r="Q1878" t="s">
        <v>47</v>
      </c>
      <c r="R1878" t="s">
        <v>48</v>
      </c>
      <c r="V1878" t="s">
        <v>49</v>
      </c>
      <c r="X1878" t="s">
        <v>49</v>
      </c>
      <c r="Y1878" t="s">
        <v>70</v>
      </c>
      <c r="Z1878" t="s">
        <v>3867</v>
      </c>
      <c r="AA1878" t="s">
        <v>3867</v>
      </c>
    </row>
    <row r="1879" spans="1:27" x14ac:dyDescent="0.35">
      <c r="A1879" t="str">
        <f t="shared" si="59"/>
        <v>307_D2</v>
      </c>
      <c r="B1879" t="str">
        <f t="shared" si="58"/>
        <v>307_</v>
      </c>
      <c r="C1879" t="s">
        <v>3111</v>
      </c>
      <c r="D1879" t="s">
        <v>2</v>
      </c>
      <c r="E1879" t="s">
        <v>62</v>
      </c>
      <c r="F1879" t="s">
        <v>63</v>
      </c>
      <c r="G1879" t="s">
        <v>757</v>
      </c>
      <c r="H1879" t="s">
        <v>42</v>
      </c>
      <c r="I1879" t="s">
        <v>67</v>
      </c>
      <c r="J1879" t="s">
        <v>3108</v>
      </c>
      <c r="K1879" t="s">
        <v>56</v>
      </c>
      <c r="M1879" t="s">
        <v>106</v>
      </c>
      <c r="P1879" t="s">
        <v>58</v>
      </c>
      <c r="Q1879" t="s">
        <v>47</v>
      </c>
      <c r="R1879" t="s">
        <v>48</v>
      </c>
      <c r="V1879" t="s">
        <v>49</v>
      </c>
      <c r="X1879" t="s">
        <v>49</v>
      </c>
      <c r="Y1879" t="s">
        <v>59</v>
      </c>
      <c r="Z1879" t="s">
        <v>3888</v>
      </c>
      <c r="AA1879" t="s">
        <v>3888</v>
      </c>
    </row>
    <row r="1880" spans="1:27" x14ac:dyDescent="0.35">
      <c r="A1880" t="str">
        <f t="shared" si="59"/>
        <v>307_D7</v>
      </c>
      <c r="B1880" t="str">
        <f t="shared" si="58"/>
        <v>307_</v>
      </c>
      <c r="C1880" t="s">
        <v>3112</v>
      </c>
      <c r="D1880" t="s">
        <v>6</v>
      </c>
      <c r="E1880" t="s">
        <v>94</v>
      </c>
      <c r="F1880" t="s">
        <v>111</v>
      </c>
      <c r="G1880" t="s">
        <v>757</v>
      </c>
      <c r="H1880" t="s">
        <v>42</v>
      </c>
      <c r="I1880" t="s">
        <v>67</v>
      </c>
      <c r="J1880" t="s">
        <v>3108</v>
      </c>
      <c r="M1880" t="s">
        <v>106</v>
      </c>
      <c r="P1880" t="s">
        <v>46</v>
      </c>
      <c r="Q1880" t="s">
        <v>47</v>
      </c>
      <c r="R1880" t="s">
        <v>48</v>
      </c>
      <c r="V1880" t="s">
        <v>49</v>
      </c>
      <c r="X1880" t="s">
        <v>49</v>
      </c>
      <c r="Y1880" t="s">
        <v>59</v>
      </c>
      <c r="Z1880" t="s">
        <v>3113</v>
      </c>
      <c r="AA1880" t="s">
        <v>3113</v>
      </c>
    </row>
    <row r="1881" spans="1:27" x14ac:dyDescent="0.35">
      <c r="A1881" t="str">
        <f t="shared" si="59"/>
        <v>307_D4</v>
      </c>
      <c r="B1881" t="str">
        <f t="shared" si="58"/>
        <v>307_</v>
      </c>
      <c r="C1881" t="s">
        <v>3114</v>
      </c>
      <c r="D1881" t="s">
        <v>3</v>
      </c>
      <c r="E1881" t="s">
        <v>52</v>
      </c>
      <c r="F1881" t="s">
        <v>53</v>
      </c>
      <c r="G1881" t="s">
        <v>757</v>
      </c>
      <c r="H1881" t="s">
        <v>42</v>
      </c>
      <c r="I1881" t="s">
        <v>67</v>
      </c>
      <c r="J1881" t="s">
        <v>3108</v>
      </c>
      <c r="K1881" t="s">
        <v>56</v>
      </c>
      <c r="M1881" t="s">
        <v>106</v>
      </c>
      <c r="P1881" t="s">
        <v>58</v>
      </c>
      <c r="Q1881" t="s">
        <v>47</v>
      </c>
      <c r="R1881" t="s">
        <v>48</v>
      </c>
      <c r="V1881" t="s">
        <v>49</v>
      </c>
      <c r="X1881" t="s">
        <v>49</v>
      </c>
      <c r="Y1881" t="s">
        <v>59</v>
      </c>
      <c r="Z1881" t="s">
        <v>3868</v>
      </c>
      <c r="AA1881" t="s">
        <v>3868</v>
      </c>
    </row>
    <row r="1882" spans="1:27" x14ac:dyDescent="0.35">
      <c r="A1882" t="str">
        <f t="shared" si="59"/>
        <v>1210F2</v>
      </c>
      <c r="B1882" t="str">
        <f t="shared" si="58"/>
        <v>1210</v>
      </c>
      <c r="C1882" t="s">
        <v>3115</v>
      </c>
      <c r="D1882" t="s">
        <v>4</v>
      </c>
      <c r="E1882" t="s">
        <v>77</v>
      </c>
      <c r="F1882" t="s">
        <v>78</v>
      </c>
      <c r="G1882" t="s">
        <v>757</v>
      </c>
      <c r="H1882" t="s">
        <v>42</v>
      </c>
      <c r="I1882" t="s">
        <v>67</v>
      </c>
      <c r="J1882" t="s">
        <v>3116</v>
      </c>
      <c r="M1882" t="s">
        <v>106</v>
      </c>
      <c r="P1882" t="s">
        <v>79</v>
      </c>
      <c r="Q1882" t="s">
        <v>47</v>
      </c>
      <c r="R1882" t="s">
        <v>48</v>
      </c>
      <c r="V1882" t="s">
        <v>49</v>
      </c>
      <c r="X1882" t="s">
        <v>49</v>
      </c>
      <c r="Y1882" t="s">
        <v>74</v>
      </c>
      <c r="Z1882" t="s">
        <v>3083</v>
      </c>
      <c r="AA1882" t="s">
        <v>3083</v>
      </c>
    </row>
    <row r="1883" spans="1:27" x14ac:dyDescent="0.35">
      <c r="A1883" t="str">
        <f t="shared" si="59"/>
        <v>1210D4</v>
      </c>
      <c r="B1883" t="str">
        <f t="shared" si="58"/>
        <v>1210</v>
      </c>
      <c r="C1883" t="s">
        <v>3117</v>
      </c>
      <c r="D1883" t="s">
        <v>3</v>
      </c>
      <c r="E1883" t="s">
        <v>52</v>
      </c>
      <c r="F1883" t="s">
        <v>53</v>
      </c>
      <c r="G1883" t="s">
        <v>757</v>
      </c>
      <c r="H1883" t="s">
        <v>42</v>
      </c>
      <c r="I1883" t="s">
        <v>43</v>
      </c>
      <c r="J1883" t="s">
        <v>3116</v>
      </c>
      <c r="K1883" t="s">
        <v>56</v>
      </c>
      <c r="M1883" t="s">
        <v>106</v>
      </c>
      <c r="P1883" t="s">
        <v>69</v>
      </c>
      <c r="Q1883" t="s">
        <v>47</v>
      </c>
      <c r="R1883" t="s">
        <v>48</v>
      </c>
      <c r="V1883" t="s">
        <v>49</v>
      </c>
      <c r="X1883" t="s">
        <v>49</v>
      </c>
      <c r="Y1883" t="s">
        <v>59</v>
      </c>
      <c r="Z1883" t="s">
        <v>3118</v>
      </c>
      <c r="AA1883" t="s">
        <v>3118</v>
      </c>
    </row>
    <row r="1884" spans="1:27" x14ac:dyDescent="0.35">
      <c r="A1884" t="str">
        <f t="shared" si="59"/>
        <v>1210D2</v>
      </c>
      <c r="B1884" t="str">
        <f t="shared" si="58"/>
        <v>1210</v>
      </c>
      <c r="C1884" t="s">
        <v>3119</v>
      </c>
      <c r="D1884" t="s">
        <v>2</v>
      </c>
      <c r="E1884" t="s">
        <v>62</v>
      </c>
      <c r="F1884" t="s">
        <v>63</v>
      </c>
      <c r="G1884" t="s">
        <v>757</v>
      </c>
      <c r="H1884" t="s">
        <v>42</v>
      </c>
      <c r="I1884" t="s">
        <v>43</v>
      </c>
      <c r="J1884" t="s">
        <v>3116</v>
      </c>
      <c r="K1884" t="s">
        <v>56</v>
      </c>
      <c r="M1884" t="s">
        <v>106</v>
      </c>
      <c r="P1884" t="s">
        <v>58</v>
      </c>
      <c r="Q1884" t="s">
        <v>47</v>
      </c>
      <c r="R1884" t="s">
        <v>48</v>
      </c>
      <c r="V1884" t="s">
        <v>49</v>
      </c>
      <c r="X1884" t="s">
        <v>49</v>
      </c>
      <c r="Y1884" t="s">
        <v>59</v>
      </c>
      <c r="Z1884" t="s">
        <v>3120</v>
      </c>
      <c r="AA1884" t="s">
        <v>3120</v>
      </c>
    </row>
    <row r="1885" spans="1:27" x14ac:dyDescent="0.35">
      <c r="A1885" t="str">
        <f t="shared" si="59"/>
        <v>1210F3</v>
      </c>
      <c r="B1885" t="str">
        <f t="shared" si="58"/>
        <v>1210</v>
      </c>
      <c r="C1885" t="s">
        <v>3121</v>
      </c>
      <c r="D1885" t="s">
        <v>5</v>
      </c>
      <c r="E1885" t="s">
        <v>40</v>
      </c>
      <c r="F1885" t="s">
        <v>73</v>
      </c>
      <c r="G1885" t="s">
        <v>757</v>
      </c>
      <c r="H1885" t="s">
        <v>42</v>
      </c>
      <c r="I1885" t="s">
        <v>67</v>
      </c>
      <c r="J1885" t="s">
        <v>3116</v>
      </c>
      <c r="M1885" t="s">
        <v>106</v>
      </c>
      <c r="P1885" t="s">
        <v>46</v>
      </c>
      <c r="Q1885" t="s">
        <v>47</v>
      </c>
      <c r="R1885" t="s">
        <v>48</v>
      </c>
      <c r="V1885" t="s">
        <v>49</v>
      </c>
      <c r="X1885" t="s">
        <v>49</v>
      </c>
      <c r="Y1885" t="s">
        <v>74</v>
      </c>
      <c r="Z1885" t="s">
        <v>3053</v>
      </c>
      <c r="AA1885" t="s">
        <v>3053</v>
      </c>
    </row>
    <row r="1886" spans="1:27" x14ac:dyDescent="0.35">
      <c r="A1886" t="str">
        <f t="shared" si="59"/>
        <v>1210C2</v>
      </c>
      <c r="B1886" t="str">
        <f t="shared" si="58"/>
        <v>1210</v>
      </c>
      <c r="C1886" t="s">
        <v>3122</v>
      </c>
      <c r="D1886" t="s">
        <v>1</v>
      </c>
      <c r="E1886" t="s">
        <v>65</v>
      </c>
      <c r="F1886" t="s">
        <v>66</v>
      </c>
      <c r="G1886" t="s">
        <v>757</v>
      </c>
      <c r="H1886" t="s">
        <v>42</v>
      </c>
      <c r="I1886" t="s">
        <v>67</v>
      </c>
      <c r="J1886" t="s">
        <v>3116</v>
      </c>
      <c r="M1886" t="s">
        <v>106</v>
      </c>
      <c r="P1886" t="s">
        <v>69</v>
      </c>
      <c r="Q1886" t="s">
        <v>47</v>
      </c>
      <c r="R1886" t="s">
        <v>48</v>
      </c>
      <c r="V1886" t="s">
        <v>49</v>
      </c>
      <c r="X1886" t="s">
        <v>49</v>
      </c>
      <c r="Y1886" t="s">
        <v>70</v>
      </c>
      <c r="Z1886" t="s">
        <v>3123</v>
      </c>
      <c r="AA1886" t="s">
        <v>3123</v>
      </c>
    </row>
    <row r="1887" spans="1:27" x14ac:dyDescent="0.35">
      <c r="A1887" t="str">
        <f t="shared" si="59"/>
        <v>1210D7</v>
      </c>
      <c r="B1887" t="str">
        <f t="shared" si="58"/>
        <v>1210</v>
      </c>
      <c r="C1887" t="s">
        <v>3124</v>
      </c>
      <c r="D1887" t="s">
        <v>6</v>
      </c>
      <c r="E1887" t="s">
        <v>94</v>
      </c>
      <c r="F1887" t="s">
        <v>111</v>
      </c>
      <c r="G1887" t="s">
        <v>757</v>
      </c>
      <c r="H1887" t="s">
        <v>42</v>
      </c>
      <c r="I1887" t="s">
        <v>43</v>
      </c>
      <c r="J1887" t="s">
        <v>3116</v>
      </c>
      <c r="M1887" t="s">
        <v>106</v>
      </c>
      <c r="P1887" t="s">
        <v>46</v>
      </c>
      <c r="Q1887" t="s">
        <v>47</v>
      </c>
      <c r="R1887" t="s">
        <v>48</v>
      </c>
      <c r="V1887" t="s">
        <v>49</v>
      </c>
      <c r="X1887" t="s">
        <v>49</v>
      </c>
      <c r="Y1887" t="s">
        <v>59</v>
      </c>
      <c r="Z1887" t="s">
        <v>3125</v>
      </c>
      <c r="AA1887" t="s">
        <v>3125</v>
      </c>
    </row>
    <row r="1888" spans="1:27" x14ac:dyDescent="0.35">
      <c r="A1888" t="str">
        <f t="shared" si="59"/>
        <v>306_F3</v>
      </c>
      <c r="B1888" t="str">
        <f t="shared" si="58"/>
        <v>306_</v>
      </c>
      <c r="C1888" t="s">
        <v>3126</v>
      </c>
      <c r="D1888" t="s">
        <v>5</v>
      </c>
      <c r="E1888" t="s">
        <v>40</v>
      </c>
      <c r="F1888" t="s">
        <v>73</v>
      </c>
      <c r="G1888" t="s">
        <v>757</v>
      </c>
      <c r="H1888" t="s">
        <v>42</v>
      </c>
      <c r="I1888" t="s">
        <v>67</v>
      </c>
      <c r="J1888" t="s">
        <v>3127</v>
      </c>
      <c r="M1888" t="s">
        <v>106</v>
      </c>
      <c r="P1888" t="s">
        <v>46</v>
      </c>
      <c r="Q1888" t="s">
        <v>47</v>
      </c>
      <c r="R1888" t="s">
        <v>48</v>
      </c>
      <c r="V1888" t="s">
        <v>49</v>
      </c>
      <c r="X1888" t="s">
        <v>49</v>
      </c>
      <c r="Y1888" t="s">
        <v>74</v>
      </c>
      <c r="Z1888" t="s">
        <v>3003</v>
      </c>
      <c r="AA1888" t="s">
        <v>3003</v>
      </c>
    </row>
    <row r="1889" spans="1:27" x14ac:dyDescent="0.35">
      <c r="A1889" t="str">
        <f t="shared" si="59"/>
        <v>306_F2</v>
      </c>
      <c r="B1889" t="str">
        <f t="shared" si="58"/>
        <v>306_</v>
      </c>
      <c r="C1889" t="s">
        <v>3128</v>
      </c>
      <c r="D1889" t="s">
        <v>4</v>
      </c>
      <c r="E1889" t="s">
        <v>77</v>
      </c>
      <c r="F1889" t="s">
        <v>78</v>
      </c>
      <c r="G1889" t="s">
        <v>757</v>
      </c>
      <c r="H1889" t="s">
        <v>42</v>
      </c>
      <c r="I1889" t="s">
        <v>67</v>
      </c>
      <c r="J1889" t="s">
        <v>3127</v>
      </c>
      <c r="M1889" t="s">
        <v>106</v>
      </c>
      <c r="P1889" t="s">
        <v>1315</v>
      </c>
      <c r="Q1889" t="s">
        <v>47</v>
      </c>
      <c r="R1889" t="s">
        <v>48</v>
      </c>
      <c r="V1889" t="s">
        <v>49</v>
      </c>
      <c r="X1889" t="s">
        <v>49</v>
      </c>
      <c r="Y1889" t="s">
        <v>74</v>
      </c>
      <c r="Z1889" t="s">
        <v>3129</v>
      </c>
      <c r="AA1889" t="s">
        <v>3129</v>
      </c>
    </row>
    <row r="1890" spans="1:27" x14ac:dyDescent="0.35">
      <c r="A1890" t="str">
        <f t="shared" si="59"/>
        <v>306_C2</v>
      </c>
      <c r="B1890" t="str">
        <f t="shared" si="58"/>
        <v>306_</v>
      </c>
      <c r="C1890" t="s">
        <v>3130</v>
      </c>
      <c r="D1890" t="s">
        <v>1</v>
      </c>
      <c r="E1890" t="s">
        <v>65</v>
      </c>
      <c r="F1890" t="s">
        <v>66</v>
      </c>
      <c r="G1890" t="s">
        <v>757</v>
      </c>
      <c r="H1890" t="s">
        <v>42</v>
      </c>
      <c r="I1890" t="s">
        <v>67</v>
      </c>
      <c r="J1890" t="s">
        <v>3127</v>
      </c>
      <c r="M1890" t="s">
        <v>106</v>
      </c>
      <c r="P1890" t="s">
        <v>69</v>
      </c>
      <c r="Q1890" t="s">
        <v>47</v>
      </c>
      <c r="R1890" t="s">
        <v>48</v>
      </c>
      <c r="V1890" t="s">
        <v>49</v>
      </c>
      <c r="X1890" t="s">
        <v>49</v>
      </c>
      <c r="Y1890" t="s">
        <v>70</v>
      </c>
      <c r="Z1890" t="s">
        <v>3869</v>
      </c>
      <c r="AA1890" t="s">
        <v>3869</v>
      </c>
    </row>
    <row r="1891" spans="1:27" x14ac:dyDescent="0.35">
      <c r="A1891" t="str">
        <f t="shared" si="59"/>
        <v>306_D2</v>
      </c>
      <c r="B1891" t="str">
        <f t="shared" si="58"/>
        <v>306_</v>
      </c>
      <c r="C1891" t="s">
        <v>3131</v>
      </c>
      <c r="D1891" t="s">
        <v>2</v>
      </c>
      <c r="E1891" t="s">
        <v>62</v>
      </c>
      <c r="F1891" t="s">
        <v>63</v>
      </c>
      <c r="G1891" t="s">
        <v>757</v>
      </c>
      <c r="H1891" t="s">
        <v>42</v>
      </c>
      <c r="I1891" t="s">
        <v>67</v>
      </c>
      <c r="J1891" t="s">
        <v>3127</v>
      </c>
      <c r="K1891" t="s">
        <v>56</v>
      </c>
      <c r="M1891" t="s">
        <v>106</v>
      </c>
      <c r="P1891" t="s">
        <v>58</v>
      </c>
      <c r="Q1891" t="s">
        <v>47</v>
      </c>
      <c r="R1891" t="s">
        <v>48</v>
      </c>
      <c r="V1891" t="s">
        <v>49</v>
      </c>
      <c r="X1891" t="s">
        <v>49</v>
      </c>
      <c r="Y1891" t="s">
        <v>59</v>
      </c>
      <c r="Z1891" t="s">
        <v>3888</v>
      </c>
      <c r="AA1891" t="s">
        <v>3888</v>
      </c>
    </row>
    <row r="1892" spans="1:27" x14ac:dyDescent="0.35">
      <c r="A1892" t="str">
        <f t="shared" si="59"/>
        <v>306_D7</v>
      </c>
      <c r="B1892" t="str">
        <f t="shared" si="58"/>
        <v>306_</v>
      </c>
      <c r="C1892" t="s">
        <v>3132</v>
      </c>
      <c r="D1892" t="s">
        <v>6</v>
      </c>
      <c r="E1892" t="s">
        <v>94</v>
      </c>
      <c r="F1892" t="s">
        <v>111</v>
      </c>
      <c r="G1892" t="s">
        <v>757</v>
      </c>
      <c r="H1892" t="s">
        <v>42</v>
      </c>
      <c r="I1892" t="s">
        <v>67</v>
      </c>
      <c r="J1892" t="s">
        <v>3127</v>
      </c>
      <c r="M1892" t="s">
        <v>106</v>
      </c>
      <c r="P1892" t="s">
        <v>58</v>
      </c>
      <c r="Q1892" t="s">
        <v>47</v>
      </c>
      <c r="R1892" t="s">
        <v>48</v>
      </c>
      <c r="V1892" t="s">
        <v>49</v>
      </c>
      <c r="X1892" t="s">
        <v>49</v>
      </c>
      <c r="Y1892" t="s">
        <v>59</v>
      </c>
      <c r="Z1892" t="s">
        <v>3113</v>
      </c>
      <c r="AA1892" t="s">
        <v>3113</v>
      </c>
    </row>
    <row r="1893" spans="1:27" x14ac:dyDescent="0.35">
      <c r="A1893" t="str">
        <f t="shared" si="59"/>
        <v>306_D4</v>
      </c>
      <c r="B1893" t="str">
        <f t="shared" si="58"/>
        <v>306_</v>
      </c>
      <c r="C1893" t="s">
        <v>3133</v>
      </c>
      <c r="D1893" t="s">
        <v>3</v>
      </c>
      <c r="E1893" t="s">
        <v>52</v>
      </c>
      <c r="F1893" t="s">
        <v>53</v>
      </c>
      <c r="G1893" t="s">
        <v>757</v>
      </c>
      <c r="H1893" t="s">
        <v>42</v>
      </c>
      <c r="I1893" t="s">
        <v>67</v>
      </c>
      <c r="J1893" t="s">
        <v>3127</v>
      </c>
      <c r="K1893" t="s">
        <v>56</v>
      </c>
      <c r="M1893" t="s">
        <v>106</v>
      </c>
      <c r="P1893" t="s">
        <v>58</v>
      </c>
      <c r="Q1893" t="s">
        <v>47</v>
      </c>
      <c r="R1893" t="s">
        <v>48</v>
      </c>
      <c r="V1893" t="s">
        <v>49</v>
      </c>
      <c r="X1893" t="s">
        <v>49</v>
      </c>
      <c r="Y1893" t="s">
        <v>59</v>
      </c>
      <c r="Z1893" t="s">
        <v>3868</v>
      </c>
      <c r="AA1893" t="s">
        <v>3868</v>
      </c>
    </row>
    <row r="1894" spans="1:27" x14ac:dyDescent="0.35">
      <c r="A1894" t="str">
        <f t="shared" si="59"/>
        <v>1209F2</v>
      </c>
      <c r="B1894" t="str">
        <f t="shared" si="58"/>
        <v>1209</v>
      </c>
      <c r="C1894" t="s">
        <v>3134</v>
      </c>
      <c r="D1894" t="s">
        <v>4</v>
      </c>
      <c r="E1894" t="s">
        <v>77</v>
      </c>
      <c r="F1894" t="s">
        <v>78</v>
      </c>
      <c r="G1894" t="s">
        <v>757</v>
      </c>
      <c r="H1894" t="s">
        <v>42</v>
      </c>
      <c r="I1894" t="s">
        <v>67</v>
      </c>
      <c r="J1894" t="s">
        <v>3135</v>
      </c>
      <c r="M1894" t="s">
        <v>106</v>
      </c>
      <c r="P1894" t="s">
        <v>304</v>
      </c>
      <c r="Q1894" t="s">
        <v>47</v>
      </c>
      <c r="R1894" t="s">
        <v>48</v>
      </c>
      <c r="V1894" t="s">
        <v>49</v>
      </c>
      <c r="X1894" t="s">
        <v>49</v>
      </c>
      <c r="Y1894" t="s">
        <v>74</v>
      </c>
      <c r="Z1894" t="s">
        <v>3083</v>
      </c>
      <c r="AA1894" t="s">
        <v>3083</v>
      </c>
    </row>
    <row r="1895" spans="1:27" x14ac:dyDescent="0.35">
      <c r="A1895" t="str">
        <f t="shared" si="59"/>
        <v>1209D4</v>
      </c>
      <c r="B1895" t="str">
        <f t="shared" si="58"/>
        <v>1209</v>
      </c>
      <c r="C1895" t="s">
        <v>3136</v>
      </c>
      <c r="D1895" t="s">
        <v>3</v>
      </c>
      <c r="E1895" t="s">
        <v>52</v>
      </c>
      <c r="F1895" t="s">
        <v>53</v>
      </c>
      <c r="G1895" t="s">
        <v>757</v>
      </c>
      <c r="H1895" t="s">
        <v>42</v>
      </c>
      <c r="I1895" t="s">
        <v>43</v>
      </c>
      <c r="J1895" t="s">
        <v>3135</v>
      </c>
      <c r="K1895" t="s">
        <v>56</v>
      </c>
      <c r="M1895" t="s">
        <v>106</v>
      </c>
      <c r="P1895" t="s">
        <v>69</v>
      </c>
      <c r="Q1895" t="s">
        <v>47</v>
      </c>
      <c r="R1895" t="s">
        <v>48</v>
      </c>
      <c r="V1895" t="s">
        <v>49</v>
      </c>
      <c r="X1895" t="s">
        <v>49</v>
      </c>
      <c r="Y1895" t="s">
        <v>59</v>
      </c>
      <c r="Z1895" t="s">
        <v>3137</v>
      </c>
      <c r="AA1895" t="s">
        <v>3137</v>
      </c>
    </row>
    <row r="1896" spans="1:27" x14ac:dyDescent="0.35">
      <c r="A1896" t="str">
        <f t="shared" si="59"/>
        <v>1209D2</v>
      </c>
      <c r="B1896" t="str">
        <f t="shared" si="58"/>
        <v>1209</v>
      </c>
      <c r="C1896" t="s">
        <v>3138</v>
      </c>
      <c r="D1896" t="s">
        <v>2</v>
      </c>
      <c r="E1896" t="s">
        <v>62</v>
      </c>
      <c r="F1896" t="s">
        <v>63</v>
      </c>
      <c r="G1896" t="s">
        <v>757</v>
      </c>
      <c r="H1896" t="s">
        <v>42</v>
      </c>
      <c r="I1896" t="s">
        <v>43</v>
      </c>
      <c r="J1896" t="s">
        <v>3135</v>
      </c>
      <c r="K1896" t="s">
        <v>56</v>
      </c>
      <c r="M1896" t="s">
        <v>106</v>
      </c>
      <c r="P1896" t="s">
        <v>58</v>
      </c>
      <c r="Q1896" t="s">
        <v>47</v>
      </c>
      <c r="R1896" t="s">
        <v>48</v>
      </c>
      <c r="V1896" t="s">
        <v>49</v>
      </c>
      <c r="X1896" t="s">
        <v>49</v>
      </c>
      <c r="Y1896" t="s">
        <v>59</v>
      </c>
      <c r="Z1896" t="s">
        <v>3139</v>
      </c>
      <c r="AA1896" t="s">
        <v>3139</v>
      </c>
    </row>
    <row r="1897" spans="1:27" x14ac:dyDescent="0.35">
      <c r="A1897" t="str">
        <f t="shared" si="59"/>
        <v>1209F3</v>
      </c>
      <c r="B1897" t="str">
        <f t="shared" si="58"/>
        <v>1209</v>
      </c>
      <c r="C1897" t="s">
        <v>3140</v>
      </c>
      <c r="D1897" t="s">
        <v>5</v>
      </c>
      <c r="E1897" t="s">
        <v>40</v>
      </c>
      <c r="F1897" t="s">
        <v>73</v>
      </c>
      <c r="G1897" t="s">
        <v>757</v>
      </c>
      <c r="H1897" t="s">
        <v>42</v>
      </c>
      <c r="I1897" t="s">
        <v>67</v>
      </c>
      <c r="J1897" t="s">
        <v>3135</v>
      </c>
      <c r="M1897" t="s">
        <v>106</v>
      </c>
      <c r="P1897" t="s">
        <v>46</v>
      </c>
      <c r="Q1897" t="s">
        <v>47</v>
      </c>
      <c r="R1897" t="s">
        <v>48</v>
      </c>
      <c r="V1897" t="s">
        <v>49</v>
      </c>
      <c r="X1897" t="s">
        <v>49</v>
      </c>
      <c r="Y1897" t="s">
        <v>74</v>
      </c>
      <c r="Z1897" t="s">
        <v>3053</v>
      </c>
      <c r="AA1897" t="s">
        <v>3053</v>
      </c>
    </row>
    <row r="1898" spans="1:27" x14ac:dyDescent="0.35">
      <c r="A1898" t="str">
        <f t="shared" si="59"/>
        <v>1209C2</v>
      </c>
      <c r="B1898" t="str">
        <f t="shared" si="58"/>
        <v>1209</v>
      </c>
      <c r="C1898" t="s">
        <v>3141</v>
      </c>
      <c r="D1898" t="s">
        <v>1</v>
      </c>
      <c r="E1898" t="s">
        <v>65</v>
      </c>
      <c r="F1898" t="s">
        <v>66</v>
      </c>
      <c r="G1898" t="s">
        <v>757</v>
      </c>
      <c r="H1898" t="s">
        <v>42</v>
      </c>
      <c r="I1898" t="s">
        <v>67</v>
      </c>
      <c r="J1898" t="s">
        <v>3135</v>
      </c>
      <c r="M1898" t="s">
        <v>106</v>
      </c>
      <c r="P1898" t="s">
        <v>69</v>
      </c>
      <c r="Q1898" t="s">
        <v>47</v>
      </c>
      <c r="R1898" t="s">
        <v>48</v>
      </c>
      <c r="V1898" t="s">
        <v>49</v>
      </c>
      <c r="X1898" t="s">
        <v>49</v>
      </c>
      <c r="Y1898" t="s">
        <v>70</v>
      </c>
      <c r="Z1898" t="s">
        <v>3142</v>
      </c>
      <c r="AA1898" t="s">
        <v>3142</v>
      </c>
    </row>
    <row r="1899" spans="1:27" x14ac:dyDescent="0.35">
      <c r="A1899" t="str">
        <f t="shared" si="59"/>
        <v>1209D7</v>
      </c>
      <c r="B1899" t="str">
        <f t="shared" si="58"/>
        <v>1209</v>
      </c>
      <c r="C1899" t="s">
        <v>3143</v>
      </c>
      <c r="D1899" t="s">
        <v>6</v>
      </c>
      <c r="E1899" t="s">
        <v>94</v>
      </c>
      <c r="F1899" t="s">
        <v>111</v>
      </c>
      <c r="G1899" t="s">
        <v>757</v>
      </c>
      <c r="H1899" t="s">
        <v>42</v>
      </c>
      <c r="I1899" t="s">
        <v>43</v>
      </c>
      <c r="J1899" t="s">
        <v>3135</v>
      </c>
      <c r="M1899" t="s">
        <v>106</v>
      </c>
      <c r="P1899" t="s">
        <v>273</v>
      </c>
      <c r="Q1899" t="s">
        <v>47</v>
      </c>
      <c r="R1899" t="s">
        <v>48</v>
      </c>
      <c r="V1899" t="s">
        <v>49</v>
      </c>
      <c r="X1899" t="s">
        <v>49</v>
      </c>
      <c r="Y1899" t="s">
        <v>59</v>
      </c>
      <c r="Z1899" t="s">
        <v>3125</v>
      </c>
      <c r="AA1899" t="s">
        <v>3125</v>
      </c>
    </row>
    <row r="1900" spans="1:27" x14ac:dyDescent="0.35">
      <c r="A1900" t="str">
        <f t="shared" si="59"/>
        <v>305_F3</v>
      </c>
      <c r="B1900" t="str">
        <f t="shared" si="58"/>
        <v>305_</v>
      </c>
      <c r="C1900" t="s">
        <v>3144</v>
      </c>
      <c r="D1900" t="s">
        <v>5</v>
      </c>
      <c r="E1900" t="s">
        <v>40</v>
      </c>
      <c r="F1900" t="s">
        <v>73</v>
      </c>
      <c r="G1900" t="s">
        <v>757</v>
      </c>
      <c r="H1900" t="s">
        <v>42</v>
      </c>
      <c r="I1900" t="s">
        <v>67</v>
      </c>
      <c r="J1900" t="s">
        <v>3145</v>
      </c>
      <c r="M1900" t="s">
        <v>106</v>
      </c>
      <c r="P1900" t="s">
        <v>46</v>
      </c>
      <c r="Q1900" t="s">
        <v>47</v>
      </c>
      <c r="R1900" t="s">
        <v>48</v>
      </c>
      <c r="V1900" t="s">
        <v>49</v>
      </c>
      <c r="X1900" t="s">
        <v>49</v>
      </c>
      <c r="Y1900" t="s">
        <v>74</v>
      </c>
      <c r="Z1900" t="s">
        <v>3129</v>
      </c>
      <c r="AA1900" t="s">
        <v>3129</v>
      </c>
    </row>
    <row r="1901" spans="1:27" x14ac:dyDescent="0.35">
      <c r="A1901" t="str">
        <f t="shared" si="59"/>
        <v>305_F2</v>
      </c>
      <c r="B1901" t="str">
        <f t="shared" si="58"/>
        <v>305_</v>
      </c>
      <c r="C1901" t="s">
        <v>3146</v>
      </c>
      <c r="D1901" t="s">
        <v>4</v>
      </c>
      <c r="E1901" t="s">
        <v>77</v>
      </c>
      <c r="F1901" t="s">
        <v>78</v>
      </c>
      <c r="G1901" t="s">
        <v>757</v>
      </c>
      <c r="H1901" t="s">
        <v>42</v>
      </c>
      <c r="I1901" t="s">
        <v>67</v>
      </c>
      <c r="J1901" t="s">
        <v>3145</v>
      </c>
      <c r="M1901" t="s">
        <v>106</v>
      </c>
      <c r="P1901" t="s">
        <v>710</v>
      </c>
      <c r="Q1901" t="s">
        <v>47</v>
      </c>
      <c r="R1901" t="s">
        <v>48</v>
      </c>
      <c r="V1901" t="s">
        <v>49</v>
      </c>
      <c r="X1901" t="s">
        <v>49</v>
      </c>
      <c r="Y1901" t="s">
        <v>74</v>
      </c>
      <c r="Z1901" t="s">
        <v>3129</v>
      </c>
      <c r="AA1901" t="s">
        <v>3129</v>
      </c>
    </row>
    <row r="1902" spans="1:27" x14ac:dyDescent="0.35">
      <c r="A1902" t="str">
        <f t="shared" si="59"/>
        <v>305_C2</v>
      </c>
      <c r="B1902" t="str">
        <f t="shared" si="58"/>
        <v>305_</v>
      </c>
      <c r="C1902" t="s">
        <v>3147</v>
      </c>
      <c r="D1902" t="s">
        <v>1</v>
      </c>
      <c r="E1902" t="s">
        <v>65</v>
      </c>
      <c r="F1902" t="s">
        <v>66</v>
      </c>
      <c r="G1902" t="s">
        <v>757</v>
      </c>
      <c r="H1902" t="s">
        <v>42</v>
      </c>
      <c r="I1902" t="s">
        <v>67</v>
      </c>
      <c r="J1902" t="s">
        <v>3145</v>
      </c>
      <c r="M1902" t="s">
        <v>106</v>
      </c>
      <c r="P1902" t="s">
        <v>69</v>
      </c>
      <c r="Q1902" t="s">
        <v>47</v>
      </c>
      <c r="R1902" t="s">
        <v>48</v>
      </c>
      <c r="V1902" t="s">
        <v>49</v>
      </c>
      <c r="X1902" t="s">
        <v>49</v>
      </c>
      <c r="Y1902" t="s">
        <v>70</v>
      </c>
      <c r="Z1902" t="s">
        <v>3869</v>
      </c>
      <c r="AA1902" t="s">
        <v>3869</v>
      </c>
    </row>
    <row r="1903" spans="1:27" x14ac:dyDescent="0.35">
      <c r="A1903" t="str">
        <f t="shared" si="59"/>
        <v>305_D2</v>
      </c>
      <c r="B1903" t="str">
        <f t="shared" si="58"/>
        <v>305_</v>
      </c>
      <c r="C1903" t="s">
        <v>3148</v>
      </c>
      <c r="D1903" t="s">
        <v>2</v>
      </c>
      <c r="E1903" t="s">
        <v>62</v>
      </c>
      <c r="F1903" t="s">
        <v>63</v>
      </c>
      <c r="G1903" t="s">
        <v>757</v>
      </c>
      <c r="H1903" t="s">
        <v>42</v>
      </c>
      <c r="I1903" t="s">
        <v>67</v>
      </c>
      <c r="J1903" t="s">
        <v>3145</v>
      </c>
      <c r="K1903" t="s">
        <v>56</v>
      </c>
      <c r="M1903" t="s">
        <v>106</v>
      </c>
      <c r="P1903" t="s">
        <v>58</v>
      </c>
      <c r="Q1903" t="s">
        <v>47</v>
      </c>
      <c r="R1903" t="s">
        <v>48</v>
      </c>
      <c r="V1903" t="s">
        <v>49</v>
      </c>
      <c r="X1903" t="s">
        <v>49</v>
      </c>
      <c r="Y1903" t="s">
        <v>59</v>
      </c>
      <c r="Z1903" t="s">
        <v>3889</v>
      </c>
      <c r="AA1903" t="s">
        <v>3889</v>
      </c>
    </row>
    <row r="1904" spans="1:27" x14ac:dyDescent="0.35">
      <c r="A1904" t="str">
        <f t="shared" si="59"/>
        <v>1208F2</v>
      </c>
      <c r="B1904" t="str">
        <f t="shared" si="58"/>
        <v>1208</v>
      </c>
      <c r="C1904" t="s">
        <v>3149</v>
      </c>
      <c r="D1904" t="s">
        <v>4</v>
      </c>
      <c r="E1904" t="s">
        <v>77</v>
      </c>
      <c r="F1904" t="s">
        <v>78</v>
      </c>
      <c r="G1904" t="s">
        <v>757</v>
      </c>
      <c r="H1904" t="s">
        <v>42</v>
      </c>
      <c r="I1904" t="s">
        <v>67</v>
      </c>
      <c r="J1904" t="s">
        <v>3150</v>
      </c>
      <c r="M1904" t="s">
        <v>106</v>
      </c>
      <c r="P1904" t="s">
        <v>189</v>
      </c>
      <c r="Q1904" t="s">
        <v>47</v>
      </c>
      <c r="R1904" t="s">
        <v>48</v>
      </c>
      <c r="V1904" t="s">
        <v>49</v>
      </c>
      <c r="X1904" t="s">
        <v>49</v>
      </c>
      <c r="Y1904" t="s">
        <v>74</v>
      </c>
      <c r="Z1904" t="s">
        <v>3151</v>
      </c>
      <c r="AA1904" t="s">
        <v>3151</v>
      </c>
    </row>
    <row r="1905" spans="1:27" x14ac:dyDescent="0.35">
      <c r="A1905" t="str">
        <f t="shared" si="59"/>
        <v>1208D4</v>
      </c>
      <c r="B1905" t="str">
        <f t="shared" si="58"/>
        <v>1208</v>
      </c>
      <c r="C1905" t="s">
        <v>3152</v>
      </c>
      <c r="D1905" t="s">
        <v>3</v>
      </c>
      <c r="E1905" t="s">
        <v>52</v>
      </c>
      <c r="F1905" t="s">
        <v>53</v>
      </c>
      <c r="G1905" t="s">
        <v>757</v>
      </c>
      <c r="H1905" t="s">
        <v>42</v>
      </c>
      <c r="I1905" t="s">
        <v>43</v>
      </c>
      <c r="J1905" t="s">
        <v>3150</v>
      </c>
      <c r="K1905" t="s">
        <v>56</v>
      </c>
      <c r="M1905" t="s">
        <v>106</v>
      </c>
      <c r="P1905" t="s">
        <v>69</v>
      </c>
      <c r="Q1905" t="s">
        <v>47</v>
      </c>
      <c r="R1905" t="s">
        <v>48</v>
      </c>
      <c r="V1905" t="s">
        <v>49</v>
      </c>
      <c r="X1905" t="s">
        <v>49</v>
      </c>
      <c r="Y1905" t="s">
        <v>59</v>
      </c>
      <c r="Z1905" t="s">
        <v>3137</v>
      </c>
      <c r="AA1905" t="s">
        <v>3137</v>
      </c>
    </row>
    <row r="1906" spans="1:27" x14ac:dyDescent="0.35">
      <c r="A1906" t="str">
        <f t="shared" si="59"/>
        <v>305_D7</v>
      </c>
      <c r="B1906" t="str">
        <f t="shared" si="58"/>
        <v>305_</v>
      </c>
      <c r="C1906" t="s">
        <v>3153</v>
      </c>
      <c r="D1906" t="s">
        <v>6</v>
      </c>
      <c r="E1906" t="s">
        <v>94</v>
      </c>
      <c r="F1906" t="s">
        <v>111</v>
      </c>
      <c r="G1906" t="s">
        <v>757</v>
      </c>
      <c r="H1906" t="s">
        <v>42</v>
      </c>
      <c r="I1906" t="s">
        <v>67</v>
      </c>
      <c r="J1906" t="s">
        <v>3145</v>
      </c>
      <c r="M1906" t="s">
        <v>106</v>
      </c>
      <c r="P1906" t="s">
        <v>46</v>
      </c>
      <c r="Q1906" t="s">
        <v>47</v>
      </c>
      <c r="R1906" t="s">
        <v>48</v>
      </c>
      <c r="V1906" t="s">
        <v>49</v>
      </c>
      <c r="X1906" t="s">
        <v>49</v>
      </c>
      <c r="Y1906" t="s">
        <v>59</v>
      </c>
      <c r="Z1906" t="s">
        <v>3154</v>
      </c>
      <c r="AA1906" t="s">
        <v>3154</v>
      </c>
    </row>
    <row r="1907" spans="1:27" x14ac:dyDescent="0.35">
      <c r="A1907" t="str">
        <f t="shared" si="59"/>
        <v>305_D4</v>
      </c>
      <c r="B1907" t="str">
        <f t="shared" si="58"/>
        <v>305_</v>
      </c>
      <c r="C1907" t="s">
        <v>3155</v>
      </c>
      <c r="D1907" t="s">
        <v>3</v>
      </c>
      <c r="E1907" t="s">
        <v>52</v>
      </c>
      <c r="F1907" t="s">
        <v>53</v>
      </c>
      <c r="G1907" t="s">
        <v>757</v>
      </c>
      <c r="H1907" t="s">
        <v>42</v>
      </c>
      <c r="I1907" t="s">
        <v>67</v>
      </c>
      <c r="J1907" t="s">
        <v>3145</v>
      </c>
      <c r="K1907" t="s">
        <v>56</v>
      </c>
      <c r="M1907" t="s">
        <v>106</v>
      </c>
      <c r="P1907" t="s">
        <v>58</v>
      </c>
      <c r="Q1907" t="s">
        <v>47</v>
      </c>
      <c r="R1907" t="s">
        <v>48</v>
      </c>
      <c r="V1907" t="s">
        <v>49</v>
      </c>
      <c r="X1907" t="s">
        <v>49</v>
      </c>
      <c r="Y1907" t="s">
        <v>59</v>
      </c>
      <c r="Z1907" t="s">
        <v>3868</v>
      </c>
      <c r="AA1907" t="s">
        <v>3868</v>
      </c>
    </row>
    <row r="1908" spans="1:27" x14ac:dyDescent="0.35">
      <c r="A1908" t="str">
        <f t="shared" si="59"/>
        <v>1208D2</v>
      </c>
      <c r="B1908" t="str">
        <f t="shared" si="58"/>
        <v>1208</v>
      </c>
      <c r="C1908" t="s">
        <v>3156</v>
      </c>
      <c r="D1908" t="s">
        <v>2</v>
      </c>
      <c r="E1908" t="s">
        <v>62</v>
      </c>
      <c r="F1908" t="s">
        <v>63</v>
      </c>
      <c r="G1908" t="s">
        <v>757</v>
      </c>
      <c r="H1908" t="s">
        <v>42</v>
      </c>
      <c r="I1908" t="s">
        <v>43</v>
      </c>
      <c r="J1908" t="s">
        <v>3150</v>
      </c>
      <c r="K1908" t="s">
        <v>56</v>
      </c>
      <c r="M1908" t="s">
        <v>106</v>
      </c>
      <c r="P1908" t="s">
        <v>58</v>
      </c>
      <c r="Q1908" t="s">
        <v>47</v>
      </c>
      <c r="R1908" t="s">
        <v>48</v>
      </c>
      <c r="V1908" t="s">
        <v>49</v>
      </c>
      <c r="X1908" t="s">
        <v>49</v>
      </c>
      <c r="Y1908" t="s">
        <v>59</v>
      </c>
      <c r="Z1908" t="s">
        <v>3157</v>
      </c>
      <c r="AA1908" t="s">
        <v>3157</v>
      </c>
    </row>
    <row r="1909" spans="1:27" x14ac:dyDescent="0.35">
      <c r="A1909" t="str">
        <f t="shared" si="59"/>
        <v>1208F3</v>
      </c>
      <c r="B1909" t="str">
        <f t="shared" si="58"/>
        <v>1208</v>
      </c>
      <c r="C1909" t="s">
        <v>3158</v>
      </c>
      <c r="D1909" t="s">
        <v>5</v>
      </c>
      <c r="E1909" t="s">
        <v>40</v>
      </c>
      <c r="F1909" t="s">
        <v>73</v>
      </c>
      <c r="G1909" t="s">
        <v>757</v>
      </c>
      <c r="H1909" t="s">
        <v>42</v>
      </c>
      <c r="I1909" t="s">
        <v>67</v>
      </c>
      <c r="J1909" t="s">
        <v>3150</v>
      </c>
      <c r="M1909" t="s">
        <v>106</v>
      </c>
      <c r="P1909" t="s">
        <v>46</v>
      </c>
      <c r="Q1909" t="s">
        <v>47</v>
      </c>
      <c r="R1909" t="s">
        <v>48</v>
      </c>
      <c r="V1909" t="s">
        <v>49</v>
      </c>
      <c r="X1909" t="s">
        <v>49</v>
      </c>
      <c r="Y1909" t="s">
        <v>74</v>
      </c>
      <c r="Z1909" t="s">
        <v>3159</v>
      </c>
      <c r="AA1909" t="s">
        <v>3159</v>
      </c>
    </row>
    <row r="1910" spans="1:27" x14ac:dyDescent="0.35">
      <c r="A1910" t="str">
        <f t="shared" si="59"/>
        <v>1208C2</v>
      </c>
      <c r="B1910" t="str">
        <f t="shared" si="58"/>
        <v>1208</v>
      </c>
      <c r="C1910" t="s">
        <v>3160</v>
      </c>
      <c r="D1910" t="s">
        <v>1</v>
      </c>
      <c r="E1910" t="s">
        <v>65</v>
      </c>
      <c r="F1910" t="s">
        <v>66</v>
      </c>
      <c r="G1910" t="s">
        <v>757</v>
      </c>
      <c r="H1910" t="s">
        <v>42</v>
      </c>
      <c r="I1910" t="s">
        <v>67</v>
      </c>
      <c r="J1910" t="s">
        <v>3150</v>
      </c>
      <c r="M1910" t="s">
        <v>106</v>
      </c>
      <c r="P1910" t="s">
        <v>69</v>
      </c>
      <c r="Q1910" t="s">
        <v>47</v>
      </c>
      <c r="R1910" t="s">
        <v>48</v>
      </c>
      <c r="V1910" t="s">
        <v>49</v>
      </c>
      <c r="X1910" t="s">
        <v>49</v>
      </c>
      <c r="Y1910" t="s">
        <v>70</v>
      </c>
      <c r="Z1910" t="s">
        <v>3142</v>
      </c>
      <c r="AA1910" t="s">
        <v>3142</v>
      </c>
    </row>
    <row r="1911" spans="1:27" x14ac:dyDescent="0.35">
      <c r="A1911" t="str">
        <f t="shared" si="59"/>
        <v>1208D7</v>
      </c>
      <c r="B1911" t="str">
        <f t="shared" si="58"/>
        <v>1208</v>
      </c>
      <c r="C1911" t="s">
        <v>3161</v>
      </c>
      <c r="D1911" t="s">
        <v>6</v>
      </c>
      <c r="E1911" t="s">
        <v>94</v>
      </c>
      <c r="F1911" t="s">
        <v>111</v>
      </c>
      <c r="G1911" t="s">
        <v>757</v>
      </c>
      <c r="H1911" t="s">
        <v>42</v>
      </c>
      <c r="I1911" t="s">
        <v>43</v>
      </c>
      <c r="J1911" t="s">
        <v>3150</v>
      </c>
      <c r="M1911" t="s">
        <v>106</v>
      </c>
      <c r="P1911" t="s">
        <v>46</v>
      </c>
      <c r="Q1911" t="s">
        <v>47</v>
      </c>
      <c r="R1911" t="s">
        <v>48</v>
      </c>
      <c r="V1911" t="s">
        <v>49</v>
      </c>
      <c r="X1911" t="s">
        <v>49</v>
      </c>
      <c r="Y1911" t="s">
        <v>59</v>
      </c>
      <c r="Z1911" t="s">
        <v>3125</v>
      </c>
      <c r="AA1911" t="s">
        <v>3125</v>
      </c>
    </row>
    <row r="1912" spans="1:27" x14ac:dyDescent="0.35">
      <c r="A1912" t="str">
        <f t="shared" si="59"/>
        <v>304_F3</v>
      </c>
      <c r="B1912" t="str">
        <f t="shared" si="58"/>
        <v>304_</v>
      </c>
      <c r="C1912" t="s">
        <v>3162</v>
      </c>
      <c r="D1912" t="s">
        <v>5</v>
      </c>
      <c r="E1912" t="s">
        <v>40</v>
      </c>
      <c r="F1912" t="s">
        <v>73</v>
      </c>
      <c r="G1912" t="s">
        <v>757</v>
      </c>
      <c r="H1912" t="s">
        <v>42</v>
      </c>
      <c r="I1912" t="s">
        <v>67</v>
      </c>
      <c r="J1912" t="s">
        <v>3163</v>
      </c>
      <c r="M1912" t="s">
        <v>106</v>
      </c>
      <c r="P1912" t="s">
        <v>46</v>
      </c>
      <c r="Q1912" t="s">
        <v>47</v>
      </c>
      <c r="R1912" t="s">
        <v>48</v>
      </c>
      <c r="V1912" t="s">
        <v>49</v>
      </c>
      <c r="X1912" t="s">
        <v>49</v>
      </c>
      <c r="Y1912" t="s">
        <v>74</v>
      </c>
      <c r="Z1912" t="s">
        <v>3164</v>
      </c>
      <c r="AA1912" t="s">
        <v>3164</v>
      </c>
    </row>
    <row r="1913" spans="1:27" x14ac:dyDescent="0.35">
      <c r="A1913" t="str">
        <f t="shared" si="59"/>
        <v>304_F2</v>
      </c>
      <c r="B1913" t="str">
        <f t="shared" si="58"/>
        <v>304_</v>
      </c>
      <c r="C1913" t="s">
        <v>3165</v>
      </c>
      <c r="D1913" t="s">
        <v>4</v>
      </c>
      <c r="E1913" t="s">
        <v>77</v>
      </c>
      <c r="F1913" t="s">
        <v>78</v>
      </c>
      <c r="G1913" t="s">
        <v>757</v>
      </c>
      <c r="H1913" t="s">
        <v>42</v>
      </c>
      <c r="I1913" t="s">
        <v>67</v>
      </c>
      <c r="J1913" t="s">
        <v>3163</v>
      </c>
      <c r="M1913" t="s">
        <v>106</v>
      </c>
      <c r="P1913" t="s">
        <v>710</v>
      </c>
      <c r="Q1913" t="s">
        <v>47</v>
      </c>
      <c r="R1913" t="s">
        <v>48</v>
      </c>
      <c r="V1913" t="s">
        <v>49</v>
      </c>
      <c r="X1913" t="s">
        <v>49</v>
      </c>
      <c r="Y1913" t="s">
        <v>74</v>
      </c>
      <c r="Z1913" t="s">
        <v>3166</v>
      </c>
      <c r="AA1913" t="s">
        <v>3166</v>
      </c>
    </row>
    <row r="1914" spans="1:27" x14ac:dyDescent="0.35">
      <c r="A1914" t="str">
        <f t="shared" si="59"/>
        <v>304_C2</v>
      </c>
      <c r="B1914" t="str">
        <f t="shared" si="58"/>
        <v>304_</v>
      </c>
      <c r="C1914" t="s">
        <v>3167</v>
      </c>
      <c r="D1914" t="s">
        <v>1</v>
      </c>
      <c r="E1914" t="s">
        <v>65</v>
      </c>
      <c r="F1914" t="s">
        <v>66</v>
      </c>
      <c r="G1914" t="s">
        <v>757</v>
      </c>
      <c r="H1914" t="s">
        <v>42</v>
      </c>
      <c r="I1914" t="s">
        <v>67</v>
      </c>
      <c r="J1914" t="s">
        <v>3163</v>
      </c>
      <c r="M1914" t="s">
        <v>106</v>
      </c>
      <c r="P1914" t="s">
        <v>69</v>
      </c>
      <c r="Q1914" t="s">
        <v>47</v>
      </c>
      <c r="R1914" t="s">
        <v>48</v>
      </c>
      <c r="V1914" t="s">
        <v>49</v>
      </c>
      <c r="X1914" t="s">
        <v>49</v>
      </c>
      <c r="Y1914" t="s">
        <v>70</v>
      </c>
      <c r="Z1914" t="s">
        <v>3869</v>
      </c>
      <c r="AA1914" t="s">
        <v>3869</v>
      </c>
    </row>
    <row r="1915" spans="1:27" x14ac:dyDescent="0.35">
      <c r="A1915" t="str">
        <f t="shared" si="59"/>
        <v>1207F2</v>
      </c>
      <c r="B1915" t="str">
        <f t="shared" si="58"/>
        <v>1207</v>
      </c>
      <c r="C1915" t="s">
        <v>3168</v>
      </c>
      <c r="D1915" t="s">
        <v>4</v>
      </c>
      <c r="E1915" t="s">
        <v>77</v>
      </c>
      <c r="F1915" t="s">
        <v>78</v>
      </c>
      <c r="G1915" t="s">
        <v>757</v>
      </c>
      <c r="H1915" t="s">
        <v>42</v>
      </c>
      <c r="I1915" t="s">
        <v>67</v>
      </c>
      <c r="J1915" t="s">
        <v>3169</v>
      </c>
      <c r="M1915" t="s">
        <v>106</v>
      </c>
      <c r="P1915" t="s">
        <v>79</v>
      </c>
      <c r="Q1915" t="s">
        <v>47</v>
      </c>
      <c r="R1915" t="s">
        <v>48</v>
      </c>
      <c r="V1915" t="s">
        <v>49</v>
      </c>
      <c r="X1915" t="s">
        <v>49</v>
      </c>
      <c r="Y1915" t="s">
        <v>74</v>
      </c>
      <c r="Z1915" t="s">
        <v>3151</v>
      </c>
      <c r="AA1915" t="s">
        <v>3151</v>
      </c>
    </row>
    <row r="1916" spans="1:27" x14ac:dyDescent="0.35">
      <c r="A1916" t="str">
        <f t="shared" si="59"/>
        <v>304_D2</v>
      </c>
      <c r="B1916" t="str">
        <f t="shared" si="58"/>
        <v>304_</v>
      </c>
      <c r="C1916" t="s">
        <v>3170</v>
      </c>
      <c r="D1916" t="s">
        <v>2</v>
      </c>
      <c r="E1916" t="s">
        <v>62</v>
      </c>
      <c r="F1916" t="s">
        <v>63</v>
      </c>
      <c r="G1916" t="s">
        <v>757</v>
      </c>
      <c r="H1916" t="s">
        <v>42</v>
      </c>
      <c r="I1916" t="s">
        <v>67</v>
      </c>
      <c r="J1916" t="s">
        <v>3163</v>
      </c>
      <c r="K1916" t="s">
        <v>56</v>
      </c>
      <c r="M1916" t="s">
        <v>106</v>
      </c>
      <c r="P1916" t="s">
        <v>58</v>
      </c>
      <c r="Q1916" t="s">
        <v>47</v>
      </c>
      <c r="R1916" t="s">
        <v>48</v>
      </c>
      <c r="V1916" t="s">
        <v>49</v>
      </c>
      <c r="X1916" t="s">
        <v>49</v>
      </c>
      <c r="Y1916" t="s">
        <v>59</v>
      </c>
      <c r="Z1916" t="s">
        <v>3889</v>
      </c>
      <c r="AA1916" t="s">
        <v>3889</v>
      </c>
    </row>
    <row r="1917" spans="1:27" x14ac:dyDescent="0.35">
      <c r="A1917" t="str">
        <f t="shared" si="59"/>
        <v>1207D4</v>
      </c>
      <c r="B1917" t="str">
        <f t="shared" si="58"/>
        <v>1207</v>
      </c>
      <c r="C1917" t="s">
        <v>3171</v>
      </c>
      <c r="D1917" t="s">
        <v>3</v>
      </c>
      <c r="E1917" t="s">
        <v>52</v>
      </c>
      <c r="F1917" t="s">
        <v>53</v>
      </c>
      <c r="G1917" t="s">
        <v>757</v>
      </c>
      <c r="H1917" t="s">
        <v>42</v>
      </c>
      <c r="I1917" t="s">
        <v>43</v>
      </c>
      <c r="J1917" t="s">
        <v>3169</v>
      </c>
      <c r="K1917" t="s">
        <v>56</v>
      </c>
      <c r="M1917" t="s">
        <v>106</v>
      </c>
      <c r="P1917" t="s">
        <v>69</v>
      </c>
      <c r="Q1917" t="s">
        <v>47</v>
      </c>
      <c r="R1917" t="s">
        <v>48</v>
      </c>
      <c r="V1917" t="s">
        <v>49</v>
      </c>
      <c r="X1917" t="s">
        <v>49</v>
      </c>
      <c r="Y1917" t="s">
        <v>59</v>
      </c>
      <c r="Z1917" t="s">
        <v>3172</v>
      </c>
      <c r="AA1917" t="s">
        <v>3172</v>
      </c>
    </row>
    <row r="1918" spans="1:27" x14ac:dyDescent="0.35">
      <c r="A1918" t="str">
        <f t="shared" si="59"/>
        <v>304_D7</v>
      </c>
      <c r="B1918" t="str">
        <f t="shared" si="58"/>
        <v>304_</v>
      </c>
      <c r="C1918" t="s">
        <v>3173</v>
      </c>
      <c r="D1918" t="s">
        <v>6</v>
      </c>
      <c r="E1918" t="s">
        <v>94</v>
      </c>
      <c r="F1918" t="s">
        <v>111</v>
      </c>
      <c r="G1918" t="s">
        <v>757</v>
      </c>
      <c r="H1918" t="s">
        <v>42</v>
      </c>
      <c r="I1918" t="s">
        <v>67</v>
      </c>
      <c r="J1918" t="s">
        <v>3163</v>
      </c>
      <c r="M1918" t="s">
        <v>106</v>
      </c>
      <c r="P1918" t="s">
        <v>46</v>
      </c>
      <c r="Q1918" t="s">
        <v>47</v>
      </c>
      <c r="R1918" t="s">
        <v>48</v>
      </c>
      <c r="V1918" t="s">
        <v>49</v>
      </c>
      <c r="X1918" t="s">
        <v>49</v>
      </c>
      <c r="Y1918" t="s">
        <v>59</v>
      </c>
      <c r="Z1918" t="s">
        <v>3154</v>
      </c>
      <c r="AA1918" t="s">
        <v>3154</v>
      </c>
    </row>
    <row r="1919" spans="1:27" x14ac:dyDescent="0.35">
      <c r="A1919" t="str">
        <f t="shared" si="59"/>
        <v>304_D4</v>
      </c>
      <c r="B1919" t="str">
        <f t="shared" si="58"/>
        <v>304_</v>
      </c>
      <c r="C1919" t="s">
        <v>3174</v>
      </c>
      <c r="D1919" t="s">
        <v>3</v>
      </c>
      <c r="E1919" t="s">
        <v>52</v>
      </c>
      <c r="F1919" t="s">
        <v>53</v>
      </c>
      <c r="G1919" t="s">
        <v>757</v>
      </c>
      <c r="H1919" t="s">
        <v>42</v>
      </c>
      <c r="I1919" t="s">
        <v>67</v>
      </c>
      <c r="J1919" t="s">
        <v>3163</v>
      </c>
      <c r="K1919" t="s">
        <v>56</v>
      </c>
      <c r="M1919" t="s">
        <v>106</v>
      </c>
      <c r="P1919" t="s">
        <v>58</v>
      </c>
      <c r="Q1919" t="s">
        <v>47</v>
      </c>
      <c r="R1919" t="s">
        <v>48</v>
      </c>
      <c r="V1919" t="s">
        <v>49</v>
      </c>
      <c r="X1919" t="s">
        <v>49</v>
      </c>
      <c r="Y1919" t="s">
        <v>59</v>
      </c>
      <c r="Z1919" t="s">
        <v>3868</v>
      </c>
      <c r="AA1919" t="s">
        <v>3868</v>
      </c>
    </row>
    <row r="1920" spans="1:27" x14ac:dyDescent="0.35">
      <c r="A1920" t="str">
        <f t="shared" si="59"/>
        <v>1207D2</v>
      </c>
      <c r="B1920" t="str">
        <f t="shared" si="58"/>
        <v>1207</v>
      </c>
      <c r="C1920" t="s">
        <v>3175</v>
      </c>
      <c r="D1920" t="s">
        <v>2</v>
      </c>
      <c r="E1920" t="s">
        <v>62</v>
      </c>
      <c r="F1920" t="s">
        <v>63</v>
      </c>
      <c r="G1920" t="s">
        <v>757</v>
      </c>
      <c r="H1920" t="s">
        <v>42</v>
      </c>
      <c r="I1920" t="s">
        <v>43</v>
      </c>
      <c r="J1920" t="s">
        <v>3169</v>
      </c>
      <c r="K1920" t="s">
        <v>56</v>
      </c>
      <c r="M1920" t="s">
        <v>106</v>
      </c>
      <c r="P1920" t="s">
        <v>58</v>
      </c>
      <c r="Q1920" t="s">
        <v>47</v>
      </c>
      <c r="R1920" t="s">
        <v>48</v>
      </c>
      <c r="V1920" t="s">
        <v>49</v>
      </c>
      <c r="X1920" t="s">
        <v>49</v>
      </c>
      <c r="Y1920" t="s">
        <v>59</v>
      </c>
      <c r="Z1920" t="s">
        <v>3139</v>
      </c>
      <c r="AA1920" t="s">
        <v>3139</v>
      </c>
    </row>
    <row r="1921" spans="1:27" x14ac:dyDescent="0.35">
      <c r="A1921" t="str">
        <f t="shared" si="59"/>
        <v>1207F3</v>
      </c>
      <c r="B1921" t="str">
        <f t="shared" si="58"/>
        <v>1207</v>
      </c>
      <c r="C1921" t="s">
        <v>3176</v>
      </c>
      <c r="D1921" t="s">
        <v>5</v>
      </c>
      <c r="E1921" t="s">
        <v>40</v>
      </c>
      <c r="F1921" t="s">
        <v>73</v>
      </c>
      <c r="G1921" t="s">
        <v>757</v>
      </c>
      <c r="H1921" t="s">
        <v>42</v>
      </c>
      <c r="I1921" t="s">
        <v>67</v>
      </c>
      <c r="J1921" t="s">
        <v>3169</v>
      </c>
      <c r="M1921" t="s">
        <v>106</v>
      </c>
      <c r="P1921" t="s">
        <v>46</v>
      </c>
      <c r="Q1921" t="s">
        <v>47</v>
      </c>
      <c r="R1921" t="s">
        <v>48</v>
      </c>
      <c r="V1921" t="s">
        <v>49</v>
      </c>
      <c r="X1921" t="s">
        <v>49</v>
      </c>
      <c r="Y1921" t="s">
        <v>74</v>
      </c>
      <c r="Z1921" t="s">
        <v>3159</v>
      </c>
      <c r="AA1921" t="s">
        <v>3159</v>
      </c>
    </row>
    <row r="1922" spans="1:27" x14ac:dyDescent="0.35">
      <c r="A1922" t="str">
        <f t="shared" si="59"/>
        <v>1207C2</v>
      </c>
      <c r="B1922" t="str">
        <f t="shared" ref="B1922:B1985" si="60">LEFT($J:$J,4)</f>
        <v>1207</v>
      </c>
      <c r="C1922" t="s">
        <v>3177</v>
      </c>
      <c r="D1922" t="s">
        <v>1</v>
      </c>
      <c r="E1922" t="s">
        <v>65</v>
      </c>
      <c r="F1922" t="s">
        <v>66</v>
      </c>
      <c r="G1922" t="s">
        <v>757</v>
      </c>
      <c r="H1922" t="s">
        <v>42</v>
      </c>
      <c r="I1922" t="s">
        <v>67</v>
      </c>
      <c r="J1922" t="s">
        <v>3169</v>
      </c>
      <c r="M1922" t="s">
        <v>106</v>
      </c>
      <c r="P1922" t="s">
        <v>69</v>
      </c>
      <c r="Q1922" t="s">
        <v>47</v>
      </c>
      <c r="R1922" t="s">
        <v>48</v>
      </c>
      <c r="V1922" t="s">
        <v>49</v>
      </c>
      <c r="X1922" t="s">
        <v>49</v>
      </c>
      <c r="Y1922" t="s">
        <v>70</v>
      </c>
      <c r="Z1922" t="s">
        <v>3178</v>
      </c>
      <c r="AA1922" t="s">
        <v>3178</v>
      </c>
    </row>
    <row r="1923" spans="1:27" x14ac:dyDescent="0.35">
      <c r="A1923" t="str">
        <f t="shared" ref="A1923:A1986" si="61">B1923&amp;D1923</f>
        <v>1207D7</v>
      </c>
      <c r="B1923" t="str">
        <f t="shared" si="60"/>
        <v>1207</v>
      </c>
      <c r="C1923" t="s">
        <v>3179</v>
      </c>
      <c r="D1923" t="s">
        <v>6</v>
      </c>
      <c r="E1923" t="s">
        <v>94</v>
      </c>
      <c r="F1923" t="s">
        <v>111</v>
      </c>
      <c r="G1923" t="s">
        <v>757</v>
      </c>
      <c r="H1923" t="s">
        <v>42</v>
      </c>
      <c r="I1923" t="s">
        <v>43</v>
      </c>
      <c r="J1923" t="s">
        <v>3169</v>
      </c>
      <c r="M1923" t="s">
        <v>106</v>
      </c>
      <c r="P1923" t="s">
        <v>46</v>
      </c>
      <c r="Q1923" t="s">
        <v>47</v>
      </c>
      <c r="R1923" t="s">
        <v>48</v>
      </c>
      <c r="V1923" t="s">
        <v>49</v>
      </c>
      <c r="X1923" t="s">
        <v>49</v>
      </c>
      <c r="Y1923" t="s">
        <v>59</v>
      </c>
      <c r="Z1923" t="s">
        <v>3180</v>
      </c>
      <c r="AA1923" t="s">
        <v>3180</v>
      </c>
    </row>
    <row r="1924" spans="1:27" x14ac:dyDescent="0.35">
      <c r="A1924" t="str">
        <f t="shared" si="61"/>
        <v>303_F3</v>
      </c>
      <c r="B1924" t="str">
        <f t="shared" si="60"/>
        <v>303_</v>
      </c>
      <c r="C1924" t="s">
        <v>3181</v>
      </c>
      <c r="D1924" t="s">
        <v>5</v>
      </c>
      <c r="E1924" t="s">
        <v>40</v>
      </c>
      <c r="F1924" t="s">
        <v>73</v>
      </c>
      <c r="G1924" t="s">
        <v>757</v>
      </c>
      <c r="H1924" t="s">
        <v>42</v>
      </c>
      <c r="I1924" t="s">
        <v>67</v>
      </c>
      <c r="J1924" t="s">
        <v>3182</v>
      </c>
      <c r="M1924" t="s">
        <v>106</v>
      </c>
      <c r="P1924" t="s">
        <v>46</v>
      </c>
      <c r="Q1924" t="s">
        <v>47</v>
      </c>
      <c r="R1924" t="s">
        <v>48</v>
      </c>
      <c r="V1924" t="s">
        <v>49</v>
      </c>
      <c r="X1924" t="s">
        <v>49</v>
      </c>
      <c r="Y1924" t="s">
        <v>74</v>
      </c>
      <c r="Z1924" t="s">
        <v>3164</v>
      </c>
      <c r="AA1924" t="s">
        <v>3164</v>
      </c>
    </row>
    <row r="1925" spans="1:27" x14ac:dyDescent="0.35">
      <c r="A1925" t="str">
        <f t="shared" si="61"/>
        <v>303_F2</v>
      </c>
      <c r="B1925" t="str">
        <f t="shared" si="60"/>
        <v>303_</v>
      </c>
      <c r="C1925" t="s">
        <v>3183</v>
      </c>
      <c r="D1925" t="s">
        <v>4</v>
      </c>
      <c r="E1925" t="s">
        <v>77</v>
      </c>
      <c r="F1925" t="s">
        <v>78</v>
      </c>
      <c r="G1925" t="s">
        <v>757</v>
      </c>
      <c r="H1925" t="s">
        <v>42</v>
      </c>
      <c r="I1925" t="s">
        <v>67</v>
      </c>
      <c r="J1925" t="s">
        <v>3182</v>
      </c>
      <c r="M1925" t="s">
        <v>106</v>
      </c>
      <c r="P1925" t="s">
        <v>91</v>
      </c>
      <c r="Q1925" t="s">
        <v>47</v>
      </c>
      <c r="R1925" t="s">
        <v>48</v>
      </c>
      <c r="V1925" t="s">
        <v>49</v>
      </c>
      <c r="X1925" t="s">
        <v>49</v>
      </c>
      <c r="Y1925" t="s">
        <v>74</v>
      </c>
      <c r="Z1925" t="s">
        <v>3164</v>
      </c>
      <c r="AA1925" t="s">
        <v>3164</v>
      </c>
    </row>
    <row r="1926" spans="1:27" x14ac:dyDescent="0.35">
      <c r="A1926" t="str">
        <f t="shared" si="61"/>
        <v>303_C2</v>
      </c>
      <c r="B1926" t="str">
        <f t="shared" si="60"/>
        <v>303_</v>
      </c>
      <c r="C1926" t="s">
        <v>3184</v>
      </c>
      <c r="D1926" t="s">
        <v>1</v>
      </c>
      <c r="E1926" t="s">
        <v>65</v>
      </c>
      <c r="F1926" t="s">
        <v>66</v>
      </c>
      <c r="G1926" t="s">
        <v>757</v>
      </c>
      <c r="H1926" t="s">
        <v>42</v>
      </c>
      <c r="I1926" t="s">
        <v>67</v>
      </c>
      <c r="J1926" t="s">
        <v>3182</v>
      </c>
      <c r="M1926" t="s">
        <v>106</v>
      </c>
      <c r="P1926" t="s">
        <v>69</v>
      </c>
      <c r="Q1926" t="s">
        <v>47</v>
      </c>
      <c r="R1926" t="s">
        <v>48</v>
      </c>
      <c r="V1926" t="s">
        <v>49</v>
      </c>
      <c r="X1926" t="s">
        <v>49</v>
      </c>
      <c r="Y1926" t="s">
        <v>70</v>
      </c>
      <c r="Z1926" t="s">
        <v>3870</v>
      </c>
      <c r="AA1926" t="s">
        <v>3870</v>
      </c>
    </row>
    <row r="1927" spans="1:27" x14ac:dyDescent="0.35">
      <c r="A1927" t="str">
        <f t="shared" si="61"/>
        <v>1206F2</v>
      </c>
      <c r="B1927" t="str">
        <f t="shared" si="60"/>
        <v>1206</v>
      </c>
      <c r="C1927" t="s">
        <v>3185</v>
      </c>
      <c r="D1927" t="s">
        <v>4</v>
      </c>
      <c r="E1927" t="s">
        <v>77</v>
      </c>
      <c r="F1927" t="s">
        <v>78</v>
      </c>
      <c r="G1927" t="s">
        <v>757</v>
      </c>
      <c r="H1927" t="s">
        <v>42</v>
      </c>
      <c r="I1927" t="s">
        <v>67</v>
      </c>
      <c r="J1927" t="s">
        <v>3186</v>
      </c>
      <c r="M1927" t="s">
        <v>106</v>
      </c>
      <c r="P1927" t="s">
        <v>189</v>
      </c>
      <c r="Q1927" t="s">
        <v>47</v>
      </c>
      <c r="R1927" t="s">
        <v>48</v>
      </c>
      <c r="V1927" t="s">
        <v>49</v>
      </c>
      <c r="X1927" t="s">
        <v>49</v>
      </c>
      <c r="Y1927" t="s">
        <v>74</v>
      </c>
      <c r="Z1927" t="s">
        <v>3151</v>
      </c>
      <c r="AA1927" t="s">
        <v>3151</v>
      </c>
    </row>
    <row r="1928" spans="1:27" x14ac:dyDescent="0.35">
      <c r="A1928" t="str">
        <f t="shared" si="61"/>
        <v>1206D4</v>
      </c>
      <c r="B1928" t="str">
        <f t="shared" si="60"/>
        <v>1206</v>
      </c>
      <c r="C1928" t="s">
        <v>3187</v>
      </c>
      <c r="D1928" t="s">
        <v>3</v>
      </c>
      <c r="E1928" t="s">
        <v>52</v>
      </c>
      <c r="F1928" t="s">
        <v>53</v>
      </c>
      <c r="G1928" t="s">
        <v>757</v>
      </c>
      <c r="H1928" t="s">
        <v>42</v>
      </c>
      <c r="I1928" t="s">
        <v>43</v>
      </c>
      <c r="J1928" t="s">
        <v>3186</v>
      </c>
      <c r="K1928" t="s">
        <v>56</v>
      </c>
      <c r="M1928" t="s">
        <v>106</v>
      </c>
      <c r="P1928" t="s">
        <v>69</v>
      </c>
      <c r="Q1928" t="s">
        <v>47</v>
      </c>
      <c r="R1928" t="s">
        <v>48</v>
      </c>
      <c r="V1928" t="s">
        <v>49</v>
      </c>
      <c r="X1928" t="s">
        <v>49</v>
      </c>
      <c r="Y1928" t="s">
        <v>59</v>
      </c>
      <c r="Z1928" t="s">
        <v>3188</v>
      </c>
      <c r="AA1928" t="s">
        <v>3188</v>
      </c>
    </row>
    <row r="1929" spans="1:27" x14ac:dyDescent="0.35">
      <c r="A1929" t="str">
        <f t="shared" si="61"/>
        <v>303_D2</v>
      </c>
      <c r="B1929" t="str">
        <f t="shared" si="60"/>
        <v>303_</v>
      </c>
      <c r="C1929" t="s">
        <v>3189</v>
      </c>
      <c r="D1929" t="s">
        <v>2</v>
      </c>
      <c r="E1929" t="s">
        <v>62</v>
      </c>
      <c r="F1929" t="s">
        <v>63</v>
      </c>
      <c r="G1929" t="s">
        <v>757</v>
      </c>
      <c r="H1929" t="s">
        <v>42</v>
      </c>
      <c r="I1929" t="s">
        <v>67</v>
      </c>
      <c r="J1929" t="s">
        <v>3182</v>
      </c>
      <c r="K1929" t="s">
        <v>56</v>
      </c>
      <c r="M1929" t="s">
        <v>106</v>
      </c>
      <c r="P1929" t="s">
        <v>58</v>
      </c>
      <c r="Q1929" t="s">
        <v>47</v>
      </c>
      <c r="R1929" t="s">
        <v>48</v>
      </c>
      <c r="V1929" t="s">
        <v>49</v>
      </c>
      <c r="X1929" t="s">
        <v>49</v>
      </c>
      <c r="Y1929" t="s">
        <v>59</v>
      </c>
      <c r="Z1929" t="s">
        <v>3889</v>
      </c>
      <c r="AA1929" t="s">
        <v>3889</v>
      </c>
    </row>
    <row r="1930" spans="1:27" x14ac:dyDescent="0.35">
      <c r="A1930" t="str">
        <f t="shared" si="61"/>
        <v>303_D7</v>
      </c>
      <c r="B1930" t="str">
        <f t="shared" si="60"/>
        <v>303_</v>
      </c>
      <c r="C1930" t="s">
        <v>3190</v>
      </c>
      <c r="D1930" t="s">
        <v>6</v>
      </c>
      <c r="E1930" t="s">
        <v>94</v>
      </c>
      <c r="F1930" t="s">
        <v>111</v>
      </c>
      <c r="G1930" t="s">
        <v>757</v>
      </c>
      <c r="H1930" t="s">
        <v>42</v>
      </c>
      <c r="I1930" t="s">
        <v>67</v>
      </c>
      <c r="J1930" t="s">
        <v>3182</v>
      </c>
      <c r="M1930" t="s">
        <v>106</v>
      </c>
      <c r="P1930" t="s">
        <v>46</v>
      </c>
      <c r="Q1930" t="s">
        <v>47</v>
      </c>
      <c r="R1930" t="s">
        <v>48</v>
      </c>
      <c r="V1930" t="s">
        <v>49</v>
      </c>
      <c r="X1930" t="s">
        <v>49</v>
      </c>
      <c r="Y1930" t="s">
        <v>59</v>
      </c>
      <c r="Z1930" t="s">
        <v>3154</v>
      </c>
      <c r="AA1930" t="s">
        <v>3154</v>
      </c>
    </row>
    <row r="1931" spans="1:27" x14ac:dyDescent="0.35">
      <c r="A1931" t="str">
        <f t="shared" si="61"/>
        <v>303_D4</v>
      </c>
      <c r="B1931" t="str">
        <f t="shared" si="60"/>
        <v>303_</v>
      </c>
      <c r="C1931" t="s">
        <v>3191</v>
      </c>
      <c r="D1931" t="s">
        <v>3</v>
      </c>
      <c r="E1931" t="s">
        <v>52</v>
      </c>
      <c r="F1931" t="s">
        <v>53</v>
      </c>
      <c r="G1931" t="s">
        <v>757</v>
      </c>
      <c r="H1931" t="s">
        <v>42</v>
      </c>
      <c r="I1931" t="s">
        <v>67</v>
      </c>
      <c r="J1931" t="s">
        <v>3182</v>
      </c>
      <c r="K1931" t="s">
        <v>56</v>
      </c>
      <c r="M1931" t="s">
        <v>106</v>
      </c>
      <c r="P1931" t="s">
        <v>58</v>
      </c>
      <c r="Q1931" t="s">
        <v>47</v>
      </c>
      <c r="R1931" t="s">
        <v>48</v>
      </c>
      <c r="V1931" t="s">
        <v>49</v>
      </c>
      <c r="X1931" t="s">
        <v>49</v>
      </c>
      <c r="Y1931" t="s">
        <v>59</v>
      </c>
      <c r="Z1931" t="s">
        <v>3868</v>
      </c>
      <c r="AA1931" t="s">
        <v>3868</v>
      </c>
    </row>
    <row r="1932" spans="1:27" x14ac:dyDescent="0.35">
      <c r="A1932" t="str">
        <f t="shared" si="61"/>
        <v>1206D2</v>
      </c>
      <c r="B1932" t="str">
        <f t="shared" si="60"/>
        <v>1206</v>
      </c>
      <c r="C1932" t="s">
        <v>3192</v>
      </c>
      <c r="D1932" t="s">
        <v>2</v>
      </c>
      <c r="E1932" t="s">
        <v>62</v>
      </c>
      <c r="F1932" t="s">
        <v>63</v>
      </c>
      <c r="G1932" t="s">
        <v>757</v>
      </c>
      <c r="H1932" t="s">
        <v>42</v>
      </c>
      <c r="I1932" t="s">
        <v>43</v>
      </c>
      <c r="J1932" t="s">
        <v>3186</v>
      </c>
      <c r="K1932" t="s">
        <v>56</v>
      </c>
      <c r="M1932" t="s">
        <v>106</v>
      </c>
      <c r="P1932" t="s">
        <v>58</v>
      </c>
      <c r="Q1932" t="s">
        <v>47</v>
      </c>
      <c r="R1932" t="s">
        <v>48</v>
      </c>
      <c r="V1932" t="s">
        <v>49</v>
      </c>
      <c r="X1932" t="s">
        <v>49</v>
      </c>
      <c r="Y1932" t="s">
        <v>59</v>
      </c>
      <c r="Z1932" t="s">
        <v>3193</v>
      </c>
      <c r="AA1932" t="s">
        <v>3193</v>
      </c>
    </row>
    <row r="1933" spans="1:27" x14ac:dyDescent="0.35">
      <c r="A1933" t="str">
        <f t="shared" si="61"/>
        <v>1206F3</v>
      </c>
      <c r="B1933" t="str">
        <f t="shared" si="60"/>
        <v>1206</v>
      </c>
      <c r="C1933" t="s">
        <v>3194</v>
      </c>
      <c r="D1933" t="s">
        <v>5</v>
      </c>
      <c r="E1933" t="s">
        <v>40</v>
      </c>
      <c r="F1933" t="s">
        <v>73</v>
      </c>
      <c r="G1933" t="s">
        <v>757</v>
      </c>
      <c r="H1933" t="s">
        <v>42</v>
      </c>
      <c r="I1933" t="s">
        <v>67</v>
      </c>
      <c r="J1933" t="s">
        <v>3186</v>
      </c>
      <c r="M1933" t="s">
        <v>106</v>
      </c>
      <c r="P1933" t="s">
        <v>46</v>
      </c>
      <c r="Q1933" t="s">
        <v>47</v>
      </c>
      <c r="R1933" t="s">
        <v>48</v>
      </c>
      <c r="V1933" t="s">
        <v>49</v>
      </c>
      <c r="X1933" t="s">
        <v>49</v>
      </c>
      <c r="Y1933" t="s">
        <v>74</v>
      </c>
      <c r="Z1933" t="s">
        <v>3159</v>
      </c>
      <c r="AA1933" t="s">
        <v>3159</v>
      </c>
    </row>
    <row r="1934" spans="1:27" x14ac:dyDescent="0.35">
      <c r="A1934" t="str">
        <f t="shared" si="61"/>
        <v>1206C2</v>
      </c>
      <c r="B1934" t="str">
        <f t="shared" si="60"/>
        <v>1206</v>
      </c>
      <c r="C1934" t="s">
        <v>3195</v>
      </c>
      <c r="D1934" t="s">
        <v>1</v>
      </c>
      <c r="E1934" t="s">
        <v>65</v>
      </c>
      <c r="F1934" t="s">
        <v>66</v>
      </c>
      <c r="G1934" t="s">
        <v>757</v>
      </c>
      <c r="H1934" t="s">
        <v>42</v>
      </c>
      <c r="I1934" t="s">
        <v>67</v>
      </c>
      <c r="J1934" t="s">
        <v>3186</v>
      </c>
      <c r="M1934" t="s">
        <v>106</v>
      </c>
      <c r="P1934" t="s">
        <v>69</v>
      </c>
      <c r="Q1934" t="s">
        <v>47</v>
      </c>
      <c r="R1934" t="s">
        <v>48</v>
      </c>
      <c r="V1934" t="s">
        <v>49</v>
      </c>
      <c r="X1934" t="s">
        <v>49</v>
      </c>
      <c r="Y1934" t="s">
        <v>70</v>
      </c>
      <c r="Z1934" t="s">
        <v>3178</v>
      </c>
      <c r="AA1934" t="s">
        <v>3178</v>
      </c>
    </row>
    <row r="1935" spans="1:27" x14ac:dyDescent="0.35">
      <c r="A1935" t="str">
        <f t="shared" si="61"/>
        <v>1206D7</v>
      </c>
      <c r="B1935" t="str">
        <f t="shared" si="60"/>
        <v>1206</v>
      </c>
      <c r="C1935" t="s">
        <v>3196</v>
      </c>
      <c r="D1935" t="s">
        <v>6</v>
      </c>
      <c r="E1935" t="s">
        <v>94</v>
      </c>
      <c r="F1935" t="s">
        <v>111</v>
      </c>
      <c r="G1935" t="s">
        <v>757</v>
      </c>
      <c r="H1935" t="s">
        <v>42</v>
      </c>
      <c r="I1935" t="s">
        <v>43</v>
      </c>
      <c r="J1935" t="s">
        <v>3186</v>
      </c>
      <c r="M1935" t="s">
        <v>106</v>
      </c>
      <c r="P1935" t="s">
        <v>46</v>
      </c>
      <c r="Q1935" t="s">
        <v>47</v>
      </c>
      <c r="R1935" t="s">
        <v>48</v>
      </c>
      <c r="V1935" t="s">
        <v>49</v>
      </c>
      <c r="X1935" t="s">
        <v>49</v>
      </c>
      <c r="Y1935" t="s">
        <v>59</v>
      </c>
      <c r="Z1935" t="s">
        <v>3180</v>
      </c>
      <c r="AA1935" t="s">
        <v>3180</v>
      </c>
    </row>
    <row r="1936" spans="1:27" x14ac:dyDescent="0.35">
      <c r="A1936" t="str">
        <f t="shared" si="61"/>
        <v>302_F3</v>
      </c>
      <c r="B1936" t="str">
        <f t="shared" si="60"/>
        <v>302_</v>
      </c>
      <c r="C1936" t="s">
        <v>3197</v>
      </c>
      <c r="D1936" t="s">
        <v>5</v>
      </c>
      <c r="E1936" t="s">
        <v>40</v>
      </c>
      <c r="F1936" t="s">
        <v>73</v>
      </c>
      <c r="G1936" t="s">
        <v>757</v>
      </c>
      <c r="H1936" t="s">
        <v>42</v>
      </c>
      <c r="I1936" t="s">
        <v>67</v>
      </c>
      <c r="J1936" t="s">
        <v>3198</v>
      </c>
      <c r="M1936" t="s">
        <v>106</v>
      </c>
      <c r="P1936" t="s">
        <v>46</v>
      </c>
      <c r="Q1936" t="s">
        <v>47</v>
      </c>
      <c r="R1936" t="s">
        <v>48</v>
      </c>
      <c r="V1936" t="s">
        <v>49</v>
      </c>
      <c r="X1936" t="s">
        <v>49</v>
      </c>
      <c r="Y1936" t="s">
        <v>74</v>
      </c>
      <c r="Z1936" t="s">
        <v>3164</v>
      </c>
      <c r="AA1936" t="s">
        <v>3164</v>
      </c>
    </row>
    <row r="1937" spans="1:27" x14ac:dyDescent="0.35">
      <c r="A1937" t="str">
        <f t="shared" si="61"/>
        <v>302_F2</v>
      </c>
      <c r="B1937" t="str">
        <f t="shared" si="60"/>
        <v>302_</v>
      </c>
      <c r="C1937" t="s">
        <v>3199</v>
      </c>
      <c r="D1937" t="s">
        <v>4</v>
      </c>
      <c r="E1937" t="s">
        <v>77</v>
      </c>
      <c r="F1937" t="s">
        <v>78</v>
      </c>
      <c r="G1937" t="s">
        <v>757</v>
      </c>
      <c r="H1937" t="s">
        <v>42</v>
      </c>
      <c r="I1937" t="s">
        <v>67</v>
      </c>
      <c r="J1937" t="s">
        <v>3198</v>
      </c>
      <c r="M1937" t="s">
        <v>106</v>
      </c>
      <c r="P1937" t="s">
        <v>91</v>
      </c>
      <c r="Q1937" t="s">
        <v>47</v>
      </c>
      <c r="R1937" t="s">
        <v>48</v>
      </c>
      <c r="V1937" t="s">
        <v>49</v>
      </c>
      <c r="X1937" t="s">
        <v>49</v>
      </c>
      <c r="Y1937" t="s">
        <v>74</v>
      </c>
      <c r="Z1937" t="s">
        <v>3164</v>
      </c>
      <c r="AA1937" t="s">
        <v>3164</v>
      </c>
    </row>
    <row r="1938" spans="1:27" x14ac:dyDescent="0.35">
      <c r="A1938" t="str">
        <f t="shared" si="61"/>
        <v>302_C2</v>
      </c>
      <c r="B1938" t="str">
        <f t="shared" si="60"/>
        <v>302_</v>
      </c>
      <c r="C1938" t="s">
        <v>3200</v>
      </c>
      <c r="D1938" t="s">
        <v>1</v>
      </c>
      <c r="E1938" t="s">
        <v>65</v>
      </c>
      <c r="F1938" t="s">
        <v>66</v>
      </c>
      <c r="G1938" t="s">
        <v>757</v>
      </c>
      <c r="H1938" t="s">
        <v>42</v>
      </c>
      <c r="I1938" t="s">
        <v>67</v>
      </c>
      <c r="J1938" t="s">
        <v>3198</v>
      </c>
      <c r="M1938" t="s">
        <v>106</v>
      </c>
      <c r="P1938" t="s">
        <v>69</v>
      </c>
      <c r="Q1938" t="s">
        <v>47</v>
      </c>
      <c r="R1938" t="s">
        <v>48</v>
      </c>
      <c r="V1938" t="s">
        <v>49</v>
      </c>
      <c r="X1938" t="s">
        <v>49</v>
      </c>
      <c r="Y1938" t="s">
        <v>70</v>
      </c>
      <c r="Z1938" t="s">
        <v>3870</v>
      </c>
      <c r="AA1938" t="s">
        <v>3870</v>
      </c>
    </row>
    <row r="1939" spans="1:27" x14ac:dyDescent="0.35">
      <c r="A1939" t="str">
        <f t="shared" si="61"/>
        <v>1205F2</v>
      </c>
      <c r="B1939" t="str">
        <f t="shared" si="60"/>
        <v>1205</v>
      </c>
      <c r="C1939" t="s">
        <v>3201</v>
      </c>
      <c r="D1939" t="s">
        <v>4</v>
      </c>
      <c r="E1939" t="s">
        <v>77</v>
      </c>
      <c r="F1939" t="s">
        <v>78</v>
      </c>
      <c r="G1939" t="s">
        <v>757</v>
      </c>
      <c r="H1939" t="s">
        <v>42</v>
      </c>
      <c r="I1939" t="s">
        <v>67</v>
      </c>
      <c r="J1939" t="s">
        <v>3202</v>
      </c>
      <c r="M1939" t="s">
        <v>106</v>
      </c>
      <c r="P1939" t="s">
        <v>178</v>
      </c>
      <c r="Q1939" t="s">
        <v>47</v>
      </c>
      <c r="R1939" t="s">
        <v>48</v>
      </c>
      <c r="V1939" t="s">
        <v>49</v>
      </c>
      <c r="X1939" t="s">
        <v>49</v>
      </c>
      <c r="Y1939" t="s">
        <v>74</v>
      </c>
      <c r="Z1939" t="s">
        <v>3151</v>
      </c>
      <c r="AA1939" t="s">
        <v>3151</v>
      </c>
    </row>
    <row r="1940" spans="1:27" x14ac:dyDescent="0.35">
      <c r="A1940" t="str">
        <f t="shared" si="61"/>
        <v>1205D4</v>
      </c>
      <c r="B1940" t="str">
        <f t="shared" si="60"/>
        <v>1205</v>
      </c>
      <c r="C1940" t="s">
        <v>3203</v>
      </c>
      <c r="D1940" t="s">
        <v>3</v>
      </c>
      <c r="E1940" t="s">
        <v>52</v>
      </c>
      <c r="F1940" t="s">
        <v>53</v>
      </c>
      <c r="G1940" t="s">
        <v>757</v>
      </c>
      <c r="H1940" t="s">
        <v>42</v>
      </c>
      <c r="I1940" t="s">
        <v>43</v>
      </c>
      <c r="J1940" t="s">
        <v>3202</v>
      </c>
      <c r="K1940" t="s">
        <v>56</v>
      </c>
      <c r="M1940" t="s">
        <v>106</v>
      </c>
      <c r="P1940" t="s">
        <v>69</v>
      </c>
      <c r="Q1940" t="s">
        <v>47</v>
      </c>
      <c r="R1940" t="s">
        <v>48</v>
      </c>
      <c r="V1940" t="s">
        <v>49</v>
      </c>
      <c r="X1940" t="s">
        <v>49</v>
      </c>
      <c r="Y1940" t="s">
        <v>59</v>
      </c>
      <c r="Z1940" t="s">
        <v>3188</v>
      </c>
      <c r="AA1940" t="s">
        <v>3188</v>
      </c>
    </row>
    <row r="1941" spans="1:27" x14ac:dyDescent="0.35">
      <c r="A1941" t="str">
        <f t="shared" si="61"/>
        <v>302_D2</v>
      </c>
      <c r="B1941" t="str">
        <f t="shared" si="60"/>
        <v>302_</v>
      </c>
      <c r="C1941" t="s">
        <v>3204</v>
      </c>
      <c r="D1941" t="s">
        <v>2</v>
      </c>
      <c r="E1941" t="s">
        <v>62</v>
      </c>
      <c r="F1941" t="s">
        <v>63</v>
      </c>
      <c r="G1941" t="s">
        <v>757</v>
      </c>
      <c r="H1941" t="s">
        <v>42</v>
      </c>
      <c r="I1941" t="s">
        <v>67</v>
      </c>
      <c r="J1941" t="s">
        <v>3198</v>
      </c>
      <c r="K1941" t="s">
        <v>56</v>
      </c>
      <c r="M1941" t="s">
        <v>106</v>
      </c>
      <c r="P1941" t="s">
        <v>46</v>
      </c>
      <c r="Q1941" t="s">
        <v>47</v>
      </c>
      <c r="R1941" t="s">
        <v>48</v>
      </c>
      <c r="V1941" t="s">
        <v>49</v>
      </c>
      <c r="X1941" t="s">
        <v>49</v>
      </c>
      <c r="Y1941" t="s">
        <v>59</v>
      </c>
      <c r="Z1941" t="s">
        <v>3889</v>
      </c>
      <c r="AA1941" t="s">
        <v>3889</v>
      </c>
    </row>
    <row r="1942" spans="1:27" x14ac:dyDescent="0.35">
      <c r="A1942" t="str">
        <f t="shared" si="61"/>
        <v>302_D7</v>
      </c>
      <c r="B1942" t="str">
        <f t="shared" si="60"/>
        <v>302_</v>
      </c>
      <c r="C1942" t="s">
        <v>3205</v>
      </c>
      <c r="D1942" t="s">
        <v>6</v>
      </c>
      <c r="E1942" t="s">
        <v>94</v>
      </c>
      <c r="F1942" t="s">
        <v>111</v>
      </c>
      <c r="G1942" t="s">
        <v>757</v>
      </c>
      <c r="H1942" t="s">
        <v>42</v>
      </c>
      <c r="I1942" t="s">
        <v>67</v>
      </c>
      <c r="J1942" t="s">
        <v>3198</v>
      </c>
      <c r="M1942" t="s">
        <v>106</v>
      </c>
      <c r="P1942" t="s">
        <v>46</v>
      </c>
      <c r="Q1942" t="s">
        <v>47</v>
      </c>
      <c r="R1942" t="s">
        <v>48</v>
      </c>
      <c r="V1942" t="s">
        <v>49</v>
      </c>
      <c r="X1942" t="s">
        <v>49</v>
      </c>
      <c r="Y1942" t="s">
        <v>59</v>
      </c>
      <c r="Z1942" t="s">
        <v>3683</v>
      </c>
      <c r="AA1942" t="s">
        <v>3206</v>
      </c>
    </row>
    <row r="1943" spans="1:27" x14ac:dyDescent="0.35">
      <c r="A1943" t="str">
        <f t="shared" si="61"/>
        <v>302_D4</v>
      </c>
      <c r="B1943" t="str">
        <f t="shared" si="60"/>
        <v>302_</v>
      </c>
      <c r="C1943" t="s">
        <v>3207</v>
      </c>
      <c r="D1943" t="s">
        <v>3</v>
      </c>
      <c r="E1943" t="s">
        <v>52</v>
      </c>
      <c r="F1943" t="s">
        <v>53</v>
      </c>
      <c r="G1943" t="s">
        <v>757</v>
      </c>
      <c r="H1943" t="s">
        <v>42</v>
      </c>
      <c r="I1943" t="s">
        <v>67</v>
      </c>
      <c r="J1943" t="s">
        <v>3198</v>
      </c>
      <c r="K1943" t="s">
        <v>56</v>
      </c>
      <c r="M1943" t="s">
        <v>106</v>
      </c>
      <c r="P1943" t="s">
        <v>58</v>
      </c>
      <c r="Q1943" t="s">
        <v>47</v>
      </c>
      <c r="R1943" t="s">
        <v>48</v>
      </c>
      <c r="V1943" t="s">
        <v>49</v>
      </c>
      <c r="X1943" t="s">
        <v>49</v>
      </c>
      <c r="Y1943" t="s">
        <v>59</v>
      </c>
      <c r="Z1943" t="s">
        <v>3868</v>
      </c>
      <c r="AA1943" t="s">
        <v>3868</v>
      </c>
    </row>
    <row r="1944" spans="1:27" x14ac:dyDescent="0.35">
      <c r="A1944" t="str">
        <f t="shared" si="61"/>
        <v>1205D2</v>
      </c>
      <c r="B1944" t="str">
        <f t="shared" si="60"/>
        <v>1205</v>
      </c>
      <c r="C1944" t="s">
        <v>3208</v>
      </c>
      <c r="D1944" t="s">
        <v>2</v>
      </c>
      <c r="E1944" t="s">
        <v>62</v>
      </c>
      <c r="F1944" t="s">
        <v>63</v>
      </c>
      <c r="G1944" t="s">
        <v>757</v>
      </c>
      <c r="H1944" t="s">
        <v>42</v>
      </c>
      <c r="I1944" t="s">
        <v>43</v>
      </c>
      <c r="J1944" t="s">
        <v>3202</v>
      </c>
      <c r="K1944" t="s">
        <v>56</v>
      </c>
      <c r="M1944" t="s">
        <v>106</v>
      </c>
      <c r="P1944" t="s">
        <v>58</v>
      </c>
      <c r="Q1944" t="s">
        <v>47</v>
      </c>
      <c r="R1944" t="s">
        <v>48</v>
      </c>
      <c r="V1944" t="s">
        <v>49</v>
      </c>
      <c r="X1944" t="s">
        <v>49</v>
      </c>
      <c r="Y1944" t="s">
        <v>59</v>
      </c>
      <c r="Z1944" t="s">
        <v>3209</v>
      </c>
      <c r="AA1944" t="s">
        <v>3209</v>
      </c>
    </row>
    <row r="1945" spans="1:27" x14ac:dyDescent="0.35">
      <c r="A1945" t="str">
        <f t="shared" si="61"/>
        <v>1205F3</v>
      </c>
      <c r="B1945" t="str">
        <f t="shared" si="60"/>
        <v>1205</v>
      </c>
      <c r="C1945" t="s">
        <v>3210</v>
      </c>
      <c r="D1945" t="s">
        <v>5</v>
      </c>
      <c r="E1945" t="s">
        <v>40</v>
      </c>
      <c r="F1945" t="s">
        <v>73</v>
      </c>
      <c r="G1945" t="s">
        <v>757</v>
      </c>
      <c r="H1945" t="s">
        <v>42</v>
      </c>
      <c r="I1945" t="s">
        <v>67</v>
      </c>
      <c r="J1945" t="s">
        <v>3202</v>
      </c>
      <c r="M1945" t="s">
        <v>106</v>
      </c>
      <c r="P1945" t="s">
        <v>46</v>
      </c>
      <c r="Q1945" t="s">
        <v>47</v>
      </c>
      <c r="R1945" t="s">
        <v>48</v>
      </c>
      <c r="V1945" t="s">
        <v>49</v>
      </c>
      <c r="X1945" t="s">
        <v>49</v>
      </c>
      <c r="Y1945" t="s">
        <v>74</v>
      </c>
      <c r="Z1945" t="s">
        <v>3211</v>
      </c>
      <c r="AA1945" t="s">
        <v>3211</v>
      </c>
    </row>
    <row r="1946" spans="1:27" x14ac:dyDescent="0.35">
      <c r="A1946" t="str">
        <f t="shared" si="61"/>
        <v>1205C2</v>
      </c>
      <c r="B1946" t="str">
        <f t="shared" si="60"/>
        <v>1205</v>
      </c>
      <c r="C1946" t="s">
        <v>3212</v>
      </c>
      <c r="D1946" t="s">
        <v>1</v>
      </c>
      <c r="E1946" t="s">
        <v>65</v>
      </c>
      <c r="F1946" t="s">
        <v>66</v>
      </c>
      <c r="G1946" t="s">
        <v>757</v>
      </c>
      <c r="H1946" t="s">
        <v>42</v>
      </c>
      <c r="I1946" t="s">
        <v>67</v>
      </c>
      <c r="J1946" t="s">
        <v>3202</v>
      </c>
      <c r="M1946" t="s">
        <v>106</v>
      </c>
      <c r="P1946" t="s">
        <v>69</v>
      </c>
      <c r="Q1946" t="s">
        <v>47</v>
      </c>
      <c r="R1946" t="s">
        <v>48</v>
      </c>
      <c r="V1946" t="s">
        <v>49</v>
      </c>
      <c r="X1946" t="s">
        <v>49</v>
      </c>
      <c r="Y1946" t="s">
        <v>70</v>
      </c>
      <c r="Z1946" t="s">
        <v>3213</v>
      </c>
      <c r="AA1946" t="s">
        <v>3213</v>
      </c>
    </row>
    <row r="1947" spans="1:27" x14ac:dyDescent="0.35">
      <c r="A1947" t="str">
        <f t="shared" si="61"/>
        <v>1205D7</v>
      </c>
      <c r="B1947" t="str">
        <f t="shared" si="60"/>
        <v>1205</v>
      </c>
      <c r="C1947" t="s">
        <v>3214</v>
      </c>
      <c r="D1947" t="s">
        <v>6</v>
      </c>
      <c r="E1947" t="s">
        <v>94</v>
      </c>
      <c r="F1947" t="s">
        <v>111</v>
      </c>
      <c r="G1947" t="s">
        <v>757</v>
      </c>
      <c r="H1947" t="s">
        <v>42</v>
      </c>
      <c r="I1947" t="s">
        <v>43</v>
      </c>
      <c r="J1947" t="s">
        <v>3202</v>
      </c>
      <c r="M1947" t="s">
        <v>106</v>
      </c>
      <c r="P1947" t="s">
        <v>46</v>
      </c>
      <c r="Q1947" t="s">
        <v>47</v>
      </c>
      <c r="R1947" t="s">
        <v>48</v>
      </c>
      <c r="V1947" t="s">
        <v>49</v>
      </c>
      <c r="X1947" t="s">
        <v>49</v>
      </c>
      <c r="Y1947" t="s">
        <v>59</v>
      </c>
      <c r="Z1947" t="s">
        <v>3215</v>
      </c>
      <c r="AA1947" t="s">
        <v>3215</v>
      </c>
    </row>
    <row r="1948" spans="1:27" x14ac:dyDescent="0.35">
      <c r="A1948" t="str">
        <f t="shared" si="61"/>
        <v>301_F3</v>
      </c>
      <c r="B1948" t="str">
        <f t="shared" si="60"/>
        <v>301_</v>
      </c>
      <c r="C1948" t="s">
        <v>3216</v>
      </c>
      <c r="D1948" t="s">
        <v>5</v>
      </c>
      <c r="E1948" t="s">
        <v>40</v>
      </c>
      <c r="F1948" t="s">
        <v>73</v>
      </c>
      <c r="G1948" t="s">
        <v>757</v>
      </c>
      <c r="H1948" t="s">
        <v>42</v>
      </c>
      <c r="I1948" t="s">
        <v>67</v>
      </c>
      <c r="J1948" t="s">
        <v>3217</v>
      </c>
      <c r="M1948" t="s">
        <v>106</v>
      </c>
      <c r="P1948" t="s">
        <v>46</v>
      </c>
      <c r="Q1948" t="s">
        <v>47</v>
      </c>
      <c r="R1948" t="s">
        <v>48</v>
      </c>
      <c r="V1948" t="s">
        <v>49</v>
      </c>
      <c r="X1948" t="s">
        <v>49</v>
      </c>
      <c r="Y1948" t="s">
        <v>74</v>
      </c>
      <c r="Z1948" t="s">
        <v>3164</v>
      </c>
      <c r="AA1948" t="s">
        <v>3164</v>
      </c>
    </row>
    <row r="1949" spans="1:27" x14ac:dyDescent="0.35">
      <c r="A1949" t="str">
        <f t="shared" si="61"/>
        <v>301_F2</v>
      </c>
      <c r="B1949" t="str">
        <f t="shared" si="60"/>
        <v>301_</v>
      </c>
      <c r="C1949" t="s">
        <v>3218</v>
      </c>
      <c r="D1949" t="s">
        <v>4</v>
      </c>
      <c r="E1949" t="s">
        <v>77</v>
      </c>
      <c r="F1949" t="s">
        <v>78</v>
      </c>
      <c r="G1949" t="s">
        <v>757</v>
      </c>
      <c r="H1949" t="s">
        <v>42</v>
      </c>
      <c r="I1949" t="s">
        <v>67</v>
      </c>
      <c r="J1949" t="s">
        <v>3217</v>
      </c>
      <c r="M1949" t="s">
        <v>106</v>
      </c>
      <c r="P1949" t="s">
        <v>710</v>
      </c>
      <c r="Q1949" t="s">
        <v>47</v>
      </c>
      <c r="R1949" t="s">
        <v>48</v>
      </c>
      <c r="V1949" t="s">
        <v>49</v>
      </c>
      <c r="X1949" t="s">
        <v>49</v>
      </c>
      <c r="Y1949" t="s">
        <v>74</v>
      </c>
      <c r="Z1949" t="s">
        <v>3164</v>
      </c>
      <c r="AA1949" t="s">
        <v>3164</v>
      </c>
    </row>
    <row r="1950" spans="1:27" x14ac:dyDescent="0.35">
      <c r="A1950" t="str">
        <f t="shared" si="61"/>
        <v>301_C2</v>
      </c>
      <c r="B1950" t="str">
        <f t="shared" si="60"/>
        <v>301_</v>
      </c>
      <c r="C1950" t="s">
        <v>3219</v>
      </c>
      <c r="D1950" t="s">
        <v>1</v>
      </c>
      <c r="E1950" t="s">
        <v>65</v>
      </c>
      <c r="F1950" t="s">
        <v>66</v>
      </c>
      <c r="G1950" t="s">
        <v>757</v>
      </c>
      <c r="H1950" t="s">
        <v>42</v>
      </c>
      <c r="I1950" t="s">
        <v>67</v>
      </c>
      <c r="J1950" t="s">
        <v>3217</v>
      </c>
      <c r="M1950" t="s">
        <v>106</v>
      </c>
      <c r="P1950" t="s">
        <v>69</v>
      </c>
      <c r="Q1950" t="s">
        <v>47</v>
      </c>
      <c r="R1950" t="s">
        <v>48</v>
      </c>
      <c r="V1950" t="s">
        <v>49</v>
      </c>
      <c r="X1950" t="s">
        <v>49</v>
      </c>
      <c r="Y1950" t="s">
        <v>70</v>
      </c>
      <c r="Z1950" t="s">
        <v>3871</v>
      </c>
      <c r="AA1950" t="s">
        <v>3871</v>
      </c>
    </row>
    <row r="1951" spans="1:27" x14ac:dyDescent="0.35">
      <c r="A1951" t="str">
        <f t="shared" si="61"/>
        <v>1204F2</v>
      </c>
      <c r="B1951" t="str">
        <f t="shared" si="60"/>
        <v>1204</v>
      </c>
      <c r="C1951" t="s">
        <v>3220</v>
      </c>
      <c r="D1951" t="s">
        <v>4</v>
      </c>
      <c r="E1951" t="s">
        <v>77</v>
      </c>
      <c r="F1951" t="s">
        <v>78</v>
      </c>
      <c r="G1951" t="s">
        <v>757</v>
      </c>
      <c r="H1951" t="s">
        <v>42</v>
      </c>
      <c r="I1951" t="s">
        <v>67</v>
      </c>
      <c r="J1951" t="s">
        <v>82</v>
      </c>
      <c r="M1951" t="s">
        <v>106</v>
      </c>
      <c r="P1951" t="s">
        <v>91</v>
      </c>
      <c r="Q1951" t="s">
        <v>47</v>
      </c>
      <c r="R1951" t="s">
        <v>48</v>
      </c>
      <c r="V1951" t="s">
        <v>49</v>
      </c>
      <c r="X1951" t="s">
        <v>49</v>
      </c>
      <c r="Y1951" t="s">
        <v>74</v>
      </c>
      <c r="Z1951" t="s">
        <v>3221</v>
      </c>
      <c r="AA1951" t="s">
        <v>3221</v>
      </c>
    </row>
    <row r="1952" spans="1:27" x14ac:dyDescent="0.35">
      <c r="A1952" t="str">
        <f t="shared" si="61"/>
        <v>1204D4</v>
      </c>
      <c r="B1952" t="str">
        <f t="shared" si="60"/>
        <v>1204</v>
      </c>
      <c r="C1952" t="s">
        <v>3222</v>
      </c>
      <c r="D1952" t="s">
        <v>3</v>
      </c>
      <c r="E1952" t="s">
        <v>52</v>
      </c>
      <c r="F1952" t="s">
        <v>53</v>
      </c>
      <c r="G1952" t="s">
        <v>757</v>
      </c>
      <c r="H1952" t="s">
        <v>42</v>
      </c>
      <c r="I1952" t="s">
        <v>67</v>
      </c>
      <c r="J1952" t="s">
        <v>82</v>
      </c>
      <c r="K1952" t="s">
        <v>56</v>
      </c>
      <c r="M1952" t="s">
        <v>106</v>
      </c>
      <c r="P1952" t="s">
        <v>69</v>
      </c>
      <c r="Q1952" t="s">
        <v>47</v>
      </c>
      <c r="R1952" t="s">
        <v>48</v>
      </c>
      <c r="V1952" t="s">
        <v>49</v>
      </c>
      <c r="X1952" t="s">
        <v>49</v>
      </c>
      <c r="Y1952" t="s">
        <v>59</v>
      </c>
      <c r="Z1952" t="s">
        <v>3223</v>
      </c>
      <c r="AA1952" t="s">
        <v>3223</v>
      </c>
    </row>
    <row r="1953" spans="1:27" x14ac:dyDescent="0.35">
      <c r="A1953" t="str">
        <f t="shared" si="61"/>
        <v>301_D2</v>
      </c>
      <c r="B1953" t="str">
        <f t="shared" si="60"/>
        <v>301_</v>
      </c>
      <c r="C1953" t="s">
        <v>3224</v>
      </c>
      <c r="D1953" t="s">
        <v>2</v>
      </c>
      <c r="E1953" t="s">
        <v>62</v>
      </c>
      <c r="F1953" t="s">
        <v>63</v>
      </c>
      <c r="G1953" t="s">
        <v>757</v>
      </c>
      <c r="H1953" t="s">
        <v>42</v>
      </c>
      <c r="I1953" t="s">
        <v>67</v>
      </c>
      <c r="J1953" t="s">
        <v>3217</v>
      </c>
      <c r="K1953" t="s">
        <v>56</v>
      </c>
      <c r="M1953" t="s">
        <v>106</v>
      </c>
      <c r="P1953" t="s">
        <v>58</v>
      </c>
      <c r="Q1953" t="s">
        <v>47</v>
      </c>
      <c r="R1953" t="s">
        <v>48</v>
      </c>
      <c r="V1953" t="s">
        <v>49</v>
      </c>
      <c r="X1953" t="s">
        <v>49</v>
      </c>
      <c r="Y1953" t="s">
        <v>59</v>
      </c>
      <c r="Z1953" t="s">
        <v>3890</v>
      </c>
      <c r="AA1953" t="s">
        <v>3890</v>
      </c>
    </row>
    <row r="1954" spans="1:27" x14ac:dyDescent="0.35">
      <c r="A1954" t="str">
        <f t="shared" si="61"/>
        <v>1204D2</v>
      </c>
      <c r="B1954" t="str">
        <f t="shared" si="60"/>
        <v>1204</v>
      </c>
      <c r="C1954" t="s">
        <v>3225</v>
      </c>
      <c r="D1954" t="s">
        <v>2</v>
      </c>
      <c r="E1954" t="s">
        <v>62</v>
      </c>
      <c r="F1954" t="s">
        <v>63</v>
      </c>
      <c r="G1954" t="s">
        <v>757</v>
      </c>
      <c r="H1954" t="s">
        <v>42</v>
      </c>
      <c r="I1954" t="s">
        <v>67</v>
      </c>
      <c r="J1954" t="s">
        <v>82</v>
      </c>
      <c r="K1954" t="s">
        <v>56</v>
      </c>
      <c r="M1954" t="s">
        <v>106</v>
      </c>
      <c r="P1954" t="s">
        <v>69</v>
      </c>
      <c r="Q1954" t="s">
        <v>47</v>
      </c>
      <c r="R1954" t="s">
        <v>48</v>
      </c>
      <c r="V1954" t="s">
        <v>49</v>
      </c>
      <c r="X1954" t="s">
        <v>49</v>
      </c>
      <c r="Y1954" t="s">
        <v>59</v>
      </c>
      <c r="Z1954" t="s">
        <v>3226</v>
      </c>
      <c r="AA1954" t="s">
        <v>3226</v>
      </c>
    </row>
    <row r="1955" spans="1:27" x14ac:dyDescent="0.35">
      <c r="A1955" t="str">
        <f t="shared" si="61"/>
        <v>301_D7</v>
      </c>
      <c r="B1955" t="str">
        <f t="shared" si="60"/>
        <v>301_</v>
      </c>
      <c r="C1955" t="s">
        <v>3227</v>
      </c>
      <c r="D1955" t="s">
        <v>6</v>
      </c>
      <c r="E1955" t="s">
        <v>94</v>
      </c>
      <c r="F1955" t="s">
        <v>111</v>
      </c>
      <c r="G1955" t="s">
        <v>757</v>
      </c>
      <c r="H1955" t="s">
        <v>42</v>
      </c>
      <c r="I1955" t="s">
        <v>67</v>
      </c>
      <c r="J1955" t="s">
        <v>3217</v>
      </c>
      <c r="M1955" t="s">
        <v>106</v>
      </c>
      <c r="P1955" t="s">
        <v>46</v>
      </c>
      <c r="Q1955" t="s">
        <v>47</v>
      </c>
      <c r="R1955" t="s">
        <v>48</v>
      </c>
      <c r="V1955" t="s">
        <v>49</v>
      </c>
      <c r="X1955" t="s">
        <v>49</v>
      </c>
      <c r="Y1955" t="s">
        <v>59</v>
      </c>
      <c r="Z1955" t="s">
        <v>3206</v>
      </c>
      <c r="AA1955" t="s">
        <v>3206</v>
      </c>
    </row>
    <row r="1956" spans="1:27" x14ac:dyDescent="0.35">
      <c r="A1956" t="str">
        <f t="shared" si="61"/>
        <v>301_D4</v>
      </c>
      <c r="B1956" t="str">
        <f t="shared" si="60"/>
        <v>301_</v>
      </c>
      <c r="C1956" t="s">
        <v>3228</v>
      </c>
      <c r="D1956" t="s">
        <v>3</v>
      </c>
      <c r="E1956" t="s">
        <v>52</v>
      </c>
      <c r="F1956" t="s">
        <v>53</v>
      </c>
      <c r="G1956" t="s">
        <v>757</v>
      </c>
      <c r="H1956" t="s">
        <v>42</v>
      </c>
      <c r="I1956" t="s">
        <v>67</v>
      </c>
      <c r="J1956" t="s">
        <v>3217</v>
      </c>
      <c r="K1956" t="s">
        <v>56</v>
      </c>
      <c r="M1956" t="s">
        <v>106</v>
      </c>
      <c r="P1956" t="s">
        <v>58</v>
      </c>
      <c r="Q1956" t="s">
        <v>47</v>
      </c>
      <c r="R1956" t="s">
        <v>48</v>
      </c>
      <c r="V1956" t="s">
        <v>49</v>
      </c>
      <c r="X1956" t="s">
        <v>49</v>
      </c>
      <c r="Y1956" t="s">
        <v>59</v>
      </c>
      <c r="Z1956" t="s">
        <v>3872</v>
      </c>
      <c r="AA1956" t="s">
        <v>3872</v>
      </c>
    </row>
    <row r="1957" spans="1:27" x14ac:dyDescent="0.35">
      <c r="A1957" t="str">
        <f t="shared" si="61"/>
        <v>1204F3</v>
      </c>
      <c r="B1957" t="str">
        <f t="shared" si="60"/>
        <v>1204</v>
      </c>
      <c r="C1957" t="s">
        <v>3229</v>
      </c>
      <c r="D1957" t="s">
        <v>5</v>
      </c>
      <c r="E1957" t="s">
        <v>40</v>
      </c>
      <c r="F1957" t="s">
        <v>73</v>
      </c>
      <c r="G1957" t="s">
        <v>757</v>
      </c>
      <c r="H1957" t="s">
        <v>42</v>
      </c>
      <c r="I1957" t="s">
        <v>67</v>
      </c>
      <c r="J1957" t="s">
        <v>82</v>
      </c>
      <c r="M1957" t="s">
        <v>106</v>
      </c>
      <c r="P1957" t="s">
        <v>58</v>
      </c>
      <c r="Q1957" t="s">
        <v>47</v>
      </c>
      <c r="R1957" t="s">
        <v>48</v>
      </c>
      <c r="V1957" t="s">
        <v>49</v>
      </c>
      <c r="X1957" t="s">
        <v>49</v>
      </c>
      <c r="Y1957" t="s">
        <v>74</v>
      </c>
      <c r="Z1957" t="s">
        <v>3230</v>
      </c>
      <c r="AA1957" t="s">
        <v>3230</v>
      </c>
    </row>
    <row r="1958" spans="1:27" x14ac:dyDescent="0.35">
      <c r="A1958" t="str">
        <f t="shared" si="61"/>
        <v>1204D7</v>
      </c>
      <c r="B1958" t="str">
        <f t="shared" si="60"/>
        <v>1204</v>
      </c>
      <c r="C1958" t="s">
        <v>3231</v>
      </c>
      <c r="D1958" t="s">
        <v>6</v>
      </c>
      <c r="E1958" t="s">
        <v>94</v>
      </c>
      <c r="F1958" t="s">
        <v>111</v>
      </c>
      <c r="G1958" t="s">
        <v>757</v>
      </c>
      <c r="H1958" t="s">
        <v>42</v>
      </c>
      <c r="I1958" t="s">
        <v>43</v>
      </c>
      <c r="J1958" t="s">
        <v>82</v>
      </c>
      <c r="M1958" t="s">
        <v>106</v>
      </c>
      <c r="P1958" t="s">
        <v>46</v>
      </c>
      <c r="Q1958" t="s">
        <v>47</v>
      </c>
      <c r="R1958" t="s">
        <v>48</v>
      </c>
      <c r="V1958" t="s">
        <v>49</v>
      </c>
      <c r="X1958" t="s">
        <v>49</v>
      </c>
      <c r="Y1958" t="s">
        <v>59</v>
      </c>
      <c r="Z1958" t="s">
        <v>3215</v>
      </c>
      <c r="AA1958" t="s">
        <v>3215</v>
      </c>
    </row>
    <row r="1959" spans="1:27" x14ac:dyDescent="0.35">
      <c r="A1959" t="str">
        <f t="shared" si="61"/>
        <v>212_F3</v>
      </c>
      <c r="B1959" t="str">
        <f t="shared" si="60"/>
        <v>212_</v>
      </c>
      <c r="C1959" t="s">
        <v>3232</v>
      </c>
      <c r="D1959" t="s">
        <v>5</v>
      </c>
      <c r="E1959" t="s">
        <v>40</v>
      </c>
      <c r="F1959" t="s">
        <v>73</v>
      </c>
      <c r="G1959" t="s">
        <v>757</v>
      </c>
      <c r="H1959" t="s">
        <v>42</v>
      </c>
      <c r="I1959" t="s">
        <v>67</v>
      </c>
      <c r="J1959" t="s">
        <v>3233</v>
      </c>
      <c r="M1959" t="s">
        <v>106</v>
      </c>
      <c r="P1959" t="s">
        <v>58</v>
      </c>
      <c r="Q1959" t="s">
        <v>47</v>
      </c>
      <c r="R1959" t="s">
        <v>48</v>
      </c>
      <c r="V1959" t="s">
        <v>49</v>
      </c>
      <c r="X1959" t="s">
        <v>49</v>
      </c>
      <c r="Y1959" t="s">
        <v>74</v>
      </c>
      <c r="Z1959" t="s">
        <v>3601</v>
      </c>
      <c r="AA1959" t="s">
        <v>3601</v>
      </c>
    </row>
    <row r="1960" spans="1:27" x14ac:dyDescent="0.35">
      <c r="A1960" t="str">
        <f t="shared" si="61"/>
        <v>212_F2</v>
      </c>
      <c r="B1960" t="str">
        <f t="shared" si="60"/>
        <v>212_</v>
      </c>
      <c r="C1960" t="s">
        <v>3234</v>
      </c>
      <c r="D1960" t="s">
        <v>4</v>
      </c>
      <c r="E1960" t="s">
        <v>77</v>
      </c>
      <c r="F1960" t="s">
        <v>78</v>
      </c>
      <c r="G1960" t="s">
        <v>757</v>
      </c>
      <c r="H1960" t="s">
        <v>42</v>
      </c>
      <c r="I1960" t="s">
        <v>67</v>
      </c>
      <c r="J1960" t="s">
        <v>3233</v>
      </c>
      <c r="M1960" t="s">
        <v>106</v>
      </c>
      <c r="P1960" t="s">
        <v>710</v>
      </c>
      <c r="Q1960" t="s">
        <v>47</v>
      </c>
      <c r="R1960" t="s">
        <v>48</v>
      </c>
      <c r="V1960" t="s">
        <v>49</v>
      </c>
      <c r="X1960" t="s">
        <v>49</v>
      </c>
      <c r="Y1960" t="s">
        <v>74</v>
      </c>
      <c r="Z1960" t="s">
        <v>3602</v>
      </c>
      <c r="AA1960" t="s">
        <v>3602</v>
      </c>
    </row>
    <row r="1961" spans="1:27" x14ac:dyDescent="0.35">
      <c r="A1961" t="str">
        <f t="shared" si="61"/>
        <v>212_C2</v>
      </c>
      <c r="B1961" t="str">
        <f t="shared" si="60"/>
        <v>212_</v>
      </c>
      <c r="C1961" t="s">
        <v>3235</v>
      </c>
      <c r="D1961" t="s">
        <v>1</v>
      </c>
      <c r="E1961" t="s">
        <v>65</v>
      </c>
      <c r="F1961" t="s">
        <v>66</v>
      </c>
      <c r="G1961" t="s">
        <v>757</v>
      </c>
      <c r="H1961" t="s">
        <v>42</v>
      </c>
      <c r="I1961" t="s">
        <v>67</v>
      </c>
      <c r="J1961" t="s">
        <v>3233</v>
      </c>
      <c r="M1961" t="s">
        <v>106</v>
      </c>
      <c r="P1961" t="s">
        <v>69</v>
      </c>
      <c r="Q1961" t="s">
        <v>47</v>
      </c>
      <c r="R1961" t="s">
        <v>48</v>
      </c>
      <c r="V1961" t="s">
        <v>49</v>
      </c>
      <c r="X1961" t="s">
        <v>49</v>
      </c>
      <c r="Y1961" t="s">
        <v>70</v>
      </c>
      <c r="Z1961" t="s">
        <v>3942</v>
      </c>
      <c r="AA1961" t="s">
        <v>3943</v>
      </c>
    </row>
    <row r="1962" spans="1:27" x14ac:dyDescent="0.35">
      <c r="A1962" t="str">
        <f t="shared" si="61"/>
        <v>1203F2</v>
      </c>
      <c r="B1962" t="str">
        <f t="shared" si="60"/>
        <v>1203</v>
      </c>
      <c r="C1962" t="s">
        <v>3236</v>
      </c>
      <c r="D1962" t="s">
        <v>4</v>
      </c>
      <c r="E1962" t="s">
        <v>77</v>
      </c>
      <c r="F1962" t="s">
        <v>78</v>
      </c>
      <c r="G1962" t="s">
        <v>757</v>
      </c>
      <c r="H1962" t="s">
        <v>42</v>
      </c>
      <c r="I1962" t="s">
        <v>67</v>
      </c>
      <c r="J1962" t="s">
        <v>3237</v>
      </c>
      <c r="M1962" t="s">
        <v>106</v>
      </c>
      <c r="P1962" t="s">
        <v>91</v>
      </c>
      <c r="Q1962" t="s">
        <v>47</v>
      </c>
      <c r="R1962" t="s">
        <v>48</v>
      </c>
      <c r="V1962" t="s">
        <v>49</v>
      </c>
      <c r="X1962" t="s">
        <v>49</v>
      </c>
      <c r="Y1962" t="s">
        <v>74</v>
      </c>
      <c r="Z1962" t="s">
        <v>3238</v>
      </c>
      <c r="AA1962" t="s">
        <v>3238</v>
      </c>
    </row>
    <row r="1963" spans="1:27" x14ac:dyDescent="0.35">
      <c r="A1963" t="str">
        <f t="shared" si="61"/>
        <v>1203D4</v>
      </c>
      <c r="B1963" t="str">
        <f t="shared" si="60"/>
        <v>1203</v>
      </c>
      <c r="C1963" t="s">
        <v>3239</v>
      </c>
      <c r="D1963" t="s">
        <v>3</v>
      </c>
      <c r="E1963" t="s">
        <v>52</v>
      </c>
      <c r="F1963" t="s">
        <v>53</v>
      </c>
      <c r="G1963" t="s">
        <v>757</v>
      </c>
      <c r="H1963" t="s">
        <v>42</v>
      </c>
      <c r="I1963" t="s">
        <v>43</v>
      </c>
      <c r="J1963" t="s">
        <v>3237</v>
      </c>
      <c r="K1963" t="s">
        <v>56</v>
      </c>
      <c r="M1963" t="s">
        <v>106</v>
      </c>
      <c r="P1963" t="s">
        <v>69</v>
      </c>
      <c r="Q1963" t="s">
        <v>47</v>
      </c>
      <c r="R1963" t="s">
        <v>48</v>
      </c>
      <c r="V1963" t="s">
        <v>49</v>
      </c>
      <c r="X1963" t="s">
        <v>49</v>
      </c>
      <c r="Y1963" t="s">
        <v>59</v>
      </c>
      <c r="Z1963" t="s">
        <v>3240</v>
      </c>
      <c r="AA1963" t="s">
        <v>3240</v>
      </c>
    </row>
    <row r="1964" spans="1:27" x14ac:dyDescent="0.35">
      <c r="A1964" t="str">
        <f t="shared" si="61"/>
        <v>212_D2</v>
      </c>
      <c r="B1964" t="str">
        <f t="shared" si="60"/>
        <v>212_</v>
      </c>
      <c r="C1964" t="s">
        <v>3241</v>
      </c>
      <c r="D1964" t="s">
        <v>2</v>
      </c>
      <c r="E1964" t="s">
        <v>62</v>
      </c>
      <c r="F1964" t="s">
        <v>63</v>
      </c>
      <c r="G1964" t="s">
        <v>757</v>
      </c>
      <c r="H1964" t="s">
        <v>42</v>
      </c>
      <c r="I1964" t="s">
        <v>67</v>
      </c>
      <c r="J1964" t="s">
        <v>3233</v>
      </c>
      <c r="K1964" t="s">
        <v>56</v>
      </c>
      <c r="M1964" t="s">
        <v>106</v>
      </c>
      <c r="P1964" t="s">
        <v>58</v>
      </c>
      <c r="Q1964" t="s">
        <v>47</v>
      </c>
      <c r="R1964" t="s">
        <v>48</v>
      </c>
      <c r="V1964" t="s">
        <v>49</v>
      </c>
      <c r="X1964" t="s">
        <v>49</v>
      </c>
      <c r="Y1964" t="s">
        <v>59</v>
      </c>
      <c r="Z1964" t="s">
        <v>3996</v>
      </c>
      <c r="AA1964" t="s">
        <v>3996</v>
      </c>
    </row>
    <row r="1965" spans="1:27" x14ac:dyDescent="0.35">
      <c r="A1965" t="str">
        <f t="shared" si="61"/>
        <v>212_D7</v>
      </c>
      <c r="B1965" t="str">
        <f t="shared" si="60"/>
        <v>212_</v>
      </c>
      <c r="C1965" t="s">
        <v>3242</v>
      </c>
      <c r="D1965" t="s">
        <v>6</v>
      </c>
      <c r="E1965" t="s">
        <v>94</v>
      </c>
      <c r="F1965" t="s">
        <v>111</v>
      </c>
      <c r="G1965" t="s">
        <v>757</v>
      </c>
      <c r="H1965" t="s">
        <v>42</v>
      </c>
      <c r="I1965" t="s">
        <v>67</v>
      </c>
      <c r="J1965" t="s">
        <v>3233</v>
      </c>
      <c r="M1965" t="s">
        <v>106</v>
      </c>
      <c r="P1965" t="s">
        <v>46</v>
      </c>
      <c r="Q1965" t="s">
        <v>47</v>
      </c>
      <c r="R1965" t="s">
        <v>48</v>
      </c>
      <c r="V1965" t="s">
        <v>49</v>
      </c>
      <c r="X1965" t="s">
        <v>49</v>
      </c>
      <c r="Y1965" t="s">
        <v>59</v>
      </c>
      <c r="Z1965" t="s">
        <v>3096</v>
      </c>
      <c r="AA1965" t="s">
        <v>3096</v>
      </c>
    </row>
    <row r="1966" spans="1:27" x14ac:dyDescent="0.35">
      <c r="A1966" t="str">
        <f t="shared" si="61"/>
        <v>212_D4</v>
      </c>
      <c r="B1966" t="str">
        <f t="shared" si="60"/>
        <v>212_</v>
      </c>
      <c r="C1966" t="s">
        <v>3243</v>
      </c>
      <c r="D1966" t="s">
        <v>3</v>
      </c>
      <c r="E1966" t="s">
        <v>52</v>
      </c>
      <c r="F1966" t="s">
        <v>53</v>
      </c>
      <c r="G1966" t="s">
        <v>757</v>
      </c>
      <c r="H1966" t="s">
        <v>42</v>
      </c>
      <c r="I1966" t="s">
        <v>67</v>
      </c>
      <c r="J1966" t="s">
        <v>3233</v>
      </c>
      <c r="K1966" t="s">
        <v>56</v>
      </c>
      <c r="M1966" t="s">
        <v>106</v>
      </c>
      <c r="P1966" t="s">
        <v>58</v>
      </c>
      <c r="Q1966" t="s">
        <v>47</v>
      </c>
      <c r="R1966" t="s">
        <v>48</v>
      </c>
      <c r="V1966" t="s">
        <v>49</v>
      </c>
      <c r="X1966" t="s">
        <v>49</v>
      </c>
      <c r="Y1966" t="s">
        <v>59</v>
      </c>
      <c r="Z1966" t="s">
        <v>3891</v>
      </c>
      <c r="AA1966" t="s">
        <v>3891</v>
      </c>
    </row>
    <row r="1967" spans="1:27" x14ac:dyDescent="0.35">
      <c r="A1967" t="str">
        <f t="shared" si="61"/>
        <v>1203D2</v>
      </c>
      <c r="B1967" t="str">
        <f t="shared" si="60"/>
        <v>1203</v>
      </c>
      <c r="C1967" t="s">
        <v>3244</v>
      </c>
      <c r="D1967" t="s">
        <v>2</v>
      </c>
      <c r="E1967" t="s">
        <v>62</v>
      </c>
      <c r="F1967" t="s">
        <v>63</v>
      </c>
      <c r="G1967" t="s">
        <v>757</v>
      </c>
      <c r="H1967" t="s">
        <v>42</v>
      </c>
      <c r="I1967" t="s">
        <v>43</v>
      </c>
      <c r="J1967" t="s">
        <v>3237</v>
      </c>
      <c r="K1967" t="s">
        <v>56</v>
      </c>
      <c r="M1967" t="s">
        <v>106</v>
      </c>
      <c r="P1967" t="s">
        <v>58</v>
      </c>
      <c r="Q1967" t="s">
        <v>47</v>
      </c>
      <c r="R1967" t="s">
        <v>48</v>
      </c>
      <c r="V1967" t="s">
        <v>49</v>
      </c>
      <c r="X1967" t="s">
        <v>49</v>
      </c>
      <c r="Y1967" t="s">
        <v>59</v>
      </c>
      <c r="Z1967" t="s">
        <v>3209</v>
      </c>
      <c r="AA1967" t="s">
        <v>3209</v>
      </c>
    </row>
    <row r="1968" spans="1:27" x14ac:dyDescent="0.35">
      <c r="A1968" t="str">
        <f t="shared" si="61"/>
        <v>1203F3</v>
      </c>
      <c r="B1968" t="str">
        <f t="shared" si="60"/>
        <v>1203</v>
      </c>
      <c r="C1968" t="s">
        <v>3245</v>
      </c>
      <c r="D1968" t="s">
        <v>5</v>
      </c>
      <c r="E1968" t="s">
        <v>40</v>
      </c>
      <c r="F1968" t="s">
        <v>73</v>
      </c>
      <c r="G1968" t="s">
        <v>757</v>
      </c>
      <c r="H1968" t="s">
        <v>42</v>
      </c>
      <c r="I1968" t="s">
        <v>67</v>
      </c>
      <c r="J1968" t="s">
        <v>3237</v>
      </c>
      <c r="M1968" t="s">
        <v>106</v>
      </c>
      <c r="P1968" t="s">
        <v>58</v>
      </c>
      <c r="Q1968" t="s">
        <v>47</v>
      </c>
      <c r="R1968" t="s">
        <v>48</v>
      </c>
      <c r="V1968" t="s">
        <v>49</v>
      </c>
      <c r="X1968" t="s">
        <v>49</v>
      </c>
      <c r="Y1968" t="s">
        <v>74</v>
      </c>
      <c r="Z1968" t="s">
        <v>3246</v>
      </c>
      <c r="AA1968" t="s">
        <v>3246</v>
      </c>
    </row>
    <row r="1969" spans="1:27" x14ac:dyDescent="0.35">
      <c r="A1969" t="str">
        <f t="shared" si="61"/>
        <v>1203C2</v>
      </c>
      <c r="B1969" t="str">
        <f t="shared" si="60"/>
        <v>1203</v>
      </c>
      <c r="C1969" t="s">
        <v>3247</v>
      </c>
      <c r="D1969" t="s">
        <v>1</v>
      </c>
      <c r="E1969" t="s">
        <v>65</v>
      </c>
      <c r="F1969" t="s">
        <v>66</v>
      </c>
      <c r="G1969" t="s">
        <v>757</v>
      </c>
      <c r="H1969" t="s">
        <v>42</v>
      </c>
      <c r="I1969" t="s">
        <v>67</v>
      </c>
      <c r="J1969" t="s">
        <v>3237</v>
      </c>
      <c r="M1969" t="s">
        <v>106</v>
      </c>
      <c r="P1969" t="s">
        <v>69</v>
      </c>
      <c r="Q1969" t="s">
        <v>47</v>
      </c>
      <c r="R1969" t="s">
        <v>48</v>
      </c>
      <c r="V1969" t="s">
        <v>49</v>
      </c>
      <c r="X1969" t="s">
        <v>49</v>
      </c>
      <c r="Y1969" t="s">
        <v>70</v>
      </c>
      <c r="Z1969" t="s">
        <v>3178</v>
      </c>
      <c r="AA1969" t="s">
        <v>3178</v>
      </c>
    </row>
    <row r="1970" spans="1:27" x14ac:dyDescent="0.35">
      <c r="A1970" t="str">
        <f t="shared" si="61"/>
        <v>1203D7</v>
      </c>
      <c r="B1970" t="str">
        <f t="shared" si="60"/>
        <v>1203</v>
      </c>
      <c r="C1970" t="s">
        <v>3248</v>
      </c>
      <c r="D1970" t="s">
        <v>6</v>
      </c>
      <c r="E1970" t="s">
        <v>94</v>
      </c>
      <c r="F1970" t="s">
        <v>111</v>
      </c>
      <c r="G1970" t="s">
        <v>757</v>
      </c>
      <c r="H1970" t="s">
        <v>42</v>
      </c>
      <c r="I1970" t="s">
        <v>43</v>
      </c>
      <c r="J1970" t="s">
        <v>3237</v>
      </c>
      <c r="M1970" t="s">
        <v>106</v>
      </c>
      <c r="P1970" t="s">
        <v>46</v>
      </c>
      <c r="Q1970" t="s">
        <v>47</v>
      </c>
      <c r="R1970" t="s">
        <v>48</v>
      </c>
      <c r="V1970" t="s">
        <v>49</v>
      </c>
      <c r="X1970" t="s">
        <v>49</v>
      </c>
      <c r="Y1970" t="s">
        <v>59</v>
      </c>
      <c r="Z1970" t="s">
        <v>3215</v>
      </c>
      <c r="AA1970" t="s">
        <v>3249</v>
      </c>
    </row>
    <row r="1971" spans="1:27" x14ac:dyDescent="0.35">
      <c r="A1971" t="str">
        <f t="shared" si="61"/>
        <v>211_F3</v>
      </c>
      <c r="B1971" t="str">
        <f t="shared" si="60"/>
        <v>211_</v>
      </c>
      <c r="C1971" t="s">
        <v>3250</v>
      </c>
      <c r="D1971" t="s">
        <v>5</v>
      </c>
      <c r="E1971" t="s">
        <v>40</v>
      </c>
      <c r="F1971" t="s">
        <v>73</v>
      </c>
      <c r="G1971" t="s">
        <v>757</v>
      </c>
      <c r="H1971" t="s">
        <v>42</v>
      </c>
      <c r="I1971" t="s">
        <v>67</v>
      </c>
      <c r="J1971" t="s">
        <v>3251</v>
      </c>
      <c r="M1971" t="s">
        <v>106</v>
      </c>
      <c r="P1971" t="s">
        <v>58</v>
      </c>
      <c r="Q1971" t="s">
        <v>47</v>
      </c>
      <c r="R1971" t="s">
        <v>48</v>
      </c>
      <c r="V1971" t="s">
        <v>49</v>
      </c>
      <c r="X1971" t="s">
        <v>49</v>
      </c>
      <c r="Y1971" t="s">
        <v>74</v>
      </c>
      <c r="Z1971" t="s">
        <v>3602</v>
      </c>
      <c r="AA1971" t="s">
        <v>3602</v>
      </c>
    </row>
    <row r="1972" spans="1:27" x14ac:dyDescent="0.35">
      <c r="A1972" t="str">
        <f t="shared" si="61"/>
        <v>211_F2</v>
      </c>
      <c r="B1972" t="str">
        <f t="shared" si="60"/>
        <v>211_</v>
      </c>
      <c r="C1972" t="s">
        <v>3252</v>
      </c>
      <c r="D1972" t="s">
        <v>4</v>
      </c>
      <c r="E1972" t="s">
        <v>77</v>
      </c>
      <c r="F1972" t="s">
        <v>78</v>
      </c>
      <c r="G1972" t="s">
        <v>757</v>
      </c>
      <c r="H1972" t="s">
        <v>42</v>
      </c>
      <c r="I1972" t="s">
        <v>67</v>
      </c>
      <c r="J1972" t="s">
        <v>3251</v>
      </c>
      <c r="M1972" t="s">
        <v>106</v>
      </c>
      <c r="P1972" t="s">
        <v>710</v>
      </c>
      <c r="Q1972" t="s">
        <v>47</v>
      </c>
      <c r="R1972" t="s">
        <v>48</v>
      </c>
      <c r="V1972" t="s">
        <v>49</v>
      </c>
      <c r="X1972" t="s">
        <v>49</v>
      </c>
      <c r="Y1972" t="s">
        <v>74</v>
      </c>
      <c r="Z1972" t="s">
        <v>3602</v>
      </c>
      <c r="AA1972" t="s">
        <v>3602</v>
      </c>
    </row>
    <row r="1973" spans="1:27" x14ac:dyDescent="0.35">
      <c r="A1973" t="str">
        <f t="shared" si="61"/>
        <v>211_C2</v>
      </c>
      <c r="B1973" t="str">
        <f t="shared" si="60"/>
        <v>211_</v>
      </c>
      <c r="C1973" t="s">
        <v>3253</v>
      </c>
      <c r="D1973" t="s">
        <v>1</v>
      </c>
      <c r="E1973" t="s">
        <v>65</v>
      </c>
      <c r="F1973" t="s">
        <v>66</v>
      </c>
      <c r="G1973" t="s">
        <v>757</v>
      </c>
      <c r="H1973" t="s">
        <v>42</v>
      </c>
      <c r="I1973" t="s">
        <v>67</v>
      </c>
      <c r="J1973" t="s">
        <v>3251</v>
      </c>
      <c r="M1973" t="s">
        <v>106</v>
      </c>
      <c r="P1973" t="s">
        <v>69</v>
      </c>
      <c r="Q1973" t="s">
        <v>47</v>
      </c>
      <c r="R1973" t="s">
        <v>48</v>
      </c>
      <c r="V1973" t="s">
        <v>49</v>
      </c>
      <c r="X1973" t="s">
        <v>49</v>
      </c>
      <c r="Y1973" t="s">
        <v>70</v>
      </c>
      <c r="Z1973" t="s">
        <v>3944</v>
      </c>
      <c r="AA1973" t="s">
        <v>3945</v>
      </c>
    </row>
    <row r="1974" spans="1:27" x14ac:dyDescent="0.35">
      <c r="A1974" t="str">
        <f t="shared" si="61"/>
        <v>1202F2</v>
      </c>
      <c r="B1974" t="str">
        <f t="shared" si="60"/>
        <v>1202</v>
      </c>
      <c r="C1974" t="s">
        <v>3254</v>
      </c>
      <c r="D1974" t="s">
        <v>4</v>
      </c>
      <c r="E1974" t="s">
        <v>77</v>
      </c>
      <c r="F1974" t="s">
        <v>78</v>
      </c>
      <c r="G1974" t="s">
        <v>757</v>
      </c>
      <c r="H1974" t="s">
        <v>42</v>
      </c>
      <c r="I1974" t="s">
        <v>67</v>
      </c>
      <c r="J1974" t="s">
        <v>3255</v>
      </c>
      <c r="M1974" t="s">
        <v>106</v>
      </c>
      <c r="P1974" t="s">
        <v>138</v>
      </c>
      <c r="Q1974" t="s">
        <v>47</v>
      </c>
      <c r="R1974" t="s">
        <v>48</v>
      </c>
      <c r="V1974" t="s">
        <v>49</v>
      </c>
      <c r="X1974" t="s">
        <v>49</v>
      </c>
      <c r="Y1974" t="s">
        <v>74</v>
      </c>
      <c r="Z1974" t="s">
        <v>3256</v>
      </c>
      <c r="AA1974" t="s">
        <v>3256</v>
      </c>
    </row>
    <row r="1975" spans="1:27" x14ac:dyDescent="0.35">
      <c r="A1975" t="str">
        <f t="shared" si="61"/>
        <v>1202D4</v>
      </c>
      <c r="B1975" t="str">
        <f t="shared" si="60"/>
        <v>1202</v>
      </c>
      <c r="C1975" t="s">
        <v>3257</v>
      </c>
      <c r="D1975" t="s">
        <v>3</v>
      </c>
      <c r="E1975" t="s">
        <v>52</v>
      </c>
      <c r="F1975" t="s">
        <v>53</v>
      </c>
      <c r="G1975" t="s">
        <v>757</v>
      </c>
      <c r="H1975" t="s">
        <v>42</v>
      </c>
      <c r="I1975" t="s">
        <v>43</v>
      </c>
      <c r="J1975" t="s">
        <v>3255</v>
      </c>
      <c r="K1975" t="s">
        <v>56</v>
      </c>
      <c r="M1975" t="s">
        <v>106</v>
      </c>
      <c r="P1975" t="s">
        <v>69</v>
      </c>
      <c r="Q1975" t="s">
        <v>47</v>
      </c>
      <c r="R1975" t="s">
        <v>48</v>
      </c>
      <c r="V1975" t="s">
        <v>49</v>
      </c>
      <c r="X1975" t="s">
        <v>49</v>
      </c>
      <c r="Y1975" t="s">
        <v>59</v>
      </c>
      <c r="Z1975" t="s">
        <v>3240</v>
      </c>
      <c r="AA1975" t="s">
        <v>3240</v>
      </c>
    </row>
    <row r="1976" spans="1:27" x14ac:dyDescent="0.35">
      <c r="A1976" t="str">
        <f t="shared" si="61"/>
        <v>211_D2</v>
      </c>
      <c r="B1976" t="str">
        <f t="shared" si="60"/>
        <v>211_</v>
      </c>
      <c r="C1976" t="s">
        <v>3258</v>
      </c>
      <c r="D1976" t="s">
        <v>2</v>
      </c>
      <c r="E1976" t="s">
        <v>62</v>
      </c>
      <c r="F1976" t="s">
        <v>63</v>
      </c>
      <c r="G1976" t="s">
        <v>757</v>
      </c>
      <c r="H1976" t="s">
        <v>42</v>
      </c>
      <c r="I1976" t="s">
        <v>67</v>
      </c>
      <c r="J1976" t="s">
        <v>3251</v>
      </c>
      <c r="K1976" t="s">
        <v>56</v>
      </c>
      <c r="M1976" t="s">
        <v>106</v>
      </c>
      <c r="P1976" t="s">
        <v>58</v>
      </c>
      <c r="Q1976" t="s">
        <v>47</v>
      </c>
      <c r="R1976" t="s">
        <v>48</v>
      </c>
      <c r="V1976" t="s">
        <v>49</v>
      </c>
      <c r="X1976" t="s">
        <v>49</v>
      </c>
      <c r="Y1976" t="s">
        <v>59</v>
      </c>
      <c r="Z1976" t="s">
        <v>3996</v>
      </c>
      <c r="AA1976" t="s">
        <v>3996</v>
      </c>
    </row>
    <row r="1977" spans="1:27" x14ac:dyDescent="0.35">
      <c r="A1977" t="str">
        <f t="shared" si="61"/>
        <v>211_D7</v>
      </c>
      <c r="B1977" t="str">
        <f t="shared" si="60"/>
        <v>211_</v>
      </c>
      <c r="C1977" t="s">
        <v>3259</v>
      </c>
      <c r="D1977" t="s">
        <v>6</v>
      </c>
      <c r="E1977" t="s">
        <v>94</v>
      </c>
      <c r="F1977" t="s">
        <v>111</v>
      </c>
      <c r="G1977" t="s">
        <v>757</v>
      </c>
      <c r="H1977" t="s">
        <v>42</v>
      </c>
      <c r="I1977" t="s">
        <v>67</v>
      </c>
      <c r="J1977" t="s">
        <v>3251</v>
      </c>
      <c r="M1977" t="s">
        <v>106</v>
      </c>
      <c r="P1977" t="s">
        <v>46</v>
      </c>
      <c r="Q1977" t="s">
        <v>47</v>
      </c>
      <c r="R1977" t="s">
        <v>48</v>
      </c>
      <c r="V1977" t="s">
        <v>49</v>
      </c>
      <c r="X1977" t="s">
        <v>49</v>
      </c>
      <c r="Y1977" t="s">
        <v>59</v>
      </c>
      <c r="Z1977" t="s">
        <v>3684</v>
      </c>
      <c r="AA1977" t="s">
        <v>3096</v>
      </c>
    </row>
    <row r="1978" spans="1:27" x14ac:dyDescent="0.35">
      <c r="A1978" t="str">
        <f t="shared" si="61"/>
        <v>1202D2</v>
      </c>
      <c r="B1978" t="str">
        <f t="shared" si="60"/>
        <v>1202</v>
      </c>
      <c r="C1978" t="s">
        <v>3260</v>
      </c>
      <c r="D1978" t="s">
        <v>2</v>
      </c>
      <c r="E1978" t="s">
        <v>62</v>
      </c>
      <c r="F1978" t="s">
        <v>63</v>
      </c>
      <c r="G1978" t="s">
        <v>757</v>
      </c>
      <c r="H1978" t="s">
        <v>42</v>
      </c>
      <c r="I1978" t="s">
        <v>43</v>
      </c>
      <c r="J1978" t="s">
        <v>3255</v>
      </c>
      <c r="K1978" t="s">
        <v>56</v>
      </c>
      <c r="M1978" t="s">
        <v>106</v>
      </c>
      <c r="P1978" t="s">
        <v>58</v>
      </c>
      <c r="Q1978" t="s">
        <v>47</v>
      </c>
      <c r="R1978" t="s">
        <v>48</v>
      </c>
      <c r="V1978" t="s">
        <v>49</v>
      </c>
      <c r="X1978" t="s">
        <v>49</v>
      </c>
      <c r="Y1978" t="s">
        <v>59</v>
      </c>
      <c r="Z1978" t="s">
        <v>3261</v>
      </c>
      <c r="AA1978" t="s">
        <v>3261</v>
      </c>
    </row>
    <row r="1979" spans="1:27" x14ac:dyDescent="0.35">
      <c r="A1979" t="str">
        <f t="shared" si="61"/>
        <v>211_D4</v>
      </c>
      <c r="B1979" t="str">
        <f t="shared" si="60"/>
        <v>211_</v>
      </c>
      <c r="C1979" t="s">
        <v>3262</v>
      </c>
      <c r="D1979" t="s">
        <v>3</v>
      </c>
      <c r="E1979" t="s">
        <v>52</v>
      </c>
      <c r="F1979" t="s">
        <v>53</v>
      </c>
      <c r="G1979" t="s">
        <v>757</v>
      </c>
      <c r="H1979" t="s">
        <v>42</v>
      </c>
      <c r="I1979" t="s">
        <v>67</v>
      </c>
      <c r="J1979" t="s">
        <v>3251</v>
      </c>
      <c r="K1979" t="s">
        <v>56</v>
      </c>
      <c r="M1979" t="s">
        <v>106</v>
      </c>
      <c r="P1979" t="s">
        <v>58</v>
      </c>
      <c r="Q1979" t="s">
        <v>47</v>
      </c>
      <c r="R1979" t="s">
        <v>48</v>
      </c>
      <c r="V1979" t="s">
        <v>49</v>
      </c>
      <c r="X1979" t="s">
        <v>49</v>
      </c>
      <c r="Y1979" t="s">
        <v>59</v>
      </c>
      <c r="Z1979" t="s">
        <v>3892</v>
      </c>
      <c r="AA1979" t="s">
        <v>3892</v>
      </c>
    </row>
    <row r="1980" spans="1:27" x14ac:dyDescent="0.35">
      <c r="A1980" t="str">
        <f t="shared" si="61"/>
        <v>1202F3</v>
      </c>
      <c r="B1980" t="str">
        <f t="shared" si="60"/>
        <v>1202</v>
      </c>
      <c r="C1980" t="s">
        <v>3263</v>
      </c>
      <c r="D1980" t="s">
        <v>5</v>
      </c>
      <c r="E1980" t="s">
        <v>40</v>
      </c>
      <c r="F1980" t="s">
        <v>73</v>
      </c>
      <c r="G1980" t="s">
        <v>757</v>
      </c>
      <c r="H1980" t="s">
        <v>42</v>
      </c>
      <c r="I1980" t="s">
        <v>67</v>
      </c>
      <c r="J1980" t="s">
        <v>3255</v>
      </c>
      <c r="M1980" t="s">
        <v>106</v>
      </c>
      <c r="P1980" t="s">
        <v>46</v>
      </c>
      <c r="Q1980" t="s">
        <v>47</v>
      </c>
      <c r="R1980" t="s">
        <v>48</v>
      </c>
      <c r="V1980" t="s">
        <v>49</v>
      </c>
      <c r="X1980" t="s">
        <v>49</v>
      </c>
      <c r="Y1980" t="s">
        <v>74</v>
      </c>
      <c r="Z1980" t="s">
        <v>3211</v>
      </c>
      <c r="AA1980" t="s">
        <v>3211</v>
      </c>
    </row>
    <row r="1981" spans="1:27" x14ac:dyDescent="0.35">
      <c r="A1981" t="str">
        <f t="shared" si="61"/>
        <v>1202C2</v>
      </c>
      <c r="B1981" t="str">
        <f t="shared" si="60"/>
        <v>1202</v>
      </c>
      <c r="C1981" t="s">
        <v>3264</v>
      </c>
      <c r="D1981" t="s">
        <v>1</v>
      </c>
      <c r="E1981" t="s">
        <v>65</v>
      </c>
      <c r="F1981" t="s">
        <v>66</v>
      </c>
      <c r="G1981" t="s">
        <v>757</v>
      </c>
      <c r="H1981" t="s">
        <v>42</v>
      </c>
      <c r="I1981" t="s">
        <v>67</v>
      </c>
      <c r="J1981" t="s">
        <v>3255</v>
      </c>
      <c r="M1981" t="s">
        <v>106</v>
      </c>
      <c r="P1981" t="s">
        <v>69</v>
      </c>
      <c r="Q1981" t="s">
        <v>47</v>
      </c>
      <c r="R1981" t="s">
        <v>48</v>
      </c>
      <c r="V1981" t="s">
        <v>49</v>
      </c>
      <c r="X1981" t="s">
        <v>49</v>
      </c>
      <c r="Y1981" t="s">
        <v>70</v>
      </c>
      <c r="Z1981" t="s">
        <v>3265</v>
      </c>
      <c r="AA1981" t="s">
        <v>3265</v>
      </c>
    </row>
    <row r="1982" spans="1:27" x14ac:dyDescent="0.35">
      <c r="A1982" t="str">
        <f t="shared" si="61"/>
        <v>1202D7</v>
      </c>
      <c r="B1982" t="str">
        <f t="shared" si="60"/>
        <v>1202</v>
      </c>
      <c r="C1982" t="s">
        <v>3266</v>
      </c>
      <c r="D1982" t="s">
        <v>6</v>
      </c>
      <c r="E1982" t="s">
        <v>94</v>
      </c>
      <c r="F1982" t="s">
        <v>111</v>
      </c>
      <c r="G1982" t="s">
        <v>757</v>
      </c>
      <c r="H1982" t="s">
        <v>42</v>
      </c>
      <c r="I1982" t="s">
        <v>43</v>
      </c>
      <c r="J1982" t="s">
        <v>3255</v>
      </c>
      <c r="M1982" t="s">
        <v>106</v>
      </c>
      <c r="P1982" t="s">
        <v>46</v>
      </c>
      <c r="Q1982" t="s">
        <v>47</v>
      </c>
      <c r="R1982" t="s">
        <v>48</v>
      </c>
      <c r="V1982" t="s">
        <v>49</v>
      </c>
      <c r="X1982" t="s">
        <v>49</v>
      </c>
      <c r="Y1982" t="s">
        <v>59</v>
      </c>
      <c r="Z1982" t="s">
        <v>3249</v>
      </c>
      <c r="AA1982" t="s">
        <v>3249</v>
      </c>
    </row>
    <row r="1983" spans="1:27" x14ac:dyDescent="0.35">
      <c r="A1983" t="str">
        <f t="shared" si="61"/>
        <v>210_F3</v>
      </c>
      <c r="B1983" t="str">
        <f t="shared" si="60"/>
        <v>210_</v>
      </c>
      <c r="C1983" t="s">
        <v>3267</v>
      </c>
      <c r="D1983" t="s">
        <v>5</v>
      </c>
      <c r="E1983" t="s">
        <v>40</v>
      </c>
      <c r="F1983" t="s">
        <v>73</v>
      </c>
      <c r="G1983" t="s">
        <v>757</v>
      </c>
      <c r="H1983" t="s">
        <v>42</v>
      </c>
      <c r="I1983" t="s">
        <v>67</v>
      </c>
      <c r="J1983" t="s">
        <v>3268</v>
      </c>
      <c r="M1983" t="s">
        <v>106</v>
      </c>
      <c r="P1983" t="s">
        <v>58</v>
      </c>
      <c r="Q1983" t="s">
        <v>47</v>
      </c>
      <c r="R1983" t="s">
        <v>48</v>
      </c>
      <c r="V1983" t="s">
        <v>49</v>
      </c>
      <c r="X1983" t="s">
        <v>49</v>
      </c>
      <c r="Y1983" t="s">
        <v>74</v>
      </c>
      <c r="Z1983" t="s">
        <v>3602</v>
      </c>
      <c r="AA1983" t="s">
        <v>3602</v>
      </c>
    </row>
    <row r="1984" spans="1:27" x14ac:dyDescent="0.35">
      <c r="A1984" t="str">
        <f t="shared" si="61"/>
        <v>210_F2</v>
      </c>
      <c r="B1984" t="str">
        <f t="shared" si="60"/>
        <v>210_</v>
      </c>
      <c r="C1984" t="s">
        <v>3269</v>
      </c>
      <c r="D1984" t="s">
        <v>4</v>
      </c>
      <c r="E1984" t="s">
        <v>77</v>
      </c>
      <c r="F1984" t="s">
        <v>78</v>
      </c>
      <c r="G1984" t="s">
        <v>757</v>
      </c>
      <c r="H1984" t="s">
        <v>42</v>
      </c>
      <c r="I1984" t="s">
        <v>67</v>
      </c>
      <c r="J1984" t="s">
        <v>3268</v>
      </c>
      <c r="M1984" t="s">
        <v>106</v>
      </c>
      <c r="P1984" t="s">
        <v>710</v>
      </c>
      <c r="Q1984" t="s">
        <v>47</v>
      </c>
      <c r="R1984" t="s">
        <v>48</v>
      </c>
      <c r="V1984" t="s">
        <v>49</v>
      </c>
      <c r="X1984" t="s">
        <v>49</v>
      </c>
      <c r="Y1984" t="s">
        <v>74</v>
      </c>
      <c r="Z1984" t="s">
        <v>3602</v>
      </c>
      <c r="AA1984" t="s">
        <v>3602</v>
      </c>
    </row>
    <row r="1985" spans="1:27" x14ac:dyDescent="0.35">
      <c r="A1985" t="str">
        <f t="shared" si="61"/>
        <v>210_C2</v>
      </c>
      <c r="B1985" t="str">
        <f t="shared" si="60"/>
        <v>210_</v>
      </c>
      <c r="C1985" t="s">
        <v>3270</v>
      </c>
      <c r="D1985" t="s">
        <v>1</v>
      </c>
      <c r="E1985" t="s">
        <v>65</v>
      </c>
      <c r="F1985" t="s">
        <v>66</v>
      </c>
      <c r="G1985" t="s">
        <v>757</v>
      </c>
      <c r="H1985" t="s">
        <v>42</v>
      </c>
      <c r="I1985" t="s">
        <v>67</v>
      </c>
      <c r="J1985" t="s">
        <v>3268</v>
      </c>
      <c r="M1985" t="s">
        <v>106</v>
      </c>
      <c r="P1985" t="s">
        <v>58</v>
      </c>
      <c r="Q1985" t="s">
        <v>47</v>
      </c>
      <c r="R1985" t="s">
        <v>48</v>
      </c>
      <c r="V1985" t="s">
        <v>49</v>
      </c>
      <c r="X1985" t="s">
        <v>49</v>
      </c>
      <c r="Y1985" t="s">
        <v>70</v>
      </c>
      <c r="Z1985" t="s">
        <v>3997</v>
      </c>
      <c r="AA1985" t="s">
        <v>3997</v>
      </c>
    </row>
    <row r="1986" spans="1:27" x14ac:dyDescent="0.35">
      <c r="A1986" t="str">
        <f t="shared" si="61"/>
        <v>1201F2</v>
      </c>
      <c r="B1986" t="str">
        <f t="shared" ref="B1986:B2049" si="62">LEFT($J:$J,4)</f>
        <v>1201</v>
      </c>
      <c r="C1986" t="s">
        <v>3271</v>
      </c>
      <c r="D1986" t="s">
        <v>4</v>
      </c>
      <c r="E1986" t="s">
        <v>77</v>
      </c>
      <c r="F1986" t="s">
        <v>78</v>
      </c>
      <c r="G1986" t="s">
        <v>757</v>
      </c>
      <c r="H1986" t="s">
        <v>42</v>
      </c>
      <c r="I1986" t="s">
        <v>67</v>
      </c>
      <c r="J1986" t="s">
        <v>3272</v>
      </c>
      <c r="M1986" t="s">
        <v>106</v>
      </c>
      <c r="P1986" t="s">
        <v>138</v>
      </c>
      <c r="Q1986" t="s">
        <v>47</v>
      </c>
      <c r="R1986" t="s">
        <v>48</v>
      </c>
      <c r="V1986" t="s">
        <v>49</v>
      </c>
      <c r="X1986" t="s">
        <v>49</v>
      </c>
      <c r="Y1986" t="s">
        <v>74</v>
      </c>
      <c r="Z1986" t="s">
        <v>3256</v>
      </c>
      <c r="AA1986" t="s">
        <v>3256</v>
      </c>
    </row>
    <row r="1987" spans="1:27" x14ac:dyDescent="0.35">
      <c r="A1987" t="str">
        <f t="shared" ref="A1987:A2050" si="63">B1987&amp;D1987</f>
        <v>1201D4</v>
      </c>
      <c r="B1987" t="str">
        <f t="shared" si="62"/>
        <v>1201</v>
      </c>
      <c r="C1987" t="s">
        <v>3273</v>
      </c>
      <c r="D1987" t="s">
        <v>3</v>
      </c>
      <c r="E1987" t="s">
        <v>52</v>
      </c>
      <c r="F1987" t="s">
        <v>53</v>
      </c>
      <c r="G1987" t="s">
        <v>757</v>
      </c>
      <c r="H1987" t="s">
        <v>42</v>
      </c>
      <c r="I1987" t="s">
        <v>67</v>
      </c>
      <c r="J1987" t="s">
        <v>3272</v>
      </c>
      <c r="K1987" t="s">
        <v>56</v>
      </c>
      <c r="M1987" t="s">
        <v>106</v>
      </c>
      <c r="P1987" t="s">
        <v>69</v>
      </c>
      <c r="Q1987" t="s">
        <v>47</v>
      </c>
      <c r="R1987" t="s">
        <v>48</v>
      </c>
      <c r="V1987" t="s">
        <v>49</v>
      </c>
      <c r="X1987" t="s">
        <v>49</v>
      </c>
      <c r="Y1987" t="s">
        <v>59</v>
      </c>
      <c r="Z1987" t="s">
        <v>3274</v>
      </c>
      <c r="AA1987" t="s">
        <v>3274</v>
      </c>
    </row>
    <row r="1988" spans="1:27" x14ac:dyDescent="0.35">
      <c r="A1988" t="str">
        <f t="shared" si="63"/>
        <v>210_D2</v>
      </c>
      <c r="B1988" t="str">
        <f t="shared" si="62"/>
        <v>210_</v>
      </c>
      <c r="C1988" t="s">
        <v>3275</v>
      </c>
      <c r="D1988" t="s">
        <v>2</v>
      </c>
      <c r="E1988" t="s">
        <v>62</v>
      </c>
      <c r="F1988" t="s">
        <v>63</v>
      </c>
      <c r="G1988" t="s">
        <v>757</v>
      </c>
      <c r="H1988" t="s">
        <v>42</v>
      </c>
      <c r="I1988" t="s">
        <v>67</v>
      </c>
      <c r="J1988" t="s">
        <v>3268</v>
      </c>
      <c r="K1988" t="s">
        <v>56</v>
      </c>
      <c r="M1988" t="s">
        <v>106</v>
      </c>
      <c r="P1988" t="s">
        <v>58</v>
      </c>
      <c r="Q1988" t="s">
        <v>47</v>
      </c>
      <c r="R1988" t="s">
        <v>48</v>
      </c>
      <c r="V1988" t="s">
        <v>49</v>
      </c>
      <c r="X1988" t="s">
        <v>49</v>
      </c>
      <c r="Y1988" t="s">
        <v>59</v>
      </c>
      <c r="Z1988" t="s">
        <v>3998</v>
      </c>
      <c r="AA1988" t="s">
        <v>3998</v>
      </c>
    </row>
    <row r="1989" spans="1:27" x14ac:dyDescent="0.35">
      <c r="A1989" t="str">
        <f t="shared" si="63"/>
        <v>210_D7</v>
      </c>
      <c r="B1989" t="str">
        <f t="shared" si="62"/>
        <v>210_</v>
      </c>
      <c r="C1989" t="s">
        <v>3276</v>
      </c>
      <c r="D1989" t="s">
        <v>6</v>
      </c>
      <c r="E1989" t="s">
        <v>94</v>
      </c>
      <c r="F1989" t="s">
        <v>111</v>
      </c>
      <c r="G1989" t="s">
        <v>757</v>
      </c>
      <c r="H1989" t="s">
        <v>42</v>
      </c>
      <c r="I1989" t="s">
        <v>67</v>
      </c>
      <c r="J1989" t="s">
        <v>3268</v>
      </c>
      <c r="M1989" t="s">
        <v>106</v>
      </c>
      <c r="P1989" t="s">
        <v>46</v>
      </c>
      <c r="Q1989" t="s">
        <v>47</v>
      </c>
      <c r="R1989" t="s">
        <v>48</v>
      </c>
      <c r="V1989" t="s">
        <v>49</v>
      </c>
      <c r="X1989" t="s">
        <v>49</v>
      </c>
      <c r="Y1989" t="s">
        <v>59</v>
      </c>
      <c r="Z1989" t="s">
        <v>3277</v>
      </c>
      <c r="AA1989" t="s">
        <v>3277</v>
      </c>
    </row>
    <row r="1990" spans="1:27" x14ac:dyDescent="0.35">
      <c r="A1990" t="str">
        <f t="shared" si="63"/>
        <v>210_D4</v>
      </c>
      <c r="B1990" t="str">
        <f t="shared" si="62"/>
        <v>210_</v>
      </c>
      <c r="C1990" t="s">
        <v>3278</v>
      </c>
      <c r="D1990" t="s">
        <v>3</v>
      </c>
      <c r="E1990" t="s">
        <v>52</v>
      </c>
      <c r="F1990" t="s">
        <v>53</v>
      </c>
      <c r="G1990" t="s">
        <v>757</v>
      </c>
      <c r="H1990" t="s">
        <v>42</v>
      </c>
      <c r="I1990" t="s">
        <v>67</v>
      </c>
      <c r="J1990" t="s">
        <v>3268</v>
      </c>
      <c r="K1990" t="s">
        <v>56</v>
      </c>
      <c r="M1990" t="s">
        <v>106</v>
      </c>
      <c r="P1990" t="s">
        <v>58</v>
      </c>
      <c r="Q1990" t="s">
        <v>47</v>
      </c>
      <c r="R1990" t="s">
        <v>48</v>
      </c>
      <c r="V1990" t="s">
        <v>49</v>
      </c>
      <c r="X1990" t="s">
        <v>49</v>
      </c>
      <c r="Y1990" t="s">
        <v>59</v>
      </c>
      <c r="Z1990" t="s">
        <v>3892</v>
      </c>
      <c r="AA1990" t="s">
        <v>3892</v>
      </c>
    </row>
    <row r="1991" spans="1:27" x14ac:dyDescent="0.35">
      <c r="A1991" t="str">
        <f t="shared" si="63"/>
        <v>1201D2</v>
      </c>
      <c r="B1991" t="str">
        <f t="shared" si="62"/>
        <v>1201</v>
      </c>
      <c r="C1991" t="s">
        <v>3279</v>
      </c>
      <c r="D1991" t="s">
        <v>2</v>
      </c>
      <c r="E1991" t="s">
        <v>62</v>
      </c>
      <c r="F1991" t="s">
        <v>63</v>
      </c>
      <c r="G1991" t="s">
        <v>757</v>
      </c>
      <c r="H1991" t="s">
        <v>42</v>
      </c>
      <c r="I1991" t="s">
        <v>43</v>
      </c>
      <c r="J1991" t="s">
        <v>3272</v>
      </c>
      <c r="K1991" t="s">
        <v>56</v>
      </c>
      <c r="M1991" t="s">
        <v>106</v>
      </c>
      <c r="P1991" t="s">
        <v>58</v>
      </c>
      <c r="Q1991" t="s">
        <v>47</v>
      </c>
      <c r="R1991" t="s">
        <v>48</v>
      </c>
      <c r="V1991" t="s">
        <v>49</v>
      </c>
      <c r="X1991" t="s">
        <v>49</v>
      </c>
      <c r="Y1991" t="s">
        <v>59</v>
      </c>
      <c r="Z1991" t="s">
        <v>3280</v>
      </c>
      <c r="AA1991" t="s">
        <v>3280</v>
      </c>
    </row>
    <row r="1992" spans="1:27" x14ac:dyDescent="0.35">
      <c r="A1992" t="str">
        <f t="shared" si="63"/>
        <v>1201F3</v>
      </c>
      <c r="B1992" t="str">
        <f t="shared" si="62"/>
        <v>1201</v>
      </c>
      <c r="C1992" t="s">
        <v>3281</v>
      </c>
      <c r="D1992" t="s">
        <v>5</v>
      </c>
      <c r="E1992" t="s">
        <v>40</v>
      </c>
      <c r="F1992" t="s">
        <v>73</v>
      </c>
      <c r="G1992" t="s">
        <v>757</v>
      </c>
      <c r="H1992" t="s">
        <v>42</v>
      </c>
      <c r="I1992" t="s">
        <v>67</v>
      </c>
      <c r="J1992" t="s">
        <v>3272</v>
      </c>
      <c r="M1992" t="s">
        <v>106</v>
      </c>
      <c r="P1992" t="s">
        <v>46</v>
      </c>
      <c r="Q1992" t="s">
        <v>47</v>
      </c>
      <c r="R1992" t="s">
        <v>48</v>
      </c>
      <c r="V1992" t="s">
        <v>49</v>
      </c>
      <c r="X1992" t="s">
        <v>49</v>
      </c>
      <c r="Y1992" t="s">
        <v>74</v>
      </c>
      <c r="Z1992" t="s">
        <v>3211</v>
      </c>
      <c r="AA1992" t="s">
        <v>3211</v>
      </c>
    </row>
    <row r="1993" spans="1:27" x14ac:dyDescent="0.35">
      <c r="A1993" t="str">
        <f t="shared" si="63"/>
        <v>1201C2</v>
      </c>
      <c r="B1993" t="str">
        <f t="shared" si="62"/>
        <v>1201</v>
      </c>
      <c r="C1993" t="s">
        <v>3282</v>
      </c>
      <c r="D1993" t="s">
        <v>1</v>
      </c>
      <c r="E1993" t="s">
        <v>65</v>
      </c>
      <c r="F1993" t="s">
        <v>66</v>
      </c>
      <c r="G1993" t="s">
        <v>757</v>
      </c>
      <c r="H1993" t="s">
        <v>42</v>
      </c>
      <c r="I1993" t="s">
        <v>67</v>
      </c>
      <c r="J1993" t="s">
        <v>3272</v>
      </c>
      <c r="M1993" t="s">
        <v>106</v>
      </c>
      <c r="P1993" t="s">
        <v>69</v>
      </c>
      <c r="Q1993" t="s">
        <v>47</v>
      </c>
      <c r="R1993" t="s">
        <v>48</v>
      </c>
      <c r="V1993" t="s">
        <v>49</v>
      </c>
      <c r="X1993" t="s">
        <v>49</v>
      </c>
      <c r="Y1993" t="s">
        <v>70</v>
      </c>
      <c r="Z1993" t="s">
        <v>3265</v>
      </c>
      <c r="AA1993" t="s">
        <v>3265</v>
      </c>
    </row>
    <row r="1994" spans="1:27" x14ac:dyDescent="0.35">
      <c r="A1994" t="str">
        <f t="shared" si="63"/>
        <v>1201D7</v>
      </c>
      <c r="B1994" t="str">
        <f t="shared" si="62"/>
        <v>1201</v>
      </c>
      <c r="C1994" t="s">
        <v>3283</v>
      </c>
      <c r="D1994" t="s">
        <v>6</v>
      </c>
      <c r="E1994" t="s">
        <v>94</v>
      </c>
      <c r="F1994" t="s">
        <v>111</v>
      </c>
      <c r="G1994" t="s">
        <v>757</v>
      </c>
      <c r="H1994" t="s">
        <v>42</v>
      </c>
      <c r="I1994" t="s">
        <v>43</v>
      </c>
      <c r="J1994" t="s">
        <v>3272</v>
      </c>
      <c r="M1994" t="s">
        <v>106</v>
      </c>
      <c r="P1994" t="s">
        <v>46</v>
      </c>
      <c r="Q1994" t="s">
        <v>47</v>
      </c>
      <c r="R1994" t="s">
        <v>48</v>
      </c>
      <c r="V1994" t="s">
        <v>49</v>
      </c>
      <c r="X1994" t="s">
        <v>49</v>
      </c>
      <c r="Y1994" t="s">
        <v>59</v>
      </c>
      <c r="Z1994" t="s">
        <v>3284</v>
      </c>
      <c r="AA1994" t="s">
        <v>3284</v>
      </c>
    </row>
    <row r="1995" spans="1:27" x14ac:dyDescent="0.35">
      <c r="A1995" t="str">
        <f t="shared" si="63"/>
        <v>209_F3</v>
      </c>
      <c r="B1995" t="str">
        <f t="shared" si="62"/>
        <v>209_</v>
      </c>
      <c r="C1995" t="s">
        <v>3285</v>
      </c>
      <c r="D1995" t="s">
        <v>5</v>
      </c>
      <c r="E1995" t="s">
        <v>40</v>
      </c>
      <c r="F1995" t="s">
        <v>73</v>
      </c>
      <c r="G1995" t="s">
        <v>757</v>
      </c>
      <c r="H1995" t="s">
        <v>42</v>
      </c>
      <c r="I1995" t="s">
        <v>67</v>
      </c>
      <c r="J1995" t="s">
        <v>3286</v>
      </c>
      <c r="M1995" t="s">
        <v>106</v>
      </c>
      <c r="P1995" t="s">
        <v>58</v>
      </c>
      <c r="Q1995" t="s">
        <v>47</v>
      </c>
      <c r="R1995" t="s">
        <v>48</v>
      </c>
      <c r="V1995" t="s">
        <v>49</v>
      </c>
      <c r="X1995" t="s">
        <v>49</v>
      </c>
      <c r="Y1995" t="s">
        <v>74</v>
      </c>
      <c r="Z1995" t="s">
        <v>3602</v>
      </c>
      <c r="AA1995" t="s">
        <v>3602</v>
      </c>
    </row>
    <row r="1996" spans="1:27" x14ac:dyDescent="0.35">
      <c r="A1996" t="str">
        <f t="shared" si="63"/>
        <v>209_F2</v>
      </c>
      <c r="B1996" t="str">
        <f t="shared" si="62"/>
        <v>209_</v>
      </c>
      <c r="C1996" t="s">
        <v>3287</v>
      </c>
      <c r="D1996" t="s">
        <v>4</v>
      </c>
      <c r="E1996" t="s">
        <v>77</v>
      </c>
      <c r="F1996" t="s">
        <v>78</v>
      </c>
      <c r="G1996" t="s">
        <v>757</v>
      </c>
      <c r="H1996" t="s">
        <v>42</v>
      </c>
      <c r="I1996" t="s">
        <v>67</v>
      </c>
      <c r="J1996" t="s">
        <v>3286</v>
      </c>
      <c r="M1996" t="s">
        <v>106</v>
      </c>
      <c r="P1996" t="s">
        <v>79</v>
      </c>
      <c r="Q1996" t="s">
        <v>47</v>
      </c>
      <c r="R1996" t="s">
        <v>48</v>
      </c>
      <c r="V1996" t="s">
        <v>49</v>
      </c>
      <c r="X1996" t="s">
        <v>49</v>
      </c>
      <c r="Y1996" t="s">
        <v>74</v>
      </c>
      <c r="Z1996" t="s">
        <v>3602</v>
      </c>
      <c r="AA1996" t="s">
        <v>3602</v>
      </c>
    </row>
    <row r="1997" spans="1:27" x14ac:dyDescent="0.35">
      <c r="A1997" t="str">
        <f t="shared" si="63"/>
        <v>209_C2</v>
      </c>
      <c r="B1997" t="str">
        <f t="shared" si="62"/>
        <v>209_</v>
      </c>
      <c r="C1997" t="s">
        <v>3288</v>
      </c>
      <c r="D1997" t="s">
        <v>1</v>
      </c>
      <c r="E1997" t="s">
        <v>65</v>
      </c>
      <c r="F1997" t="s">
        <v>66</v>
      </c>
      <c r="G1997" t="s">
        <v>757</v>
      </c>
      <c r="H1997" t="s">
        <v>42</v>
      </c>
      <c r="I1997" t="s">
        <v>67</v>
      </c>
      <c r="J1997" t="s">
        <v>3286</v>
      </c>
      <c r="M1997" t="s">
        <v>106</v>
      </c>
      <c r="P1997" t="s">
        <v>69</v>
      </c>
      <c r="Q1997" t="s">
        <v>47</v>
      </c>
      <c r="R1997" t="s">
        <v>48</v>
      </c>
      <c r="V1997" t="s">
        <v>49</v>
      </c>
      <c r="X1997" t="s">
        <v>49</v>
      </c>
      <c r="Y1997" t="s">
        <v>70</v>
      </c>
      <c r="Z1997" t="s">
        <v>3997</v>
      </c>
      <c r="AA1997" t="s">
        <v>3997</v>
      </c>
    </row>
    <row r="1998" spans="1:27" x14ac:dyDescent="0.35">
      <c r="A1998" t="str">
        <f t="shared" si="63"/>
        <v>1109F2</v>
      </c>
      <c r="B1998" t="str">
        <f t="shared" si="62"/>
        <v>1109</v>
      </c>
      <c r="C1998" t="s">
        <v>3289</v>
      </c>
      <c r="D1998" t="s">
        <v>4</v>
      </c>
      <c r="E1998" t="s">
        <v>77</v>
      </c>
      <c r="F1998" t="s">
        <v>78</v>
      </c>
      <c r="G1998" t="s">
        <v>757</v>
      </c>
      <c r="H1998" t="s">
        <v>42</v>
      </c>
      <c r="I1998" t="s">
        <v>67</v>
      </c>
      <c r="J1998" t="s">
        <v>3290</v>
      </c>
      <c r="M1998" t="s">
        <v>106</v>
      </c>
      <c r="P1998" t="s">
        <v>189</v>
      </c>
      <c r="Q1998" t="s">
        <v>47</v>
      </c>
      <c r="R1998" t="s">
        <v>48</v>
      </c>
      <c r="V1998" t="s">
        <v>49</v>
      </c>
      <c r="X1998" t="s">
        <v>49</v>
      </c>
      <c r="Y1998" t="s">
        <v>74</v>
      </c>
      <c r="Z1998" t="s">
        <v>1868</v>
      </c>
      <c r="AA1998" t="s">
        <v>1868</v>
      </c>
    </row>
    <row r="1999" spans="1:27" x14ac:dyDescent="0.35">
      <c r="A1999" t="str">
        <f t="shared" si="63"/>
        <v>209_D2</v>
      </c>
      <c r="B1999" t="str">
        <f t="shared" si="62"/>
        <v>209_</v>
      </c>
      <c r="C1999" t="s">
        <v>3291</v>
      </c>
      <c r="D1999" t="s">
        <v>2</v>
      </c>
      <c r="E1999" t="s">
        <v>62</v>
      </c>
      <c r="F1999" t="s">
        <v>63</v>
      </c>
      <c r="G1999" t="s">
        <v>757</v>
      </c>
      <c r="H1999" t="s">
        <v>42</v>
      </c>
      <c r="I1999" t="s">
        <v>67</v>
      </c>
      <c r="J1999" t="s">
        <v>3286</v>
      </c>
      <c r="K1999" t="s">
        <v>56</v>
      </c>
      <c r="M1999" t="s">
        <v>106</v>
      </c>
      <c r="P1999" t="s">
        <v>58</v>
      </c>
      <c r="Q1999" t="s">
        <v>47</v>
      </c>
      <c r="R1999" t="s">
        <v>48</v>
      </c>
      <c r="V1999" t="s">
        <v>49</v>
      </c>
      <c r="X1999" t="s">
        <v>49</v>
      </c>
      <c r="Y1999" t="s">
        <v>59</v>
      </c>
      <c r="Z1999" t="s">
        <v>3998</v>
      </c>
      <c r="AA1999" t="s">
        <v>3998</v>
      </c>
    </row>
    <row r="2000" spans="1:27" x14ac:dyDescent="0.35">
      <c r="A2000" t="str">
        <f t="shared" si="63"/>
        <v>1109D4</v>
      </c>
      <c r="B2000" t="str">
        <f t="shared" si="62"/>
        <v>1109</v>
      </c>
      <c r="C2000" t="s">
        <v>3292</v>
      </c>
      <c r="D2000" t="s">
        <v>3</v>
      </c>
      <c r="E2000" t="s">
        <v>52</v>
      </c>
      <c r="F2000" t="s">
        <v>53</v>
      </c>
      <c r="G2000" t="s">
        <v>757</v>
      </c>
      <c r="H2000" t="s">
        <v>42</v>
      </c>
      <c r="I2000" t="s">
        <v>43</v>
      </c>
      <c r="J2000" t="s">
        <v>3290</v>
      </c>
      <c r="K2000" t="s">
        <v>56</v>
      </c>
      <c r="M2000" t="s">
        <v>106</v>
      </c>
      <c r="P2000" t="s">
        <v>58</v>
      </c>
      <c r="Q2000" t="s">
        <v>47</v>
      </c>
      <c r="R2000" t="s">
        <v>48</v>
      </c>
      <c r="V2000" t="s">
        <v>49</v>
      </c>
      <c r="X2000" t="s">
        <v>49</v>
      </c>
      <c r="Y2000" t="s">
        <v>59</v>
      </c>
      <c r="Z2000" t="s">
        <v>1880</v>
      </c>
      <c r="AA2000" t="s">
        <v>1880</v>
      </c>
    </row>
    <row r="2001" spans="1:27" x14ac:dyDescent="0.35">
      <c r="A2001" t="str">
        <f t="shared" si="63"/>
        <v>209_D7</v>
      </c>
      <c r="B2001" t="str">
        <f t="shared" si="62"/>
        <v>209_</v>
      </c>
      <c r="C2001" t="s">
        <v>3293</v>
      </c>
      <c r="D2001" t="s">
        <v>6</v>
      </c>
      <c r="E2001" t="s">
        <v>94</v>
      </c>
      <c r="F2001" t="s">
        <v>111</v>
      </c>
      <c r="G2001" t="s">
        <v>757</v>
      </c>
      <c r="H2001" t="s">
        <v>42</v>
      </c>
      <c r="I2001" t="s">
        <v>67</v>
      </c>
      <c r="J2001" t="s">
        <v>3286</v>
      </c>
      <c r="M2001" t="s">
        <v>106</v>
      </c>
      <c r="P2001" t="s">
        <v>46</v>
      </c>
      <c r="Q2001" t="s">
        <v>47</v>
      </c>
      <c r="R2001" t="s">
        <v>48</v>
      </c>
      <c r="V2001" t="s">
        <v>49</v>
      </c>
      <c r="X2001" t="s">
        <v>49</v>
      </c>
      <c r="Y2001" t="s">
        <v>59</v>
      </c>
      <c r="Z2001" t="s">
        <v>3277</v>
      </c>
      <c r="AA2001" t="s">
        <v>3277</v>
      </c>
    </row>
    <row r="2002" spans="1:27" x14ac:dyDescent="0.35">
      <c r="A2002" t="str">
        <f t="shared" si="63"/>
        <v>209_D4</v>
      </c>
      <c r="B2002" t="str">
        <f t="shared" si="62"/>
        <v>209_</v>
      </c>
      <c r="C2002" t="s">
        <v>3294</v>
      </c>
      <c r="D2002" t="s">
        <v>3</v>
      </c>
      <c r="E2002" t="s">
        <v>52</v>
      </c>
      <c r="F2002" t="s">
        <v>53</v>
      </c>
      <c r="G2002" t="s">
        <v>757</v>
      </c>
      <c r="H2002" t="s">
        <v>42</v>
      </c>
      <c r="I2002" t="s">
        <v>67</v>
      </c>
      <c r="J2002" t="s">
        <v>3286</v>
      </c>
      <c r="K2002" t="s">
        <v>56</v>
      </c>
      <c r="M2002" t="s">
        <v>106</v>
      </c>
      <c r="P2002" t="s">
        <v>58</v>
      </c>
      <c r="Q2002" t="s">
        <v>47</v>
      </c>
      <c r="R2002" t="s">
        <v>48</v>
      </c>
      <c r="V2002" t="s">
        <v>49</v>
      </c>
      <c r="X2002" t="s">
        <v>49</v>
      </c>
      <c r="Y2002" t="s">
        <v>59</v>
      </c>
      <c r="Z2002" t="s">
        <v>3892</v>
      </c>
      <c r="AA2002" t="s">
        <v>3892</v>
      </c>
    </row>
    <row r="2003" spans="1:27" x14ac:dyDescent="0.35">
      <c r="A2003" t="str">
        <f t="shared" si="63"/>
        <v>1109D2</v>
      </c>
      <c r="B2003" t="str">
        <f t="shared" si="62"/>
        <v>1109</v>
      </c>
      <c r="C2003" t="s">
        <v>3295</v>
      </c>
      <c r="D2003" t="s">
        <v>2</v>
      </c>
      <c r="E2003" t="s">
        <v>62</v>
      </c>
      <c r="F2003" t="s">
        <v>63</v>
      </c>
      <c r="G2003" t="s">
        <v>757</v>
      </c>
      <c r="H2003" t="s">
        <v>42</v>
      </c>
      <c r="I2003" t="s">
        <v>43</v>
      </c>
      <c r="J2003" t="s">
        <v>3290</v>
      </c>
      <c r="K2003" t="s">
        <v>56</v>
      </c>
      <c r="M2003" t="s">
        <v>106</v>
      </c>
      <c r="P2003" t="s">
        <v>58</v>
      </c>
      <c r="Q2003" t="s">
        <v>47</v>
      </c>
      <c r="R2003" t="s">
        <v>48</v>
      </c>
      <c r="V2003" t="s">
        <v>49</v>
      </c>
      <c r="X2003" t="s">
        <v>49</v>
      </c>
      <c r="Y2003" t="s">
        <v>59</v>
      </c>
      <c r="Z2003" t="s">
        <v>3296</v>
      </c>
      <c r="AA2003" t="s">
        <v>3296</v>
      </c>
    </row>
    <row r="2004" spans="1:27" x14ac:dyDescent="0.35">
      <c r="A2004" t="str">
        <f t="shared" si="63"/>
        <v>1109F3</v>
      </c>
      <c r="B2004" t="str">
        <f t="shared" si="62"/>
        <v>1109</v>
      </c>
      <c r="C2004" t="s">
        <v>3297</v>
      </c>
      <c r="D2004" t="s">
        <v>5</v>
      </c>
      <c r="E2004" t="s">
        <v>40</v>
      </c>
      <c r="F2004" t="s">
        <v>73</v>
      </c>
      <c r="G2004" t="s">
        <v>757</v>
      </c>
      <c r="H2004" t="s">
        <v>42</v>
      </c>
      <c r="I2004" t="s">
        <v>67</v>
      </c>
      <c r="J2004" t="s">
        <v>3290</v>
      </c>
      <c r="M2004" t="s">
        <v>106</v>
      </c>
      <c r="P2004" t="s">
        <v>46</v>
      </c>
      <c r="Q2004" t="s">
        <v>47</v>
      </c>
      <c r="R2004" t="s">
        <v>48</v>
      </c>
      <c r="V2004" t="s">
        <v>49</v>
      </c>
      <c r="X2004" t="s">
        <v>49</v>
      </c>
      <c r="Y2004" t="s">
        <v>74</v>
      </c>
      <c r="Z2004" t="s">
        <v>3298</v>
      </c>
      <c r="AA2004" t="s">
        <v>3298</v>
      </c>
    </row>
    <row r="2005" spans="1:27" x14ac:dyDescent="0.35">
      <c r="A2005" t="str">
        <f t="shared" si="63"/>
        <v>1109C2</v>
      </c>
      <c r="B2005" t="str">
        <f t="shared" si="62"/>
        <v>1109</v>
      </c>
      <c r="C2005" t="s">
        <v>3299</v>
      </c>
      <c r="D2005" t="s">
        <v>1</v>
      </c>
      <c r="E2005" t="s">
        <v>65</v>
      </c>
      <c r="F2005" t="s">
        <v>66</v>
      </c>
      <c r="G2005" t="s">
        <v>757</v>
      </c>
      <c r="H2005" t="s">
        <v>42</v>
      </c>
      <c r="I2005" t="s">
        <v>67</v>
      </c>
      <c r="J2005" t="s">
        <v>3290</v>
      </c>
      <c r="M2005" t="s">
        <v>106</v>
      </c>
      <c r="P2005" t="s">
        <v>69</v>
      </c>
      <c r="Q2005" t="s">
        <v>47</v>
      </c>
      <c r="R2005" t="s">
        <v>48</v>
      </c>
      <c r="V2005" t="s">
        <v>49</v>
      </c>
      <c r="X2005" t="s">
        <v>49</v>
      </c>
      <c r="Y2005" t="s">
        <v>70</v>
      </c>
      <c r="Z2005" t="s">
        <v>2065</v>
      </c>
      <c r="AA2005" t="s">
        <v>2065</v>
      </c>
    </row>
    <row r="2006" spans="1:27" x14ac:dyDescent="0.35">
      <c r="A2006" t="str">
        <f t="shared" si="63"/>
        <v>1109D7</v>
      </c>
      <c r="B2006" t="str">
        <f t="shared" si="62"/>
        <v>1109</v>
      </c>
      <c r="C2006" t="s">
        <v>3300</v>
      </c>
      <c r="D2006" t="s">
        <v>6</v>
      </c>
      <c r="E2006" t="s">
        <v>94</v>
      </c>
      <c r="F2006" t="s">
        <v>111</v>
      </c>
      <c r="G2006" t="s">
        <v>757</v>
      </c>
      <c r="H2006" t="s">
        <v>42</v>
      </c>
      <c r="I2006" t="s">
        <v>43</v>
      </c>
      <c r="J2006" t="s">
        <v>3290</v>
      </c>
      <c r="M2006" t="s">
        <v>106</v>
      </c>
      <c r="P2006" t="s">
        <v>46</v>
      </c>
      <c r="Q2006" t="s">
        <v>47</v>
      </c>
      <c r="R2006" t="s">
        <v>48</v>
      </c>
      <c r="V2006" t="s">
        <v>49</v>
      </c>
      <c r="X2006" t="s">
        <v>49</v>
      </c>
      <c r="Y2006" t="s">
        <v>59</v>
      </c>
      <c r="Z2006" t="s">
        <v>3301</v>
      </c>
      <c r="AA2006" t="s">
        <v>3301</v>
      </c>
    </row>
    <row r="2007" spans="1:27" x14ac:dyDescent="0.35">
      <c r="A2007" t="str">
        <f t="shared" si="63"/>
        <v>208_F3</v>
      </c>
      <c r="B2007" t="str">
        <f t="shared" si="62"/>
        <v>208_</v>
      </c>
      <c r="C2007" t="s">
        <v>3302</v>
      </c>
      <c r="D2007" t="s">
        <v>5</v>
      </c>
      <c r="E2007" t="s">
        <v>40</v>
      </c>
      <c r="F2007" t="s">
        <v>73</v>
      </c>
      <c r="G2007" t="s">
        <v>757</v>
      </c>
      <c r="H2007" t="s">
        <v>42</v>
      </c>
      <c r="I2007" t="s">
        <v>67</v>
      </c>
      <c r="J2007" t="s">
        <v>3303</v>
      </c>
      <c r="M2007" t="s">
        <v>106</v>
      </c>
      <c r="P2007" t="s">
        <v>58</v>
      </c>
      <c r="Q2007" t="s">
        <v>47</v>
      </c>
      <c r="R2007" t="s">
        <v>48</v>
      </c>
      <c r="V2007" t="s">
        <v>49</v>
      </c>
      <c r="X2007" t="s">
        <v>49</v>
      </c>
      <c r="Y2007" t="s">
        <v>74</v>
      </c>
      <c r="Z2007" t="s">
        <v>3602</v>
      </c>
      <c r="AA2007" t="s">
        <v>3602</v>
      </c>
    </row>
    <row r="2008" spans="1:27" x14ac:dyDescent="0.35">
      <c r="A2008" t="str">
        <f t="shared" si="63"/>
        <v>208_F2</v>
      </c>
      <c r="B2008" t="str">
        <f t="shared" si="62"/>
        <v>208_</v>
      </c>
      <c r="C2008" t="s">
        <v>3304</v>
      </c>
      <c r="D2008" t="s">
        <v>4</v>
      </c>
      <c r="E2008" t="s">
        <v>77</v>
      </c>
      <c r="F2008" t="s">
        <v>78</v>
      </c>
      <c r="G2008" t="s">
        <v>757</v>
      </c>
      <c r="H2008" t="s">
        <v>42</v>
      </c>
      <c r="I2008" t="s">
        <v>67</v>
      </c>
      <c r="J2008" t="s">
        <v>3303</v>
      </c>
      <c r="M2008" t="s">
        <v>106</v>
      </c>
      <c r="P2008" t="s">
        <v>138</v>
      </c>
      <c r="Q2008" t="s">
        <v>47</v>
      </c>
      <c r="R2008" t="s">
        <v>48</v>
      </c>
      <c r="V2008" t="s">
        <v>49</v>
      </c>
      <c r="X2008" t="s">
        <v>49</v>
      </c>
      <c r="Y2008" t="s">
        <v>74</v>
      </c>
      <c r="Z2008" t="s">
        <v>3602</v>
      </c>
      <c r="AA2008" t="s">
        <v>3602</v>
      </c>
    </row>
    <row r="2009" spans="1:27" x14ac:dyDescent="0.35">
      <c r="A2009" t="str">
        <f t="shared" si="63"/>
        <v>208_C2</v>
      </c>
      <c r="B2009" t="str">
        <f t="shared" si="62"/>
        <v>208_</v>
      </c>
      <c r="C2009" t="s">
        <v>3305</v>
      </c>
      <c r="D2009" t="s">
        <v>1</v>
      </c>
      <c r="E2009" t="s">
        <v>65</v>
      </c>
      <c r="F2009" t="s">
        <v>66</v>
      </c>
      <c r="G2009" t="s">
        <v>757</v>
      </c>
      <c r="H2009" t="s">
        <v>42</v>
      </c>
      <c r="I2009" t="s">
        <v>67</v>
      </c>
      <c r="J2009" t="s">
        <v>3303</v>
      </c>
      <c r="M2009" t="s">
        <v>106</v>
      </c>
      <c r="P2009" t="s">
        <v>69</v>
      </c>
      <c r="Q2009" t="s">
        <v>47</v>
      </c>
      <c r="R2009" t="s">
        <v>48</v>
      </c>
      <c r="V2009" t="s">
        <v>49</v>
      </c>
      <c r="X2009" t="s">
        <v>49</v>
      </c>
      <c r="Y2009" t="s">
        <v>70</v>
      </c>
      <c r="Z2009" t="s">
        <v>3997</v>
      </c>
      <c r="AA2009" t="s">
        <v>3997</v>
      </c>
    </row>
    <row r="2010" spans="1:27" x14ac:dyDescent="0.35">
      <c r="A2010" t="str">
        <f t="shared" si="63"/>
        <v>208_D2</v>
      </c>
      <c r="B2010" t="str">
        <f t="shared" si="62"/>
        <v>208_</v>
      </c>
      <c r="C2010" t="s">
        <v>3306</v>
      </c>
      <c r="D2010" t="s">
        <v>2</v>
      </c>
      <c r="E2010" t="s">
        <v>62</v>
      </c>
      <c r="F2010" t="s">
        <v>63</v>
      </c>
      <c r="G2010" t="s">
        <v>757</v>
      </c>
      <c r="H2010" t="s">
        <v>42</v>
      </c>
      <c r="I2010" t="s">
        <v>67</v>
      </c>
      <c r="J2010" t="s">
        <v>3303</v>
      </c>
      <c r="K2010" t="s">
        <v>56</v>
      </c>
      <c r="M2010" t="s">
        <v>106</v>
      </c>
      <c r="P2010" t="s">
        <v>58</v>
      </c>
      <c r="Q2010" t="s">
        <v>47</v>
      </c>
      <c r="R2010" t="s">
        <v>48</v>
      </c>
      <c r="V2010" t="s">
        <v>49</v>
      </c>
      <c r="X2010" t="s">
        <v>49</v>
      </c>
      <c r="Y2010" t="s">
        <v>59</v>
      </c>
      <c r="Z2010" t="s">
        <v>3999</v>
      </c>
      <c r="AA2010" t="s">
        <v>3999</v>
      </c>
    </row>
    <row r="2011" spans="1:27" x14ac:dyDescent="0.35">
      <c r="A2011" t="str">
        <f t="shared" si="63"/>
        <v>208_D7</v>
      </c>
      <c r="B2011" t="str">
        <f t="shared" si="62"/>
        <v>208_</v>
      </c>
      <c r="C2011" t="s">
        <v>3307</v>
      </c>
      <c r="D2011" t="s">
        <v>6</v>
      </c>
      <c r="E2011" t="s">
        <v>94</v>
      </c>
      <c r="F2011" t="s">
        <v>111</v>
      </c>
      <c r="G2011" t="s">
        <v>757</v>
      </c>
      <c r="H2011" t="s">
        <v>42</v>
      </c>
      <c r="I2011" t="s">
        <v>67</v>
      </c>
      <c r="J2011" t="s">
        <v>3303</v>
      </c>
      <c r="M2011" t="s">
        <v>106</v>
      </c>
      <c r="P2011" t="s">
        <v>58</v>
      </c>
      <c r="Q2011" t="s">
        <v>47</v>
      </c>
      <c r="R2011" t="s">
        <v>48</v>
      </c>
      <c r="V2011" t="s">
        <v>49</v>
      </c>
      <c r="X2011" t="s">
        <v>49</v>
      </c>
      <c r="Y2011" t="s">
        <v>59</v>
      </c>
      <c r="Z2011" t="s">
        <v>3685</v>
      </c>
      <c r="AA2011" t="s">
        <v>3277</v>
      </c>
    </row>
    <row r="2012" spans="1:27" x14ac:dyDescent="0.35">
      <c r="A2012" t="str">
        <f t="shared" si="63"/>
        <v>1108F2</v>
      </c>
      <c r="B2012" t="str">
        <f t="shared" si="62"/>
        <v>1108</v>
      </c>
      <c r="C2012" t="s">
        <v>3308</v>
      </c>
      <c r="D2012" t="s">
        <v>4</v>
      </c>
      <c r="E2012" t="s">
        <v>77</v>
      </c>
      <c r="F2012" t="s">
        <v>78</v>
      </c>
      <c r="G2012" t="s">
        <v>757</v>
      </c>
      <c r="H2012" t="s">
        <v>42</v>
      </c>
      <c r="I2012" t="s">
        <v>67</v>
      </c>
      <c r="J2012" t="s">
        <v>3309</v>
      </c>
      <c r="M2012" t="s">
        <v>106</v>
      </c>
      <c r="P2012" t="s">
        <v>189</v>
      </c>
      <c r="Q2012" t="s">
        <v>47</v>
      </c>
      <c r="R2012" t="s">
        <v>48</v>
      </c>
      <c r="V2012" t="s">
        <v>49</v>
      </c>
      <c r="X2012" t="s">
        <v>49</v>
      </c>
      <c r="Y2012" t="s">
        <v>74</v>
      </c>
      <c r="Z2012" t="s">
        <v>3298</v>
      </c>
      <c r="AA2012" t="s">
        <v>3298</v>
      </c>
    </row>
    <row r="2013" spans="1:27" x14ac:dyDescent="0.35">
      <c r="A2013" t="str">
        <f t="shared" si="63"/>
        <v>208_D4</v>
      </c>
      <c r="B2013" t="str">
        <f t="shared" si="62"/>
        <v>208_</v>
      </c>
      <c r="C2013" t="s">
        <v>3310</v>
      </c>
      <c r="D2013" t="s">
        <v>3</v>
      </c>
      <c r="E2013" t="s">
        <v>52</v>
      </c>
      <c r="F2013" t="s">
        <v>53</v>
      </c>
      <c r="G2013" t="s">
        <v>757</v>
      </c>
      <c r="H2013" t="s">
        <v>42</v>
      </c>
      <c r="I2013" t="s">
        <v>67</v>
      </c>
      <c r="J2013" t="s">
        <v>3303</v>
      </c>
      <c r="K2013" t="s">
        <v>56</v>
      </c>
      <c r="M2013" t="s">
        <v>106</v>
      </c>
      <c r="P2013" t="s">
        <v>58</v>
      </c>
      <c r="Q2013" t="s">
        <v>47</v>
      </c>
      <c r="R2013" t="s">
        <v>48</v>
      </c>
      <c r="V2013" t="s">
        <v>49</v>
      </c>
      <c r="X2013" t="s">
        <v>49</v>
      </c>
      <c r="Y2013" t="s">
        <v>59</v>
      </c>
      <c r="Z2013" t="s">
        <v>3893</v>
      </c>
      <c r="AA2013" t="s">
        <v>3893</v>
      </c>
    </row>
    <row r="2014" spans="1:27" x14ac:dyDescent="0.35">
      <c r="A2014" t="str">
        <f t="shared" si="63"/>
        <v>1108D4</v>
      </c>
      <c r="B2014" t="str">
        <f t="shared" si="62"/>
        <v>1108</v>
      </c>
      <c r="C2014" t="s">
        <v>3311</v>
      </c>
      <c r="D2014" t="s">
        <v>3</v>
      </c>
      <c r="E2014" t="s">
        <v>52</v>
      </c>
      <c r="F2014" t="s">
        <v>53</v>
      </c>
      <c r="G2014" t="s">
        <v>757</v>
      </c>
      <c r="H2014" t="s">
        <v>42</v>
      </c>
      <c r="I2014" t="s">
        <v>43</v>
      </c>
      <c r="J2014" t="s">
        <v>3309</v>
      </c>
      <c r="K2014" t="s">
        <v>56</v>
      </c>
      <c r="M2014" t="s">
        <v>106</v>
      </c>
      <c r="P2014" t="s">
        <v>58</v>
      </c>
      <c r="Q2014" t="s">
        <v>47</v>
      </c>
      <c r="R2014" t="s">
        <v>48</v>
      </c>
      <c r="V2014" t="s">
        <v>49</v>
      </c>
      <c r="X2014" t="s">
        <v>49</v>
      </c>
      <c r="Y2014" t="s">
        <v>59</v>
      </c>
      <c r="Z2014" t="s">
        <v>1880</v>
      </c>
      <c r="AA2014" t="s">
        <v>1880</v>
      </c>
    </row>
    <row r="2015" spans="1:27" x14ac:dyDescent="0.35">
      <c r="A2015" t="str">
        <f t="shared" si="63"/>
        <v>1108D2</v>
      </c>
      <c r="B2015" t="str">
        <f t="shared" si="62"/>
        <v>1108</v>
      </c>
      <c r="C2015" t="s">
        <v>3312</v>
      </c>
      <c r="D2015" t="s">
        <v>2</v>
      </c>
      <c r="E2015" t="s">
        <v>62</v>
      </c>
      <c r="F2015" t="s">
        <v>63</v>
      </c>
      <c r="G2015" t="s">
        <v>757</v>
      </c>
      <c r="H2015" t="s">
        <v>42</v>
      </c>
      <c r="I2015" t="s">
        <v>43</v>
      </c>
      <c r="J2015" t="s">
        <v>3309</v>
      </c>
      <c r="K2015" t="s">
        <v>56</v>
      </c>
      <c r="M2015" t="s">
        <v>106</v>
      </c>
      <c r="P2015" t="s">
        <v>58</v>
      </c>
      <c r="Q2015" t="s">
        <v>47</v>
      </c>
      <c r="R2015" t="s">
        <v>48</v>
      </c>
      <c r="V2015" t="s">
        <v>49</v>
      </c>
      <c r="X2015" t="s">
        <v>49</v>
      </c>
      <c r="Y2015" t="s">
        <v>59</v>
      </c>
      <c r="Z2015" t="s">
        <v>1880</v>
      </c>
      <c r="AA2015" t="s">
        <v>1880</v>
      </c>
    </row>
    <row r="2016" spans="1:27" x14ac:dyDescent="0.35">
      <c r="A2016" t="str">
        <f t="shared" si="63"/>
        <v>1108F3</v>
      </c>
      <c r="B2016" t="str">
        <f t="shared" si="62"/>
        <v>1108</v>
      </c>
      <c r="C2016" t="s">
        <v>3313</v>
      </c>
      <c r="D2016" t="s">
        <v>5</v>
      </c>
      <c r="E2016" t="s">
        <v>40</v>
      </c>
      <c r="F2016" t="s">
        <v>73</v>
      </c>
      <c r="G2016" t="s">
        <v>757</v>
      </c>
      <c r="H2016" t="s">
        <v>42</v>
      </c>
      <c r="I2016" t="s">
        <v>67</v>
      </c>
      <c r="J2016" t="s">
        <v>3309</v>
      </c>
      <c r="M2016" t="s">
        <v>106</v>
      </c>
      <c r="P2016" t="s">
        <v>46</v>
      </c>
      <c r="Q2016" t="s">
        <v>47</v>
      </c>
      <c r="R2016" t="s">
        <v>48</v>
      </c>
      <c r="V2016" t="s">
        <v>49</v>
      </c>
      <c r="X2016" t="s">
        <v>49</v>
      </c>
      <c r="Y2016" t="s">
        <v>74</v>
      </c>
      <c r="Z2016" t="s">
        <v>3298</v>
      </c>
      <c r="AA2016" t="s">
        <v>3298</v>
      </c>
    </row>
    <row r="2017" spans="1:27" x14ac:dyDescent="0.35">
      <c r="A2017" t="str">
        <f t="shared" si="63"/>
        <v>1108C2</v>
      </c>
      <c r="B2017" t="str">
        <f t="shared" si="62"/>
        <v>1108</v>
      </c>
      <c r="C2017" t="s">
        <v>3314</v>
      </c>
      <c r="D2017" t="s">
        <v>1</v>
      </c>
      <c r="E2017" t="s">
        <v>65</v>
      </c>
      <c r="F2017" t="s">
        <v>66</v>
      </c>
      <c r="G2017" t="s">
        <v>757</v>
      </c>
      <c r="H2017" t="s">
        <v>42</v>
      </c>
      <c r="I2017" t="s">
        <v>67</v>
      </c>
      <c r="J2017" t="s">
        <v>3309</v>
      </c>
      <c r="M2017" t="s">
        <v>106</v>
      </c>
      <c r="P2017" t="s">
        <v>69</v>
      </c>
      <c r="Q2017" t="s">
        <v>47</v>
      </c>
      <c r="R2017" t="s">
        <v>48</v>
      </c>
      <c r="V2017" t="s">
        <v>49</v>
      </c>
      <c r="X2017" t="s">
        <v>49</v>
      </c>
      <c r="Y2017" t="s">
        <v>70</v>
      </c>
      <c r="Z2017" t="s">
        <v>2065</v>
      </c>
      <c r="AA2017" t="s">
        <v>2065</v>
      </c>
    </row>
    <row r="2018" spans="1:27" x14ac:dyDescent="0.35">
      <c r="A2018" t="str">
        <f t="shared" si="63"/>
        <v>1108D7</v>
      </c>
      <c r="B2018" t="str">
        <f t="shared" si="62"/>
        <v>1108</v>
      </c>
      <c r="C2018" t="s">
        <v>3315</v>
      </c>
      <c r="D2018" t="s">
        <v>6</v>
      </c>
      <c r="E2018" t="s">
        <v>94</v>
      </c>
      <c r="F2018" t="s">
        <v>111</v>
      </c>
      <c r="G2018" t="s">
        <v>757</v>
      </c>
      <c r="H2018" t="s">
        <v>42</v>
      </c>
      <c r="I2018" t="s">
        <v>43</v>
      </c>
      <c r="J2018" t="s">
        <v>3309</v>
      </c>
      <c r="M2018" t="s">
        <v>106</v>
      </c>
      <c r="P2018" t="s">
        <v>46</v>
      </c>
      <c r="Q2018" t="s">
        <v>47</v>
      </c>
      <c r="R2018" t="s">
        <v>48</v>
      </c>
      <c r="V2018" t="s">
        <v>49</v>
      </c>
      <c r="X2018" t="s">
        <v>49</v>
      </c>
      <c r="Y2018" t="s">
        <v>59</v>
      </c>
      <c r="Z2018" t="s">
        <v>3301</v>
      </c>
      <c r="AA2018" t="s">
        <v>3301</v>
      </c>
    </row>
    <row r="2019" spans="1:27" x14ac:dyDescent="0.35">
      <c r="A2019" t="str">
        <f t="shared" si="63"/>
        <v>207_F3</v>
      </c>
      <c r="B2019" t="str">
        <f t="shared" si="62"/>
        <v>207_</v>
      </c>
      <c r="C2019" t="s">
        <v>3316</v>
      </c>
      <c r="D2019" t="s">
        <v>5</v>
      </c>
      <c r="E2019" t="s">
        <v>40</v>
      </c>
      <c r="F2019" t="s">
        <v>73</v>
      </c>
      <c r="G2019" t="s">
        <v>757</v>
      </c>
      <c r="H2019" t="s">
        <v>42</v>
      </c>
      <c r="I2019" t="s">
        <v>67</v>
      </c>
      <c r="J2019" t="s">
        <v>3317</v>
      </c>
      <c r="M2019" t="s">
        <v>106</v>
      </c>
      <c r="P2019" t="s">
        <v>46</v>
      </c>
      <c r="Q2019" t="s">
        <v>47</v>
      </c>
      <c r="R2019" t="s">
        <v>48</v>
      </c>
      <c r="V2019" t="s">
        <v>49</v>
      </c>
      <c r="X2019" t="s">
        <v>49</v>
      </c>
      <c r="Y2019" t="s">
        <v>74</v>
      </c>
      <c r="Z2019" t="s">
        <v>3318</v>
      </c>
      <c r="AA2019" t="s">
        <v>3318</v>
      </c>
    </row>
    <row r="2020" spans="1:27" x14ac:dyDescent="0.35">
      <c r="A2020" t="str">
        <f t="shared" si="63"/>
        <v>207_F2</v>
      </c>
      <c r="B2020" t="str">
        <f t="shared" si="62"/>
        <v>207_</v>
      </c>
      <c r="C2020" t="s">
        <v>3319</v>
      </c>
      <c r="D2020" t="s">
        <v>4</v>
      </c>
      <c r="E2020" t="s">
        <v>77</v>
      </c>
      <c r="F2020" t="s">
        <v>78</v>
      </c>
      <c r="G2020" t="s">
        <v>757</v>
      </c>
      <c r="H2020" t="s">
        <v>42</v>
      </c>
      <c r="I2020" t="s">
        <v>67</v>
      </c>
      <c r="J2020" t="s">
        <v>3317</v>
      </c>
      <c r="M2020" t="s">
        <v>106</v>
      </c>
      <c r="P2020" t="s">
        <v>79</v>
      </c>
      <c r="Q2020" t="s">
        <v>47</v>
      </c>
      <c r="R2020" t="s">
        <v>48</v>
      </c>
      <c r="V2020" t="s">
        <v>49</v>
      </c>
      <c r="X2020" t="s">
        <v>49</v>
      </c>
      <c r="Y2020" t="s">
        <v>74</v>
      </c>
      <c r="Z2020" t="s">
        <v>3320</v>
      </c>
      <c r="AA2020" t="s">
        <v>3320</v>
      </c>
    </row>
    <row r="2021" spans="1:27" x14ac:dyDescent="0.35">
      <c r="A2021" t="str">
        <f t="shared" si="63"/>
        <v>207_C2</v>
      </c>
      <c r="B2021" t="str">
        <f t="shared" si="62"/>
        <v>207_</v>
      </c>
      <c r="C2021" t="s">
        <v>3321</v>
      </c>
      <c r="D2021" t="s">
        <v>1</v>
      </c>
      <c r="E2021" t="s">
        <v>65</v>
      </c>
      <c r="F2021" t="s">
        <v>66</v>
      </c>
      <c r="G2021" t="s">
        <v>757</v>
      </c>
      <c r="H2021" t="s">
        <v>42</v>
      </c>
      <c r="I2021" t="s">
        <v>67</v>
      </c>
      <c r="J2021" t="s">
        <v>3317</v>
      </c>
      <c r="M2021" t="s">
        <v>106</v>
      </c>
      <c r="P2021" t="s">
        <v>69</v>
      </c>
      <c r="Q2021" t="s">
        <v>47</v>
      </c>
      <c r="R2021" t="s">
        <v>48</v>
      </c>
      <c r="V2021" t="s">
        <v>49</v>
      </c>
      <c r="X2021" t="s">
        <v>49</v>
      </c>
      <c r="Y2021" t="s">
        <v>70</v>
      </c>
      <c r="Z2021" t="s">
        <v>3871</v>
      </c>
      <c r="AA2021" t="s">
        <v>3871</v>
      </c>
    </row>
    <row r="2022" spans="1:27" x14ac:dyDescent="0.35">
      <c r="A2022" t="str">
        <f t="shared" si="63"/>
        <v>1107F2</v>
      </c>
      <c r="B2022" t="str">
        <f t="shared" si="62"/>
        <v>1107</v>
      </c>
      <c r="C2022" t="s">
        <v>3322</v>
      </c>
      <c r="D2022" t="s">
        <v>4</v>
      </c>
      <c r="E2022" t="s">
        <v>77</v>
      </c>
      <c r="F2022" t="s">
        <v>78</v>
      </c>
      <c r="G2022" t="s">
        <v>757</v>
      </c>
      <c r="H2022" t="s">
        <v>42</v>
      </c>
      <c r="I2022" t="s">
        <v>67</v>
      </c>
      <c r="J2022" t="s">
        <v>3323</v>
      </c>
      <c r="M2022" t="s">
        <v>106</v>
      </c>
      <c r="P2022" t="s">
        <v>79</v>
      </c>
      <c r="Q2022" t="s">
        <v>47</v>
      </c>
      <c r="R2022" t="s">
        <v>48</v>
      </c>
      <c r="V2022" t="s">
        <v>49</v>
      </c>
      <c r="X2022" t="s">
        <v>49</v>
      </c>
      <c r="Y2022" t="s">
        <v>74</v>
      </c>
      <c r="Z2022" t="s">
        <v>3298</v>
      </c>
      <c r="AA2022" t="s">
        <v>3298</v>
      </c>
    </row>
    <row r="2023" spans="1:27" x14ac:dyDescent="0.35">
      <c r="A2023" t="str">
        <f t="shared" si="63"/>
        <v>207_D2</v>
      </c>
      <c r="B2023" t="str">
        <f t="shared" si="62"/>
        <v>207_</v>
      </c>
      <c r="C2023" t="s">
        <v>3324</v>
      </c>
      <c r="D2023" t="s">
        <v>2</v>
      </c>
      <c r="E2023" t="s">
        <v>62</v>
      </c>
      <c r="F2023" t="s">
        <v>63</v>
      </c>
      <c r="G2023" t="s">
        <v>757</v>
      </c>
      <c r="H2023" t="s">
        <v>42</v>
      </c>
      <c r="I2023" t="s">
        <v>67</v>
      </c>
      <c r="J2023" t="s">
        <v>3317</v>
      </c>
      <c r="K2023" t="s">
        <v>56</v>
      </c>
      <c r="M2023" t="s">
        <v>106</v>
      </c>
      <c r="P2023" t="s">
        <v>58</v>
      </c>
      <c r="Q2023" t="s">
        <v>47</v>
      </c>
      <c r="R2023" t="s">
        <v>48</v>
      </c>
      <c r="V2023" t="s">
        <v>49</v>
      </c>
      <c r="X2023" t="s">
        <v>49</v>
      </c>
      <c r="Y2023" t="s">
        <v>59</v>
      </c>
      <c r="Z2023" t="s">
        <v>4000</v>
      </c>
      <c r="AA2023" t="s">
        <v>4000</v>
      </c>
    </row>
    <row r="2024" spans="1:27" x14ac:dyDescent="0.35">
      <c r="A2024" t="str">
        <f t="shared" si="63"/>
        <v>1107D4</v>
      </c>
      <c r="B2024" t="str">
        <f t="shared" si="62"/>
        <v>1107</v>
      </c>
      <c r="C2024" t="s">
        <v>3325</v>
      </c>
      <c r="D2024" t="s">
        <v>3</v>
      </c>
      <c r="E2024" t="s">
        <v>52</v>
      </c>
      <c r="F2024" t="s">
        <v>53</v>
      </c>
      <c r="G2024" t="s">
        <v>757</v>
      </c>
      <c r="H2024" t="s">
        <v>42</v>
      </c>
      <c r="I2024" t="s">
        <v>43</v>
      </c>
      <c r="J2024" t="s">
        <v>3323</v>
      </c>
      <c r="K2024" t="s">
        <v>56</v>
      </c>
      <c r="M2024" t="s">
        <v>106</v>
      </c>
      <c r="P2024" t="s">
        <v>58</v>
      </c>
      <c r="Q2024" t="s">
        <v>47</v>
      </c>
      <c r="R2024" t="s">
        <v>48</v>
      </c>
      <c r="V2024" t="s">
        <v>49</v>
      </c>
      <c r="X2024" t="s">
        <v>49</v>
      </c>
      <c r="Y2024" t="s">
        <v>59</v>
      </c>
      <c r="Z2024" t="s">
        <v>1880</v>
      </c>
      <c r="AA2024" t="s">
        <v>1880</v>
      </c>
    </row>
    <row r="2025" spans="1:27" x14ac:dyDescent="0.35">
      <c r="A2025" t="str">
        <f t="shared" si="63"/>
        <v>207_D7</v>
      </c>
      <c r="B2025" t="str">
        <f t="shared" si="62"/>
        <v>207_</v>
      </c>
      <c r="C2025" t="s">
        <v>3326</v>
      </c>
      <c r="D2025" t="s">
        <v>6</v>
      </c>
      <c r="E2025" t="s">
        <v>94</v>
      </c>
      <c r="F2025" t="s">
        <v>111</v>
      </c>
      <c r="G2025" t="s">
        <v>757</v>
      </c>
      <c r="H2025" t="s">
        <v>42</v>
      </c>
      <c r="I2025" t="s">
        <v>67</v>
      </c>
      <c r="J2025" t="s">
        <v>3317</v>
      </c>
      <c r="M2025" t="s">
        <v>106</v>
      </c>
      <c r="P2025" t="s">
        <v>46</v>
      </c>
      <c r="Q2025" t="s">
        <v>47</v>
      </c>
      <c r="R2025" t="s">
        <v>48</v>
      </c>
      <c r="V2025" t="s">
        <v>49</v>
      </c>
      <c r="X2025" t="s">
        <v>49</v>
      </c>
      <c r="Y2025" t="s">
        <v>59</v>
      </c>
      <c r="Z2025" t="s">
        <v>3206</v>
      </c>
      <c r="AA2025" t="s">
        <v>3206</v>
      </c>
    </row>
    <row r="2026" spans="1:27" x14ac:dyDescent="0.35">
      <c r="A2026" t="str">
        <f t="shared" si="63"/>
        <v>207_D4</v>
      </c>
      <c r="B2026" t="str">
        <f t="shared" si="62"/>
        <v>207_</v>
      </c>
      <c r="C2026" t="s">
        <v>3327</v>
      </c>
      <c r="D2026" t="s">
        <v>3</v>
      </c>
      <c r="E2026" t="s">
        <v>52</v>
      </c>
      <c r="F2026" t="s">
        <v>53</v>
      </c>
      <c r="G2026" t="s">
        <v>757</v>
      </c>
      <c r="H2026" t="s">
        <v>42</v>
      </c>
      <c r="I2026" t="s">
        <v>67</v>
      </c>
      <c r="J2026" t="s">
        <v>3317</v>
      </c>
      <c r="K2026" t="s">
        <v>56</v>
      </c>
      <c r="M2026" t="s">
        <v>106</v>
      </c>
      <c r="P2026" t="s">
        <v>58</v>
      </c>
      <c r="Q2026" t="s">
        <v>47</v>
      </c>
      <c r="R2026" t="s">
        <v>48</v>
      </c>
      <c r="V2026" t="s">
        <v>49</v>
      </c>
      <c r="X2026" t="s">
        <v>49</v>
      </c>
      <c r="Y2026" t="s">
        <v>59</v>
      </c>
      <c r="Z2026" t="s">
        <v>3881</v>
      </c>
      <c r="AA2026" t="s">
        <v>3881</v>
      </c>
    </row>
    <row r="2027" spans="1:27" x14ac:dyDescent="0.35">
      <c r="A2027" t="str">
        <f t="shared" si="63"/>
        <v>1107D2</v>
      </c>
      <c r="B2027" t="str">
        <f t="shared" si="62"/>
        <v>1107</v>
      </c>
      <c r="C2027" t="s">
        <v>3328</v>
      </c>
      <c r="D2027" t="s">
        <v>2</v>
      </c>
      <c r="E2027" t="s">
        <v>62</v>
      </c>
      <c r="F2027" t="s">
        <v>63</v>
      </c>
      <c r="G2027" t="s">
        <v>757</v>
      </c>
      <c r="H2027" t="s">
        <v>42</v>
      </c>
      <c r="I2027" t="s">
        <v>43</v>
      </c>
      <c r="J2027" t="s">
        <v>3323</v>
      </c>
      <c r="K2027" t="s">
        <v>56</v>
      </c>
      <c r="M2027" t="s">
        <v>106</v>
      </c>
      <c r="P2027" t="s">
        <v>58</v>
      </c>
      <c r="Q2027" t="s">
        <v>47</v>
      </c>
      <c r="R2027" t="s">
        <v>48</v>
      </c>
      <c r="V2027" t="s">
        <v>49</v>
      </c>
      <c r="X2027" t="s">
        <v>49</v>
      </c>
      <c r="Y2027" t="s">
        <v>59</v>
      </c>
      <c r="Z2027" t="s">
        <v>1880</v>
      </c>
      <c r="AA2027" t="s">
        <v>1880</v>
      </c>
    </row>
    <row r="2028" spans="1:27" x14ac:dyDescent="0.35">
      <c r="A2028" t="str">
        <f t="shared" si="63"/>
        <v>1107F3</v>
      </c>
      <c r="B2028" t="str">
        <f t="shared" si="62"/>
        <v>1107</v>
      </c>
      <c r="C2028" t="s">
        <v>3329</v>
      </c>
      <c r="D2028" t="s">
        <v>5</v>
      </c>
      <c r="E2028" t="s">
        <v>40</v>
      </c>
      <c r="F2028" t="s">
        <v>73</v>
      </c>
      <c r="G2028" t="s">
        <v>757</v>
      </c>
      <c r="H2028" t="s">
        <v>42</v>
      </c>
      <c r="I2028" t="s">
        <v>67</v>
      </c>
      <c r="J2028" t="s">
        <v>3323</v>
      </c>
      <c r="M2028" t="s">
        <v>106</v>
      </c>
      <c r="P2028" t="s">
        <v>46</v>
      </c>
      <c r="Q2028" t="s">
        <v>47</v>
      </c>
      <c r="R2028" t="s">
        <v>48</v>
      </c>
      <c r="V2028" t="s">
        <v>49</v>
      </c>
      <c r="X2028" t="s">
        <v>49</v>
      </c>
      <c r="Y2028" t="s">
        <v>74</v>
      </c>
      <c r="Z2028" t="s">
        <v>3330</v>
      </c>
      <c r="AA2028" t="s">
        <v>3330</v>
      </c>
    </row>
    <row r="2029" spans="1:27" x14ac:dyDescent="0.35">
      <c r="A2029" t="str">
        <f t="shared" si="63"/>
        <v>1107C2</v>
      </c>
      <c r="B2029" t="str">
        <f t="shared" si="62"/>
        <v>1107</v>
      </c>
      <c r="C2029" t="s">
        <v>3331</v>
      </c>
      <c r="D2029" t="s">
        <v>1</v>
      </c>
      <c r="E2029" t="s">
        <v>65</v>
      </c>
      <c r="F2029" t="s">
        <v>66</v>
      </c>
      <c r="G2029" t="s">
        <v>757</v>
      </c>
      <c r="H2029" t="s">
        <v>42</v>
      </c>
      <c r="I2029" t="s">
        <v>67</v>
      </c>
      <c r="J2029" t="s">
        <v>3323</v>
      </c>
      <c r="M2029" t="s">
        <v>106</v>
      </c>
      <c r="P2029" t="s">
        <v>69</v>
      </c>
      <c r="Q2029" t="s">
        <v>47</v>
      </c>
      <c r="R2029" t="s">
        <v>48</v>
      </c>
      <c r="V2029" t="s">
        <v>49</v>
      </c>
      <c r="X2029" t="s">
        <v>49</v>
      </c>
      <c r="Y2029" t="s">
        <v>70</v>
      </c>
      <c r="Z2029" t="s">
        <v>2065</v>
      </c>
      <c r="AA2029" t="s">
        <v>2065</v>
      </c>
    </row>
    <row r="2030" spans="1:27" x14ac:dyDescent="0.35">
      <c r="A2030" t="str">
        <f t="shared" si="63"/>
        <v>1107D7</v>
      </c>
      <c r="B2030" t="str">
        <f t="shared" si="62"/>
        <v>1107</v>
      </c>
      <c r="C2030" t="s">
        <v>3332</v>
      </c>
      <c r="D2030" t="s">
        <v>6</v>
      </c>
      <c r="E2030" t="s">
        <v>94</v>
      </c>
      <c r="F2030" t="s">
        <v>111</v>
      </c>
      <c r="G2030" t="s">
        <v>757</v>
      </c>
      <c r="H2030" t="s">
        <v>42</v>
      </c>
      <c r="I2030" t="s">
        <v>43</v>
      </c>
      <c r="J2030" t="s">
        <v>3323</v>
      </c>
      <c r="M2030" t="s">
        <v>106</v>
      </c>
      <c r="P2030" t="s">
        <v>46</v>
      </c>
      <c r="Q2030" t="s">
        <v>47</v>
      </c>
      <c r="R2030" t="s">
        <v>48</v>
      </c>
      <c r="V2030" t="s">
        <v>49</v>
      </c>
      <c r="X2030" t="s">
        <v>49</v>
      </c>
      <c r="Y2030" t="s">
        <v>59</v>
      </c>
      <c r="Z2030" t="s">
        <v>3301</v>
      </c>
      <c r="AA2030" t="s">
        <v>3301</v>
      </c>
    </row>
    <row r="2031" spans="1:27" x14ac:dyDescent="0.35">
      <c r="A2031" t="str">
        <f t="shared" si="63"/>
        <v>206_F3</v>
      </c>
      <c r="B2031" t="str">
        <f t="shared" si="62"/>
        <v>206_</v>
      </c>
      <c r="C2031" t="s">
        <v>3333</v>
      </c>
      <c r="D2031" t="s">
        <v>5</v>
      </c>
      <c r="E2031" t="s">
        <v>40</v>
      </c>
      <c r="F2031" t="s">
        <v>73</v>
      </c>
      <c r="G2031" t="s">
        <v>757</v>
      </c>
      <c r="H2031" t="s">
        <v>42</v>
      </c>
      <c r="I2031" t="s">
        <v>67</v>
      </c>
      <c r="J2031" t="s">
        <v>3334</v>
      </c>
      <c r="M2031" t="s">
        <v>106</v>
      </c>
      <c r="P2031" t="s">
        <v>46</v>
      </c>
      <c r="Q2031" t="s">
        <v>47</v>
      </c>
      <c r="R2031" t="s">
        <v>48</v>
      </c>
      <c r="V2031" t="s">
        <v>49</v>
      </c>
      <c r="X2031" t="s">
        <v>49</v>
      </c>
      <c r="Y2031" t="s">
        <v>74</v>
      </c>
      <c r="Z2031" t="s">
        <v>3320</v>
      </c>
      <c r="AA2031" t="s">
        <v>3320</v>
      </c>
    </row>
    <row r="2032" spans="1:27" x14ac:dyDescent="0.35">
      <c r="A2032" t="str">
        <f t="shared" si="63"/>
        <v>206_F2</v>
      </c>
      <c r="B2032" t="str">
        <f t="shared" si="62"/>
        <v>206_</v>
      </c>
      <c r="C2032" t="s">
        <v>3335</v>
      </c>
      <c r="D2032" t="s">
        <v>4</v>
      </c>
      <c r="E2032" t="s">
        <v>77</v>
      </c>
      <c r="F2032" t="s">
        <v>78</v>
      </c>
      <c r="G2032" t="s">
        <v>757</v>
      </c>
      <c r="H2032" t="s">
        <v>42</v>
      </c>
      <c r="I2032" t="s">
        <v>67</v>
      </c>
      <c r="J2032" t="s">
        <v>3334</v>
      </c>
      <c r="M2032" t="s">
        <v>106</v>
      </c>
      <c r="P2032" t="s">
        <v>710</v>
      </c>
      <c r="Q2032" t="s">
        <v>47</v>
      </c>
      <c r="R2032" t="s">
        <v>48</v>
      </c>
      <c r="V2032" t="s">
        <v>49</v>
      </c>
      <c r="X2032" t="s">
        <v>49</v>
      </c>
      <c r="Y2032" t="s">
        <v>74</v>
      </c>
      <c r="Z2032" t="s">
        <v>3336</v>
      </c>
      <c r="AA2032" t="s">
        <v>3336</v>
      </c>
    </row>
    <row r="2033" spans="1:27" x14ac:dyDescent="0.35">
      <c r="A2033" t="str">
        <f t="shared" si="63"/>
        <v>206_C2</v>
      </c>
      <c r="B2033" t="str">
        <f t="shared" si="62"/>
        <v>206_</v>
      </c>
      <c r="C2033" t="s">
        <v>3337</v>
      </c>
      <c r="D2033" t="s">
        <v>1</v>
      </c>
      <c r="E2033" t="s">
        <v>65</v>
      </c>
      <c r="F2033" t="s">
        <v>66</v>
      </c>
      <c r="G2033" t="s">
        <v>757</v>
      </c>
      <c r="H2033" t="s">
        <v>42</v>
      </c>
      <c r="I2033" t="s">
        <v>67</v>
      </c>
      <c r="J2033" t="s">
        <v>3334</v>
      </c>
      <c r="M2033" t="s">
        <v>106</v>
      </c>
      <c r="P2033" t="s">
        <v>69</v>
      </c>
      <c r="Q2033" t="s">
        <v>47</v>
      </c>
      <c r="R2033" t="s">
        <v>48</v>
      </c>
      <c r="V2033" t="s">
        <v>49</v>
      </c>
      <c r="X2033" t="s">
        <v>49</v>
      </c>
      <c r="Y2033" t="s">
        <v>70</v>
      </c>
      <c r="Z2033" t="s">
        <v>3871</v>
      </c>
      <c r="AA2033" t="s">
        <v>3871</v>
      </c>
    </row>
    <row r="2034" spans="1:27" x14ac:dyDescent="0.35">
      <c r="A2034" t="str">
        <f t="shared" si="63"/>
        <v>1106F2</v>
      </c>
      <c r="B2034" t="str">
        <f t="shared" si="62"/>
        <v>1106</v>
      </c>
      <c r="C2034" t="s">
        <v>3338</v>
      </c>
      <c r="D2034" t="s">
        <v>4</v>
      </c>
      <c r="E2034" t="s">
        <v>77</v>
      </c>
      <c r="F2034" t="s">
        <v>78</v>
      </c>
      <c r="G2034" t="s">
        <v>757</v>
      </c>
      <c r="H2034" t="s">
        <v>42</v>
      </c>
      <c r="I2034" t="s">
        <v>67</v>
      </c>
      <c r="J2034" t="s">
        <v>3339</v>
      </c>
      <c r="M2034" t="s">
        <v>106</v>
      </c>
      <c r="P2034" t="s">
        <v>189</v>
      </c>
      <c r="Q2034" t="s">
        <v>47</v>
      </c>
      <c r="R2034" t="s">
        <v>48</v>
      </c>
      <c r="V2034" t="s">
        <v>49</v>
      </c>
      <c r="X2034" t="s">
        <v>49</v>
      </c>
      <c r="Y2034" t="s">
        <v>74</v>
      </c>
      <c r="Z2034" t="s">
        <v>3330</v>
      </c>
      <c r="AA2034" t="s">
        <v>3330</v>
      </c>
    </row>
    <row r="2035" spans="1:27" x14ac:dyDescent="0.35">
      <c r="A2035" t="str">
        <f t="shared" si="63"/>
        <v>1106D4</v>
      </c>
      <c r="B2035" t="str">
        <f t="shared" si="62"/>
        <v>1106</v>
      </c>
      <c r="C2035" t="s">
        <v>3340</v>
      </c>
      <c r="D2035" t="s">
        <v>3</v>
      </c>
      <c r="E2035" t="s">
        <v>52</v>
      </c>
      <c r="F2035" t="s">
        <v>53</v>
      </c>
      <c r="G2035" t="s">
        <v>757</v>
      </c>
      <c r="H2035" t="s">
        <v>42</v>
      </c>
      <c r="I2035" t="s">
        <v>43</v>
      </c>
      <c r="J2035" t="s">
        <v>3339</v>
      </c>
      <c r="K2035" t="s">
        <v>56</v>
      </c>
      <c r="M2035" t="s">
        <v>106</v>
      </c>
      <c r="P2035" t="s">
        <v>58</v>
      </c>
      <c r="Q2035" t="s">
        <v>47</v>
      </c>
      <c r="R2035" t="s">
        <v>48</v>
      </c>
      <c r="V2035" t="s">
        <v>49</v>
      </c>
      <c r="X2035" t="s">
        <v>49</v>
      </c>
      <c r="Y2035" t="s">
        <v>59</v>
      </c>
      <c r="Z2035" t="s">
        <v>3341</v>
      </c>
      <c r="AA2035" t="s">
        <v>3342</v>
      </c>
    </row>
    <row r="2036" spans="1:27" x14ac:dyDescent="0.35">
      <c r="A2036" t="str">
        <f t="shared" si="63"/>
        <v>206_D2</v>
      </c>
      <c r="B2036" t="str">
        <f t="shared" si="62"/>
        <v>206_</v>
      </c>
      <c r="C2036" t="s">
        <v>3343</v>
      </c>
      <c r="D2036" t="s">
        <v>2</v>
      </c>
      <c r="E2036" t="s">
        <v>62</v>
      </c>
      <c r="F2036" t="s">
        <v>63</v>
      </c>
      <c r="G2036" t="s">
        <v>757</v>
      </c>
      <c r="H2036" t="s">
        <v>42</v>
      </c>
      <c r="I2036" t="s">
        <v>67</v>
      </c>
      <c r="J2036" t="s">
        <v>3334</v>
      </c>
      <c r="K2036" t="s">
        <v>56</v>
      </c>
      <c r="M2036" t="s">
        <v>106</v>
      </c>
      <c r="P2036" t="s">
        <v>58</v>
      </c>
      <c r="Q2036" t="s">
        <v>47</v>
      </c>
      <c r="R2036" t="s">
        <v>48</v>
      </c>
      <c r="V2036" t="s">
        <v>49</v>
      </c>
      <c r="X2036" t="s">
        <v>49</v>
      </c>
      <c r="Y2036" t="s">
        <v>59</v>
      </c>
      <c r="Z2036" t="s">
        <v>3998</v>
      </c>
      <c r="AA2036" t="s">
        <v>3998</v>
      </c>
    </row>
    <row r="2037" spans="1:27" x14ac:dyDescent="0.35">
      <c r="A2037" t="str">
        <f t="shared" si="63"/>
        <v>206_D7</v>
      </c>
      <c r="B2037" t="str">
        <f t="shared" si="62"/>
        <v>206_</v>
      </c>
      <c r="C2037" t="s">
        <v>3344</v>
      </c>
      <c r="D2037" t="s">
        <v>6</v>
      </c>
      <c r="E2037" t="s">
        <v>94</v>
      </c>
      <c r="F2037" t="s">
        <v>111</v>
      </c>
      <c r="G2037" t="s">
        <v>757</v>
      </c>
      <c r="H2037" t="s">
        <v>42</v>
      </c>
      <c r="I2037" t="s">
        <v>67</v>
      </c>
      <c r="J2037" t="s">
        <v>3334</v>
      </c>
      <c r="M2037" t="s">
        <v>106</v>
      </c>
      <c r="P2037" t="s">
        <v>46</v>
      </c>
      <c r="Q2037" t="s">
        <v>47</v>
      </c>
      <c r="R2037" t="s">
        <v>48</v>
      </c>
      <c r="V2037" t="s">
        <v>49</v>
      </c>
      <c r="X2037" t="s">
        <v>49</v>
      </c>
      <c r="Y2037" t="s">
        <v>59</v>
      </c>
      <c r="Z2037" t="s">
        <v>3345</v>
      </c>
      <c r="AA2037" t="s">
        <v>3345</v>
      </c>
    </row>
    <row r="2038" spans="1:27" x14ac:dyDescent="0.35">
      <c r="A2038" t="str">
        <f t="shared" si="63"/>
        <v>206_D4</v>
      </c>
      <c r="B2038" t="str">
        <f t="shared" si="62"/>
        <v>206_</v>
      </c>
      <c r="C2038" t="s">
        <v>3346</v>
      </c>
      <c r="D2038" t="s">
        <v>3</v>
      </c>
      <c r="E2038" t="s">
        <v>52</v>
      </c>
      <c r="F2038" t="s">
        <v>53</v>
      </c>
      <c r="G2038" t="s">
        <v>757</v>
      </c>
      <c r="H2038" t="s">
        <v>42</v>
      </c>
      <c r="I2038" t="s">
        <v>67</v>
      </c>
      <c r="J2038" t="s">
        <v>3334</v>
      </c>
      <c r="K2038" t="s">
        <v>56</v>
      </c>
      <c r="M2038" t="s">
        <v>106</v>
      </c>
      <c r="P2038" t="s">
        <v>58</v>
      </c>
      <c r="Q2038" t="s">
        <v>47</v>
      </c>
      <c r="R2038" t="s">
        <v>48</v>
      </c>
      <c r="V2038" t="s">
        <v>49</v>
      </c>
      <c r="X2038" t="s">
        <v>49</v>
      </c>
      <c r="Y2038" t="s">
        <v>59</v>
      </c>
      <c r="Z2038" t="s">
        <v>3881</v>
      </c>
      <c r="AA2038" t="s">
        <v>3881</v>
      </c>
    </row>
    <row r="2039" spans="1:27" x14ac:dyDescent="0.35">
      <c r="A2039" t="str">
        <f t="shared" si="63"/>
        <v>1106D2</v>
      </c>
      <c r="B2039" t="str">
        <f t="shared" si="62"/>
        <v>1106</v>
      </c>
      <c r="C2039" t="s">
        <v>3347</v>
      </c>
      <c r="D2039" t="s">
        <v>2</v>
      </c>
      <c r="E2039" t="s">
        <v>62</v>
      </c>
      <c r="F2039" t="s">
        <v>63</v>
      </c>
      <c r="G2039" t="s">
        <v>757</v>
      </c>
      <c r="H2039" t="s">
        <v>42</v>
      </c>
      <c r="I2039" t="s">
        <v>43</v>
      </c>
      <c r="J2039" t="s">
        <v>3339</v>
      </c>
      <c r="K2039" t="s">
        <v>56</v>
      </c>
      <c r="M2039" t="s">
        <v>106</v>
      </c>
      <c r="P2039" t="s">
        <v>58</v>
      </c>
      <c r="Q2039" t="s">
        <v>47</v>
      </c>
      <c r="R2039" t="s">
        <v>48</v>
      </c>
      <c r="V2039" t="s">
        <v>49</v>
      </c>
      <c r="X2039" t="s">
        <v>49</v>
      </c>
      <c r="Y2039" t="s">
        <v>59</v>
      </c>
      <c r="Z2039" t="s">
        <v>3348</v>
      </c>
      <c r="AA2039" t="s">
        <v>3342</v>
      </c>
    </row>
    <row r="2040" spans="1:27" x14ac:dyDescent="0.35">
      <c r="A2040" t="str">
        <f t="shared" si="63"/>
        <v>1106F3</v>
      </c>
      <c r="B2040" t="str">
        <f t="shared" si="62"/>
        <v>1106</v>
      </c>
      <c r="C2040" t="s">
        <v>3349</v>
      </c>
      <c r="D2040" t="s">
        <v>5</v>
      </c>
      <c r="E2040" t="s">
        <v>40</v>
      </c>
      <c r="F2040" t="s">
        <v>73</v>
      </c>
      <c r="G2040" t="s">
        <v>757</v>
      </c>
      <c r="H2040" t="s">
        <v>42</v>
      </c>
      <c r="I2040" t="s">
        <v>67</v>
      </c>
      <c r="J2040" t="s">
        <v>3339</v>
      </c>
      <c r="M2040" t="s">
        <v>106</v>
      </c>
      <c r="P2040" t="s">
        <v>46</v>
      </c>
      <c r="Q2040" t="s">
        <v>47</v>
      </c>
      <c r="R2040" t="s">
        <v>48</v>
      </c>
      <c r="V2040" t="s">
        <v>49</v>
      </c>
      <c r="X2040" t="s">
        <v>49</v>
      </c>
      <c r="Y2040" t="s">
        <v>74</v>
      </c>
      <c r="Z2040" t="s">
        <v>3330</v>
      </c>
      <c r="AA2040" t="s">
        <v>3330</v>
      </c>
    </row>
    <row r="2041" spans="1:27" x14ac:dyDescent="0.35">
      <c r="A2041" t="str">
        <f t="shared" si="63"/>
        <v>1106C2</v>
      </c>
      <c r="B2041" t="str">
        <f t="shared" si="62"/>
        <v>1106</v>
      </c>
      <c r="C2041" t="s">
        <v>3350</v>
      </c>
      <c r="D2041" t="s">
        <v>1</v>
      </c>
      <c r="E2041" t="s">
        <v>65</v>
      </c>
      <c r="F2041" t="s">
        <v>66</v>
      </c>
      <c r="G2041" t="s">
        <v>757</v>
      </c>
      <c r="H2041" t="s">
        <v>42</v>
      </c>
      <c r="I2041" t="s">
        <v>67</v>
      </c>
      <c r="J2041" t="s">
        <v>3339</v>
      </c>
      <c r="M2041" t="s">
        <v>106</v>
      </c>
      <c r="P2041" t="s">
        <v>69</v>
      </c>
      <c r="Q2041" t="s">
        <v>47</v>
      </c>
      <c r="R2041" t="s">
        <v>48</v>
      </c>
      <c r="V2041" t="s">
        <v>49</v>
      </c>
      <c r="X2041" t="s">
        <v>49</v>
      </c>
      <c r="Y2041" t="s">
        <v>70</v>
      </c>
      <c r="Z2041" t="s">
        <v>3351</v>
      </c>
      <c r="AA2041" t="s">
        <v>3351</v>
      </c>
    </row>
    <row r="2042" spans="1:27" x14ac:dyDescent="0.35">
      <c r="A2042" t="str">
        <f t="shared" si="63"/>
        <v>1106D7</v>
      </c>
      <c r="B2042" t="str">
        <f t="shared" si="62"/>
        <v>1106</v>
      </c>
      <c r="C2042" t="s">
        <v>3352</v>
      </c>
      <c r="D2042" t="s">
        <v>6</v>
      </c>
      <c r="E2042" t="s">
        <v>94</v>
      </c>
      <c r="F2042" t="s">
        <v>111</v>
      </c>
      <c r="G2042" t="s">
        <v>757</v>
      </c>
      <c r="H2042" t="s">
        <v>42</v>
      </c>
      <c r="I2042" t="s">
        <v>43</v>
      </c>
      <c r="J2042" t="s">
        <v>3339</v>
      </c>
      <c r="M2042" t="s">
        <v>106</v>
      </c>
      <c r="P2042" t="s">
        <v>46</v>
      </c>
      <c r="Q2042" t="s">
        <v>47</v>
      </c>
      <c r="R2042" t="s">
        <v>48</v>
      </c>
      <c r="V2042" t="s">
        <v>49</v>
      </c>
      <c r="X2042" t="s">
        <v>49</v>
      </c>
      <c r="Y2042" t="s">
        <v>59</v>
      </c>
      <c r="Z2042" t="s">
        <v>3353</v>
      </c>
      <c r="AA2042" t="s">
        <v>3353</v>
      </c>
    </row>
    <row r="2043" spans="1:27" x14ac:dyDescent="0.35">
      <c r="A2043" t="str">
        <f t="shared" si="63"/>
        <v>205_F3</v>
      </c>
      <c r="B2043" t="str">
        <f t="shared" si="62"/>
        <v>205_</v>
      </c>
      <c r="C2043" t="s">
        <v>3354</v>
      </c>
      <c r="D2043" t="s">
        <v>5</v>
      </c>
      <c r="E2043" t="s">
        <v>40</v>
      </c>
      <c r="F2043" t="s">
        <v>73</v>
      </c>
      <c r="G2043" t="s">
        <v>757</v>
      </c>
      <c r="H2043" t="s">
        <v>42</v>
      </c>
      <c r="I2043" t="s">
        <v>67</v>
      </c>
      <c r="J2043" t="s">
        <v>3355</v>
      </c>
      <c r="M2043" t="s">
        <v>106</v>
      </c>
      <c r="P2043" t="s">
        <v>46</v>
      </c>
      <c r="Q2043" t="s">
        <v>47</v>
      </c>
      <c r="R2043" t="s">
        <v>48</v>
      </c>
      <c r="V2043" t="s">
        <v>49</v>
      </c>
      <c r="X2043" t="s">
        <v>49</v>
      </c>
      <c r="Y2043" t="s">
        <v>74</v>
      </c>
      <c r="Z2043" t="s">
        <v>3336</v>
      </c>
      <c r="AA2043" t="s">
        <v>3336</v>
      </c>
    </row>
    <row r="2044" spans="1:27" x14ac:dyDescent="0.35">
      <c r="A2044" t="str">
        <f t="shared" si="63"/>
        <v>205_F2</v>
      </c>
      <c r="B2044" t="str">
        <f t="shared" si="62"/>
        <v>205_</v>
      </c>
      <c r="C2044" t="s">
        <v>3356</v>
      </c>
      <c r="D2044" t="s">
        <v>4</v>
      </c>
      <c r="E2044" t="s">
        <v>77</v>
      </c>
      <c r="F2044" t="s">
        <v>78</v>
      </c>
      <c r="G2044" t="s">
        <v>757</v>
      </c>
      <c r="H2044" t="s">
        <v>42</v>
      </c>
      <c r="I2044" t="s">
        <v>67</v>
      </c>
      <c r="J2044" t="s">
        <v>3355</v>
      </c>
      <c r="M2044" t="s">
        <v>106</v>
      </c>
      <c r="P2044" t="s">
        <v>79</v>
      </c>
      <c r="Q2044" t="s">
        <v>47</v>
      </c>
      <c r="R2044" t="s">
        <v>48</v>
      </c>
      <c r="V2044" t="s">
        <v>49</v>
      </c>
      <c r="X2044" t="s">
        <v>49</v>
      </c>
      <c r="Y2044" t="s">
        <v>74</v>
      </c>
      <c r="Z2044" t="s">
        <v>3336</v>
      </c>
      <c r="AA2044" t="s">
        <v>3336</v>
      </c>
    </row>
    <row r="2045" spans="1:27" x14ac:dyDescent="0.35">
      <c r="A2045" t="str">
        <f t="shared" si="63"/>
        <v>205_C2</v>
      </c>
      <c r="B2045" t="str">
        <f t="shared" si="62"/>
        <v>205_</v>
      </c>
      <c r="C2045" t="s">
        <v>3357</v>
      </c>
      <c r="D2045" t="s">
        <v>1</v>
      </c>
      <c r="E2045" t="s">
        <v>65</v>
      </c>
      <c r="F2045" t="s">
        <v>66</v>
      </c>
      <c r="G2045" t="s">
        <v>757</v>
      </c>
      <c r="H2045" t="s">
        <v>42</v>
      </c>
      <c r="I2045" t="s">
        <v>67</v>
      </c>
      <c r="J2045" t="s">
        <v>3355</v>
      </c>
      <c r="M2045" t="s">
        <v>106</v>
      </c>
      <c r="P2045" t="s">
        <v>69</v>
      </c>
      <c r="Q2045" t="s">
        <v>47</v>
      </c>
      <c r="R2045" t="s">
        <v>48</v>
      </c>
      <c r="V2045" t="s">
        <v>49</v>
      </c>
      <c r="X2045" t="s">
        <v>49</v>
      </c>
      <c r="Y2045" t="s">
        <v>70</v>
      </c>
      <c r="Z2045" t="s">
        <v>3871</v>
      </c>
      <c r="AA2045" t="s">
        <v>3871</v>
      </c>
    </row>
    <row r="2046" spans="1:27" x14ac:dyDescent="0.35">
      <c r="A2046" t="str">
        <f t="shared" si="63"/>
        <v>1105F2</v>
      </c>
      <c r="B2046" t="str">
        <f t="shared" si="62"/>
        <v>1105</v>
      </c>
      <c r="C2046" t="s">
        <v>3358</v>
      </c>
      <c r="D2046" t="s">
        <v>4</v>
      </c>
      <c r="E2046" t="s">
        <v>77</v>
      </c>
      <c r="F2046" t="s">
        <v>78</v>
      </c>
      <c r="G2046" t="s">
        <v>757</v>
      </c>
      <c r="H2046" t="s">
        <v>42</v>
      </c>
      <c r="I2046" t="s">
        <v>67</v>
      </c>
      <c r="J2046" t="s">
        <v>3359</v>
      </c>
      <c r="M2046" t="s">
        <v>106</v>
      </c>
      <c r="P2046" t="s">
        <v>91</v>
      </c>
      <c r="Q2046" t="s">
        <v>47</v>
      </c>
      <c r="R2046" t="s">
        <v>48</v>
      </c>
      <c r="V2046" t="s">
        <v>49</v>
      </c>
      <c r="X2046" t="s">
        <v>49</v>
      </c>
      <c r="Y2046" t="s">
        <v>74</v>
      </c>
      <c r="Z2046" t="s">
        <v>3360</v>
      </c>
      <c r="AA2046" t="s">
        <v>3360</v>
      </c>
    </row>
    <row r="2047" spans="1:27" x14ac:dyDescent="0.35">
      <c r="A2047" t="str">
        <f t="shared" si="63"/>
        <v>1105D4</v>
      </c>
      <c r="B2047" t="str">
        <f t="shared" si="62"/>
        <v>1105</v>
      </c>
      <c r="C2047" t="s">
        <v>3361</v>
      </c>
      <c r="D2047" t="s">
        <v>3</v>
      </c>
      <c r="E2047" t="s">
        <v>52</v>
      </c>
      <c r="F2047" t="s">
        <v>53</v>
      </c>
      <c r="G2047" t="s">
        <v>757</v>
      </c>
      <c r="H2047" t="s">
        <v>42</v>
      </c>
      <c r="I2047" t="s">
        <v>43</v>
      </c>
      <c r="J2047" t="s">
        <v>3359</v>
      </c>
      <c r="K2047" t="s">
        <v>56</v>
      </c>
      <c r="M2047" t="s">
        <v>106</v>
      </c>
      <c r="P2047" t="s">
        <v>58</v>
      </c>
      <c r="Q2047" t="s">
        <v>47</v>
      </c>
      <c r="R2047" t="s">
        <v>48</v>
      </c>
      <c r="V2047" t="s">
        <v>49</v>
      </c>
      <c r="X2047" t="s">
        <v>49</v>
      </c>
      <c r="Y2047" t="s">
        <v>59</v>
      </c>
      <c r="Z2047" t="s">
        <v>1880</v>
      </c>
      <c r="AA2047" t="s">
        <v>1880</v>
      </c>
    </row>
    <row r="2048" spans="1:27" x14ac:dyDescent="0.35">
      <c r="A2048" t="str">
        <f t="shared" si="63"/>
        <v>205_D2</v>
      </c>
      <c r="B2048" t="str">
        <f t="shared" si="62"/>
        <v>205_</v>
      </c>
      <c r="C2048" t="s">
        <v>3362</v>
      </c>
      <c r="D2048" t="s">
        <v>2</v>
      </c>
      <c r="E2048" t="s">
        <v>62</v>
      </c>
      <c r="F2048" t="s">
        <v>63</v>
      </c>
      <c r="G2048" t="s">
        <v>757</v>
      </c>
      <c r="H2048" t="s">
        <v>42</v>
      </c>
      <c r="I2048" t="s">
        <v>67</v>
      </c>
      <c r="J2048" t="s">
        <v>3355</v>
      </c>
      <c r="K2048" t="s">
        <v>56</v>
      </c>
      <c r="M2048" t="s">
        <v>106</v>
      </c>
      <c r="P2048" t="s">
        <v>58</v>
      </c>
      <c r="Q2048" t="s">
        <v>47</v>
      </c>
      <c r="R2048" t="s">
        <v>48</v>
      </c>
      <c r="V2048" t="s">
        <v>49</v>
      </c>
      <c r="X2048" t="s">
        <v>49</v>
      </c>
      <c r="Y2048" t="s">
        <v>59</v>
      </c>
      <c r="Z2048" t="s">
        <v>4001</v>
      </c>
      <c r="AA2048" t="s">
        <v>4001</v>
      </c>
    </row>
    <row r="2049" spans="1:27" x14ac:dyDescent="0.35">
      <c r="A2049" t="str">
        <f t="shared" si="63"/>
        <v>205_D7</v>
      </c>
      <c r="B2049" t="str">
        <f t="shared" si="62"/>
        <v>205_</v>
      </c>
      <c r="C2049" t="s">
        <v>3363</v>
      </c>
      <c r="D2049" t="s">
        <v>6</v>
      </c>
      <c r="E2049" t="s">
        <v>94</v>
      </c>
      <c r="F2049" t="s">
        <v>111</v>
      </c>
      <c r="G2049" t="s">
        <v>757</v>
      </c>
      <c r="H2049" t="s">
        <v>42</v>
      </c>
      <c r="I2049" t="s">
        <v>67</v>
      </c>
      <c r="J2049" t="s">
        <v>3355</v>
      </c>
      <c r="M2049" t="s">
        <v>106</v>
      </c>
      <c r="P2049" t="s">
        <v>46</v>
      </c>
      <c r="Q2049" t="s">
        <v>47</v>
      </c>
      <c r="R2049" t="s">
        <v>48</v>
      </c>
      <c r="V2049" t="s">
        <v>49</v>
      </c>
      <c r="X2049" t="s">
        <v>49</v>
      </c>
      <c r="Y2049" t="s">
        <v>59</v>
      </c>
      <c r="Z2049" t="s">
        <v>3345</v>
      </c>
      <c r="AA2049" t="s">
        <v>3345</v>
      </c>
    </row>
    <row r="2050" spans="1:27" x14ac:dyDescent="0.35">
      <c r="A2050" t="str">
        <f t="shared" si="63"/>
        <v>1105D2</v>
      </c>
      <c r="B2050" t="str">
        <f t="shared" ref="B2050:B2113" si="64">LEFT($J:$J,4)</f>
        <v>1105</v>
      </c>
      <c r="C2050" t="s">
        <v>3364</v>
      </c>
      <c r="D2050" t="s">
        <v>2</v>
      </c>
      <c r="E2050" t="s">
        <v>62</v>
      </c>
      <c r="F2050" t="s">
        <v>63</v>
      </c>
      <c r="G2050" t="s">
        <v>757</v>
      </c>
      <c r="H2050" t="s">
        <v>42</v>
      </c>
      <c r="I2050" t="s">
        <v>43</v>
      </c>
      <c r="J2050" t="s">
        <v>3359</v>
      </c>
      <c r="K2050" t="s">
        <v>56</v>
      </c>
      <c r="M2050" t="s">
        <v>106</v>
      </c>
      <c r="P2050" t="s">
        <v>58</v>
      </c>
      <c r="Q2050" t="s">
        <v>47</v>
      </c>
      <c r="R2050" t="s">
        <v>48</v>
      </c>
      <c r="V2050" t="s">
        <v>49</v>
      </c>
      <c r="X2050" t="s">
        <v>49</v>
      </c>
      <c r="Y2050" t="s">
        <v>59</v>
      </c>
      <c r="Z2050" t="s">
        <v>3365</v>
      </c>
      <c r="AA2050" t="s">
        <v>3365</v>
      </c>
    </row>
    <row r="2051" spans="1:27" x14ac:dyDescent="0.35">
      <c r="A2051" t="str">
        <f t="shared" ref="A2051:A2114" si="65">B2051&amp;D2051</f>
        <v>205_D4</v>
      </c>
      <c r="B2051" t="str">
        <f t="shared" si="64"/>
        <v>205_</v>
      </c>
      <c r="C2051" t="s">
        <v>3366</v>
      </c>
      <c r="D2051" t="s">
        <v>3</v>
      </c>
      <c r="E2051" t="s">
        <v>52</v>
      </c>
      <c r="F2051" t="s">
        <v>53</v>
      </c>
      <c r="G2051" t="s">
        <v>757</v>
      </c>
      <c r="H2051" t="s">
        <v>42</v>
      </c>
      <c r="I2051" t="s">
        <v>67</v>
      </c>
      <c r="J2051" t="s">
        <v>3355</v>
      </c>
      <c r="K2051" t="s">
        <v>56</v>
      </c>
      <c r="M2051" t="s">
        <v>106</v>
      </c>
      <c r="P2051" t="s">
        <v>58</v>
      </c>
      <c r="Q2051" t="s">
        <v>47</v>
      </c>
      <c r="R2051" t="s">
        <v>48</v>
      </c>
      <c r="V2051" t="s">
        <v>49</v>
      </c>
      <c r="X2051" t="s">
        <v>49</v>
      </c>
      <c r="Y2051" t="s">
        <v>59</v>
      </c>
      <c r="Z2051" t="s">
        <v>3882</v>
      </c>
      <c r="AA2051" t="s">
        <v>3882</v>
      </c>
    </row>
    <row r="2052" spans="1:27" x14ac:dyDescent="0.35">
      <c r="A2052" t="str">
        <f t="shared" si="65"/>
        <v>1105F3</v>
      </c>
      <c r="B2052" t="str">
        <f t="shared" si="64"/>
        <v>1105</v>
      </c>
      <c r="C2052" t="s">
        <v>3367</v>
      </c>
      <c r="D2052" t="s">
        <v>5</v>
      </c>
      <c r="E2052" t="s">
        <v>40</v>
      </c>
      <c r="F2052" t="s">
        <v>73</v>
      </c>
      <c r="G2052" t="s">
        <v>757</v>
      </c>
      <c r="H2052" t="s">
        <v>42</v>
      </c>
      <c r="I2052" t="s">
        <v>67</v>
      </c>
      <c r="J2052" t="s">
        <v>3359</v>
      </c>
      <c r="M2052" t="s">
        <v>106</v>
      </c>
      <c r="P2052" t="s">
        <v>46</v>
      </c>
      <c r="Q2052" t="s">
        <v>47</v>
      </c>
      <c r="R2052" t="s">
        <v>48</v>
      </c>
      <c r="V2052" t="s">
        <v>49</v>
      </c>
      <c r="X2052" t="s">
        <v>49</v>
      </c>
      <c r="Y2052" t="s">
        <v>74</v>
      </c>
      <c r="Z2052" t="s">
        <v>3360</v>
      </c>
      <c r="AA2052" t="s">
        <v>3360</v>
      </c>
    </row>
    <row r="2053" spans="1:27" x14ac:dyDescent="0.35">
      <c r="A2053" t="str">
        <f t="shared" si="65"/>
        <v>1105C2</v>
      </c>
      <c r="B2053" t="str">
        <f t="shared" si="64"/>
        <v>1105</v>
      </c>
      <c r="C2053" t="s">
        <v>3368</v>
      </c>
      <c r="D2053" t="s">
        <v>1</v>
      </c>
      <c r="E2053" t="s">
        <v>65</v>
      </c>
      <c r="F2053" t="s">
        <v>66</v>
      </c>
      <c r="G2053" t="s">
        <v>757</v>
      </c>
      <c r="H2053" t="s">
        <v>42</v>
      </c>
      <c r="I2053" t="s">
        <v>67</v>
      </c>
      <c r="J2053" t="s">
        <v>3359</v>
      </c>
      <c r="M2053" t="s">
        <v>106</v>
      </c>
      <c r="P2053" t="s">
        <v>69</v>
      </c>
      <c r="Q2053" t="s">
        <v>47</v>
      </c>
      <c r="R2053" t="s">
        <v>48</v>
      </c>
      <c r="V2053" t="s">
        <v>49</v>
      </c>
      <c r="X2053" t="s">
        <v>49</v>
      </c>
      <c r="Y2053" t="s">
        <v>70</v>
      </c>
      <c r="Z2053" t="s">
        <v>3369</v>
      </c>
      <c r="AA2053" t="s">
        <v>3370</v>
      </c>
    </row>
    <row r="2054" spans="1:27" x14ac:dyDescent="0.35">
      <c r="A2054" t="str">
        <f t="shared" si="65"/>
        <v>1105D7</v>
      </c>
      <c r="B2054" t="str">
        <f t="shared" si="64"/>
        <v>1105</v>
      </c>
      <c r="C2054" t="s">
        <v>3371</v>
      </c>
      <c r="D2054" t="s">
        <v>6</v>
      </c>
      <c r="E2054" t="s">
        <v>94</v>
      </c>
      <c r="F2054" t="s">
        <v>111</v>
      </c>
      <c r="G2054" t="s">
        <v>757</v>
      </c>
      <c r="H2054" t="s">
        <v>42</v>
      </c>
      <c r="I2054" t="s">
        <v>43</v>
      </c>
      <c r="J2054" t="s">
        <v>3359</v>
      </c>
      <c r="M2054" t="s">
        <v>106</v>
      </c>
      <c r="P2054" t="s">
        <v>46</v>
      </c>
      <c r="Q2054" t="s">
        <v>47</v>
      </c>
      <c r="R2054" t="s">
        <v>48</v>
      </c>
      <c r="V2054" t="s">
        <v>49</v>
      </c>
      <c r="X2054" t="s">
        <v>49</v>
      </c>
      <c r="Y2054" t="s">
        <v>59</v>
      </c>
      <c r="Z2054" t="s">
        <v>3353</v>
      </c>
      <c r="AA2054" t="s">
        <v>3353</v>
      </c>
    </row>
    <row r="2055" spans="1:27" x14ac:dyDescent="0.35">
      <c r="A2055" t="str">
        <f t="shared" si="65"/>
        <v>204_F3</v>
      </c>
      <c r="B2055" t="str">
        <f t="shared" si="64"/>
        <v>204_</v>
      </c>
      <c r="C2055" t="s">
        <v>3372</v>
      </c>
      <c r="D2055" t="s">
        <v>5</v>
      </c>
      <c r="E2055" t="s">
        <v>40</v>
      </c>
      <c r="F2055" t="s">
        <v>73</v>
      </c>
      <c r="G2055" t="s">
        <v>757</v>
      </c>
      <c r="H2055" t="s">
        <v>42</v>
      </c>
      <c r="I2055" t="s">
        <v>67</v>
      </c>
      <c r="J2055" t="s">
        <v>3373</v>
      </c>
      <c r="M2055" t="s">
        <v>106</v>
      </c>
      <c r="P2055" t="s">
        <v>46</v>
      </c>
      <c r="Q2055" t="s">
        <v>47</v>
      </c>
      <c r="R2055" t="s">
        <v>48</v>
      </c>
      <c r="V2055" t="s">
        <v>49</v>
      </c>
      <c r="X2055" t="s">
        <v>49</v>
      </c>
      <c r="Y2055" t="s">
        <v>74</v>
      </c>
      <c r="Z2055" t="s">
        <v>3374</v>
      </c>
      <c r="AA2055" t="s">
        <v>3374</v>
      </c>
    </row>
    <row r="2056" spans="1:27" x14ac:dyDescent="0.35">
      <c r="A2056" t="str">
        <f t="shared" si="65"/>
        <v>204_F2</v>
      </c>
      <c r="B2056" t="str">
        <f t="shared" si="64"/>
        <v>204_</v>
      </c>
      <c r="C2056" t="s">
        <v>3375</v>
      </c>
      <c r="D2056" t="s">
        <v>4</v>
      </c>
      <c r="E2056" t="s">
        <v>77</v>
      </c>
      <c r="F2056" t="s">
        <v>78</v>
      </c>
      <c r="G2056" t="s">
        <v>757</v>
      </c>
      <c r="H2056" t="s">
        <v>42</v>
      </c>
      <c r="I2056" t="s">
        <v>67</v>
      </c>
      <c r="J2056" t="s">
        <v>3373</v>
      </c>
      <c r="M2056" t="s">
        <v>106</v>
      </c>
      <c r="P2056" t="s">
        <v>710</v>
      </c>
      <c r="Q2056" t="s">
        <v>47</v>
      </c>
      <c r="R2056" t="s">
        <v>48</v>
      </c>
      <c r="V2056" t="s">
        <v>49</v>
      </c>
      <c r="X2056" t="s">
        <v>49</v>
      </c>
      <c r="Y2056" t="s">
        <v>74</v>
      </c>
      <c r="Z2056" t="s">
        <v>3374</v>
      </c>
      <c r="AA2056" t="s">
        <v>3374</v>
      </c>
    </row>
    <row r="2057" spans="1:27" x14ac:dyDescent="0.35">
      <c r="A2057" t="str">
        <f t="shared" si="65"/>
        <v>204_C2</v>
      </c>
      <c r="B2057" t="str">
        <f t="shared" si="64"/>
        <v>204_</v>
      </c>
      <c r="C2057" t="s">
        <v>3376</v>
      </c>
      <c r="D2057" t="s">
        <v>1</v>
      </c>
      <c r="E2057" t="s">
        <v>65</v>
      </c>
      <c r="F2057" t="s">
        <v>66</v>
      </c>
      <c r="G2057" t="s">
        <v>757</v>
      </c>
      <c r="H2057" t="s">
        <v>42</v>
      </c>
      <c r="I2057" t="s">
        <v>67</v>
      </c>
      <c r="J2057" t="s">
        <v>3373</v>
      </c>
      <c r="M2057" t="s">
        <v>106</v>
      </c>
      <c r="P2057" t="s">
        <v>69</v>
      </c>
      <c r="Q2057" t="s">
        <v>47</v>
      </c>
      <c r="R2057" t="s">
        <v>48</v>
      </c>
      <c r="V2057" t="s">
        <v>49</v>
      </c>
      <c r="X2057" t="s">
        <v>49</v>
      </c>
      <c r="Y2057" t="s">
        <v>70</v>
      </c>
      <c r="Z2057" t="s">
        <v>3871</v>
      </c>
      <c r="AA2057" t="s">
        <v>3871</v>
      </c>
    </row>
    <row r="2058" spans="1:27" x14ac:dyDescent="0.35">
      <c r="A2058" t="str">
        <f t="shared" si="65"/>
        <v>1104F2</v>
      </c>
      <c r="B2058" t="str">
        <f t="shared" si="64"/>
        <v>1104</v>
      </c>
      <c r="C2058" t="s">
        <v>3377</v>
      </c>
      <c r="D2058" t="s">
        <v>4</v>
      </c>
      <c r="E2058" t="s">
        <v>77</v>
      </c>
      <c r="F2058" t="s">
        <v>78</v>
      </c>
      <c r="G2058" t="s">
        <v>757</v>
      </c>
      <c r="H2058" t="s">
        <v>42</v>
      </c>
      <c r="I2058" t="s">
        <v>67</v>
      </c>
      <c r="J2058" t="s">
        <v>3378</v>
      </c>
      <c r="M2058" t="s">
        <v>106</v>
      </c>
      <c r="P2058" t="s">
        <v>138</v>
      </c>
      <c r="Q2058" t="s">
        <v>47</v>
      </c>
      <c r="R2058" t="s">
        <v>48</v>
      </c>
      <c r="V2058" t="s">
        <v>49</v>
      </c>
      <c r="X2058" t="s">
        <v>49</v>
      </c>
      <c r="Y2058" t="s">
        <v>74</v>
      </c>
      <c r="Z2058" t="s">
        <v>3360</v>
      </c>
      <c r="AA2058" t="s">
        <v>3360</v>
      </c>
    </row>
    <row r="2059" spans="1:27" x14ac:dyDescent="0.35">
      <c r="A2059" t="str">
        <f t="shared" si="65"/>
        <v>1104D4</v>
      </c>
      <c r="B2059" t="str">
        <f t="shared" si="64"/>
        <v>1104</v>
      </c>
      <c r="C2059" t="s">
        <v>3379</v>
      </c>
      <c r="D2059" t="s">
        <v>3</v>
      </c>
      <c r="E2059" t="s">
        <v>52</v>
      </c>
      <c r="F2059" t="s">
        <v>53</v>
      </c>
      <c r="G2059" t="s">
        <v>757</v>
      </c>
      <c r="H2059" t="s">
        <v>42</v>
      </c>
      <c r="I2059" t="s">
        <v>43</v>
      </c>
      <c r="J2059" t="s">
        <v>3378</v>
      </c>
      <c r="K2059" t="s">
        <v>56</v>
      </c>
      <c r="M2059" t="s">
        <v>106</v>
      </c>
      <c r="P2059" t="s">
        <v>58</v>
      </c>
      <c r="Q2059" t="s">
        <v>47</v>
      </c>
      <c r="R2059" t="s">
        <v>48</v>
      </c>
      <c r="V2059" t="s">
        <v>49</v>
      </c>
      <c r="X2059" t="s">
        <v>49</v>
      </c>
      <c r="Y2059" t="s">
        <v>59</v>
      </c>
      <c r="Z2059" t="s">
        <v>3380</v>
      </c>
      <c r="AA2059" t="s">
        <v>3381</v>
      </c>
    </row>
    <row r="2060" spans="1:27" x14ac:dyDescent="0.35">
      <c r="A2060" t="str">
        <f t="shared" si="65"/>
        <v>204_D2</v>
      </c>
      <c r="B2060" t="str">
        <f t="shared" si="64"/>
        <v>204_</v>
      </c>
      <c r="C2060" t="s">
        <v>3382</v>
      </c>
      <c r="D2060" t="s">
        <v>2</v>
      </c>
      <c r="E2060" t="s">
        <v>62</v>
      </c>
      <c r="F2060" t="s">
        <v>63</v>
      </c>
      <c r="G2060" t="s">
        <v>757</v>
      </c>
      <c r="H2060" t="s">
        <v>42</v>
      </c>
      <c r="I2060" t="s">
        <v>67</v>
      </c>
      <c r="J2060" t="s">
        <v>3373</v>
      </c>
      <c r="K2060" t="s">
        <v>56</v>
      </c>
      <c r="M2060" t="s">
        <v>106</v>
      </c>
      <c r="P2060" t="s">
        <v>58</v>
      </c>
      <c r="Q2060" t="s">
        <v>47</v>
      </c>
      <c r="R2060" t="s">
        <v>48</v>
      </c>
      <c r="V2060" t="s">
        <v>49</v>
      </c>
      <c r="X2060" t="s">
        <v>49</v>
      </c>
      <c r="Y2060" t="s">
        <v>59</v>
      </c>
      <c r="Z2060" t="s">
        <v>4001</v>
      </c>
      <c r="AA2060" t="s">
        <v>4001</v>
      </c>
    </row>
    <row r="2061" spans="1:27" x14ac:dyDescent="0.35">
      <c r="A2061" t="str">
        <f t="shared" si="65"/>
        <v>204_D7</v>
      </c>
      <c r="B2061" t="str">
        <f t="shared" si="64"/>
        <v>204_</v>
      </c>
      <c r="C2061" t="s">
        <v>3383</v>
      </c>
      <c r="D2061" t="s">
        <v>6</v>
      </c>
      <c r="E2061" t="s">
        <v>94</v>
      </c>
      <c r="F2061" t="s">
        <v>111</v>
      </c>
      <c r="G2061" t="s">
        <v>757</v>
      </c>
      <c r="H2061" t="s">
        <v>42</v>
      </c>
      <c r="I2061" t="s">
        <v>67</v>
      </c>
      <c r="J2061" t="s">
        <v>3373</v>
      </c>
      <c r="M2061" t="s">
        <v>106</v>
      </c>
      <c r="P2061" t="s">
        <v>46</v>
      </c>
      <c r="Q2061" t="s">
        <v>47</v>
      </c>
      <c r="R2061" t="s">
        <v>48</v>
      </c>
      <c r="V2061" t="s">
        <v>49</v>
      </c>
      <c r="X2061" t="s">
        <v>49</v>
      </c>
      <c r="Y2061" t="s">
        <v>59</v>
      </c>
      <c r="Z2061" t="s">
        <v>3345</v>
      </c>
      <c r="AA2061" t="s">
        <v>3345</v>
      </c>
    </row>
    <row r="2062" spans="1:27" x14ac:dyDescent="0.35">
      <c r="A2062" t="str">
        <f t="shared" si="65"/>
        <v>1104D2</v>
      </c>
      <c r="B2062" t="str">
        <f t="shared" si="64"/>
        <v>1104</v>
      </c>
      <c r="C2062" t="s">
        <v>3384</v>
      </c>
      <c r="D2062" t="s">
        <v>2</v>
      </c>
      <c r="E2062" t="s">
        <v>62</v>
      </c>
      <c r="F2062" t="s">
        <v>63</v>
      </c>
      <c r="G2062" t="s">
        <v>757</v>
      </c>
      <c r="H2062" t="s">
        <v>42</v>
      </c>
      <c r="I2062" t="s">
        <v>43</v>
      </c>
      <c r="J2062" t="s">
        <v>3378</v>
      </c>
      <c r="K2062" t="s">
        <v>56</v>
      </c>
      <c r="M2062" t="s">
        <v>106</v>
      </c>
      <c r="P2062" t="s">
        <v>58</v>
      </c>
      <c r="Q2062" t="s">
        <v>47</v>
      </c>
      <c r="R2062" t="s">
        <v>48</v>
      </c>
      <c r="V2062" t="s">
        <v>49</v>
      </c>
      <c r="X2062" t="s">
        <v>49</v>
      </c>
      <c r="Y2062" t="s">
        <v>59</v>
      </c>
      <c r="Z2062" t="s">
        <v>3385</v>
      </c>
      <c r="AA2062" t="s">
        <v>3381</v>
      </c>
    </row>
    <row r="2063" spans="1:27" x14ac:dyDescent="0.35">
      <c r="A2063" t="str">
        <f t="shared" si="65"/>
        <v>204_D4</v>
      </c>
      <c r="B2063" t="str">
        <f t="shared" si="64"/>
        <v>204_</v>
      </c>
      <c r="C2063" t="s">
        <v>3386</v>
      </c>
      <c r="D2063" t="s">
        <v>3</v>
      </c>
      <c r="E2063" t="s">
        <v>52</v>
      </c>
      <c r="F2063" t="s">
        <v>53</v>
      </c>
      <c r="G2063" t="s">
        <v>757</v>
      </c>
      <c r="H2063" t="s">
        <v>42</v>
      </c>
      <c r="I2063" t="s">
        <v>67</v>
      </c>
      <c r="J2063" t="s">
        <v>3373</v>
      </c>
      <c r="K2063" t="s">
        <v>56</v>
      </c>
      <c r="M2063" t="s">
        <v>106</v>
      </c>
      <c r="P2063" t="s">
        <v>58</v>
      </c>
      <c r="Q2063" t="s">
        <v>47</v>
      </c>
      <c r="R2063" t="s">
        <v>48</v>
      </c>
      <c r="V2063" t="s">
        <v>49</v>
      </c>
      <c r="X2063" t="s">
        <v>49</v>
      </c>
      <c r="Y2063" t="s">
        <v>59</v>
      </c>
      <c r="Z2063" t="s">
        <v>3882</v>
      </c>
      <c r="AA2063" t="s">
        <v>3882</v>
      </c>
    </row>
    <row r="2064" spans="1:27" x14ac:dyDescent="0.35">
      <c r="A2064" t="str">
        <f t="shared" si="65"/>
        <v>1104F3</v>
      </c>
      <c r="B2064" t="str">
        <f t="shared" si="64"/>
        <v>1104</v>
      </c>
      <c r="C2064" t="s">
        <v>3387</v>
      </c>
      <c r="D2064" t="s">
        <v>5</v>
      </c>
      <c r="E2064" t="s">
        <v>40</v>
      </c>
      <c r="F2064" t="s">
        <v>73</v>
      </c>
      <c r="G2064" t="s">
        <v>757</v>
      </c>
      <c r="H2064" t="s">
        <v>42</v>
      </c>
      <c r="I2064" t="s">
        <v>67</v>
      </c>
      <c r="J2064" t="s">
        <v>3378</v>
      </c>
      <c r="M2064" t="s">
        <v>106</v>
      </c>
      <c r="P2064" t="s">
        <v>46</v>
      </c>
      <c r="Q2064" t="s">
        <v>47</v>
      </c>
      <c r="R2064" t="s">
        <v>48</v>
      </c>
      <c r="V2064" t="s">
        <v>49</v>
      </c>
      <c r="X2064" t="s">
        <v>49</v>
      </c>
      <c r="Y2064" t="s">
        <v>74</v>
      </c>
      <c r="Z2064" t="s">
        <v>3388</v>
      </c>
      <c r="AA2064" t="s">
        <v>3388</v>
      </c>
    </row>
    <row r="2065" spans="1:27" x14ac:dyDescent="0.35">
      <c r="A2065" t="str">
        <f t="shared" si="65"/>
        <v>1104C2</v>
      </c>
      <c r="B2065" t="str">
        <f t="shared" si="64"/>
        <v>1104</v>
      </c>
      <c r="C2065" t="s">
        <v>3389</v>
      </c>
      <c r="D2065" t="s">
        <v>1</v>
      </c>
      <c r="E2065" t="s">
        <v>65</v>
      </c>
      <c r="F2065" t="s">
        <v>66</v>
      </c>
      <c r="G2065" t="s">
        <v>757</v>
      </c>
      <c r="H2065" t="s">
        <v>42</v>
      </c>
      <c r="I2065" t="s">
        <v>67</v>
      </c>
      <c r="J2065" t="s">
        <v>3378</v>
      </c>
      <c r="M2065" t="s">
        <v>106</v>
      </c>
      <c r="P2065" t="s">
        <v>69</v>
      </c>
      <c r="Q2065" t="s">
        <v>47</v>
      </c>
      <c r="R2065" t="s">
        <v>48</v>
      </c>
      <c r="V2065" t="s">
        <v>49</v>
      </c>
      <c r="X2065" t="s">
        <v>49</v>
      </c>
      <c r="Y2065" t="s">
        <v>70</v>
      </c>
      <c r="Z2065" t="s">
        <v>3390</v>
      </c>
      <c r="AA2065" t="s">
        <v>3391</v>
      </c>
    </row>
    <row r="2066" spans="1:27" x14ac:dyDescent="0.35">
      <c r="A2066" t="str">
        <f t="shared" si="65"/>
        <v>1104D7</v>
      </c>
      <c r="B2066" t="str">
        <f t="shared" si="64"/>
        <v>1104</v>
      </c>
      <c r="C2066" t="s">
        <v>3392</v>
      </c>
      <c r="D2066" t="s">
        <v>6</v>
      </c>
      <c r="E2066" t="s">
        <v>94</v>
      </c>
      <c r="F2066" t="s">
        <v>111</v>
      </c>
      <c r="G2066" t="s">
        <v>757</v>
      </c>
      <c r="H2066" t="s">
        <v>42</v>
      </c>
      <c r="I2066" t="s">
        <v>43</v>
      </c>
      <c r="J2066" t="s">
        <v>3378</v>
      </c>
      <c r="M2066" t="s">
        <v>106</v>
      </c>
      <c r="P2066" t="s">
        <v>46</v>
      </c>
      <c r="Q2066" t="s">
        <v>47</v>
      </c>
      <c r="R2066" t="s">
        <v>48</v>
      </c>
      <c r="V2066" t="s">
        <v>49</v>
      </c>
      <c r="X2066" t="s">
        <v>49</v>
      </c>
      <c r="Y2066" t="s">
        <v>59</v>
      </c>
      <c r="Z2066" t="s">
        <v>3393</v>
      </c>
      <c r="AA2066" t="s">
        <v>3393</v>
      </c>
    </row>
    <row r="2067" spans="1:27" x14ac:dyDescent="0.35">
      <c r="A2067" t="str">
        <f t="shared" si="65"/>
        <v>203_F3</v>
      </c>
      <c r="B2067" t="str">
        <f t="shared" si="64"/>
        <v>203_</v>
      </c>
      <c r="C2067" t="s">
        <v>3394</v>
      </c>
      <c r="D2067" t="s">
        <v>5</v>
      </c>
      <c r="E2067" t="s">
        <v>40</v>
      </c>
      <c r="F2067" t="s">
        <v>73</v>
      </c>
      <c r="G2067" t="s">
        <v>757</v>
      </c>
      <c r="H2067" t="s">
        <v>42</v>
      </c>
      <c r="I2067" t="s">
        <v>67</v>
      </c>
      <c r="J2067" t="s">
        <v>3395</v>
      </c>
      <c r="M2067" t="s">
        <v>106</v>
      </c>
      <c r="P2067" t="s">
        <v>46</v>
      </c>
      <c r="Q2067" t="s">
        <v>47</v>
      </c>
      <c r="R2067" t="s">
        <v>48</v>
      </c>
      <c r="V2067" t="s">
        <v>49</v>
      </c>
      <c r="X2067" t="s">
        <v>49</v>
      </c>
      <c r="Y2067" t="s">
        <v>74</v>
      </c>
      <c r="Z2067" t="s">
        <v>3374</v>
      </c>
      <c r="AA2067" t="s">
        <v>3374</v>
      </c>
    </row>
    <row r="2068" spans="1:27" x14ac:dyDescent="0.35">
      <c r="A2068" t="str">
        <f t="shared" si="65"/>
        <v>203_F2</v>
      </c>
      <c r="B2068" t="str">
        <f t="shared" si="64"/>
        <v>203_</v>
      </c>
      <c r="C2068" t="s">
        <v>3396</v>
      </c>
      <c r="D2068" t="s">
        <v>4</v>
      </c>
      <c r="E2068" t="s">
        <v>77</v>
      </c>
      <c r="F2068" t="s">
        <v>78</v>
      </c>
      <c r="G2068" t="s">
        <v>757</v>
      </c>
      <c r="H2068" t="s">
        <v>42</v>
      </c>
      <c r="I2068" t="s">
        <v>67</v>
      </c>
      <c r="J2068" t="s">
        <v>3395</v>
      </c>
      <c r="M2068" t="s">
        <v>106</v>
      </c>
      <c r="P2068" t="s">
        <v>710</v>
      </c>
      <c r="Q2068" t="s">
        <v>47</v>
      </c>
      <c r="R2068" t="s">
        <v>48</v>
      </c>
      <c r="V2068" t="s">
        <v>49</v>
      </c>
      <c r="X2068" t="s">
        <v>49</v>
      </c>
      <c r="Y2068" t="s">
        <v>74</v>
      </c>
      <c r="Z2068" t="s">
        <v>3397</v>
      </c>
      <c r="AA2068" t="s">
        <v>3397</v>
      </c>
    </row>
    <row r="2069" spans="1:27" x14ac:dyDescent="0.35">
      <c r="A2069" t="str">
        <f t="shared" si="65"/>
        <v>203_C2</v>
      </c>
      <c r="B2069" t="str">
        <f t="shared" si="64"/>
        <v>203_</v>
      </c>
      <c r="C2069" t="s">
        <v>3398</v>
      </c>
      <c r="D2069" t="s">
        <v>1</v>
      </c>
      <c r="E2069" t="s">
        <v>65</v>
      </c>
      <c r="F2069" t="s">
        <v>66</v>
      </c>
      <c r="G2069" t="s">
        <v>757</v>
      </c>
      <c r="H2069" t="s">
        <v>42</v>
      </c>
      <c r="I2069" t="s">
        <v>67</v>
      </c>
      <c r="J2069" t="s">
        <v>3395</v>
      </c>
      <c r="M2069" t="s">
        <v>106</v>
      </c>
      <c r="P2069" t="s">
        <v>58</v>
      </c>
      <c r="Q2069" t="s">
        <v>47</v>
      </c>
      <c r="R2069" t="s">
        <v>48</v>
      </c>
      <c r="V2069" t="s">
        <v>49</v>
      </c>
      <c r="X2069" t="s">
        <v>49</v>
      </c>
      <c r="Y2069" t="s">
        <v>70</v>
      </c>
      <c r="Z2069" t="s">
        <v>3871</v>
      </c>
      <c r="AA2069" t="s">
        <v>3871</v>
      </c>
    </row>
    <row r="2070" spans="1:27" x14ac:dyDescent="0.35">
      <c r="A2070" t="str">
        <f t="shared" si="65"/>
        <v>203_D2</v>
      </c>
      <c r="B2070" t="str">
        <f t="shared" si="64"/>
        <v>203_</v>
      </c>
      <c r="C2070" t="s">
        <v>3399</v>
      </c>
      <c r="D2070" t="s">
        <v>2</v>
      </c>
      <c r="E2070" t="s">
        <v>62</v>
      </c>
      <c r="F2070" t="s">
        <v>63</v>
      </c>
      <c r="G2070" t="s">
        <v>757</v>
      </c>
      <c r="H2070" t="s">
        <v>42</v>
      </c>
      <c r="I2070" t="s">
        <v>67</v>
      </c>
      <c r="J2070" t="s">
        <v>3395</v>
      </c>
      <c r="K2070" t="s">
        <v>56</v>
      </c>
      <c r="M2070" t="s">
        <v>106</v>
      </c>
      <c r="P2070" t="s">
        <v>58</v>
      </c>
      <c r="Q2070" t="s">
        <v>47</v>
      </c>
      <c r="R2070" t="s">
        <v>48</v>
      </c>
      <c r="V2070" t="s">
        <v>49</v>
      </c>
      <c r="X2070" t="s">
        <v>49</v>
      </c>
      <c r="Y2070" t="s">
        <v>59</v>
      </c>
      <c r="Z2070" t="s">
        <v>4002</v>
      </c>
      <c r="AA2070" t="s">
        <v>4002</v>
      </c>
    </row>
    <row r="2071" spans="1:27" x14ac:dyDescent="0.35">
      <c r="A2071" t="str">
        <f t="shared" si="65"/>
        <v>203_D7</v>
      </c>
      <c r="B2071" t="str">
        <f t="shared" si="64"/>
        <v>203_</v>
      </c>
      <c r="C2071" t="s">
        <v>3400</v>
      </c>
      <c r="D2071" t="s">
        <v>6</v>
      </c>
      <c r="E2071" t="s">
        <v>94</v>
      </c>
      <c r="F2071" t="s">
        <v>111</v>
      </c>
      <c r="G2071" t="s">
        <v>757</v>
      </c>
      <c r="H2071" t="s">
        <v>42</v>
      </c>
      <c r="I2071" t="s">
        <v>67</v>
      </c>
      <c r="J2071" t="s">
        <v>3395</v>
      </c>
      <c r="M2071" t="s">
        <v>106</v>
      </c>
      <c r="P2071" t="s">
        <v>46</v>
      </c>
      <c r="Q2071" t="s">
        <v>47</v>
      </c>
      <c r="R2071" t="s">
        <v>48</v>
      </c>
      <c r="V2071" t="s">
        <v>49</v>
      </c>
      <c r="X2071" t="s">
        <v>49</v>
      </c>
      <c r="Y2071" t="s">
        <v>59</v>
      </c>
      <c r="Z2071" t="s">
        <v>3345</v>
      </c>
      <c r="AA2071" t="s">
        <v>3345</v>
      </c>
    </row>
    <row r="2072" spans="1:27" x14ac:dyDescent="0.35">
      <c r="A2072" t="str">
        <f t="shared" si="65"/>
        <v>203_D4</v>
      </c>
      <c r="B2072" t="str">
        <f t="shared" si="64"/>
        <v>203_</v>
      </c>
      <c r="C2072" t="s">
        <v>3401</v>
      </c>
      <c r="D2072" t="s">
        <v>3</v>
      </c>
      <c r="E2072" t="s">
        <v>52</v>
      </c>
      <c r="F2072" t="s">
        <v>53</v>
      </c>
      <c r="G2072" t="s">
        <v>757</v>
      </c>
      <c r="H2072" t="s">
        <v>42</v>
      </c>
      <c r="I2072" t="s">
        <v>67</v>
      </c>
      <c r="J2072" t="s">
        <v>3395</v>
      </c>
      <c r="K2072" t="s">
        <v>56</v>
      </c>
      <c r="M2072" t="s">
        <v>106</v>
      </c>
      <c r="P2072" t="s">
        <v>58</v>
      </c>
      <c r="Q2072" t="s">
        <v>47</v>
      </c>
      <c r="R2072" t="s">
        <v>48</v>
      </c>
      <c r="V2072" t="s">
        <v>49</v>
      </c>
      <c r="X2072" t="s">
        <v>49</v>
      </c>
      <c r="Y2072" t="s">
        <v>59</v>
      </c>
      <c r="Z2072" t="s">
        <v>3882</v>
      </c>
      <c r="AA2072" t="s">
        <v>3882</v>
      </c>
    </row>
    <row r="2073" spans="1:27" x14ac:dyDescent="0.35">
      <c r="A2073" t="str">
        <f t="shared" si="65"/>
        <v>1103F2</v>
      </c>
      <c r="B2073" t="str">
        <f t="shared" si="64"/>
        <v>1103</v>
      </c>
      <c r="C2073" t="s">
        <v>3402</v>
      </c>
      <c r="D2073" t="s">
        <v>4</v>
      </c>
      <c r="E2073" t="s">
        <v>77</v>
      </c>
      <c r="F2073" t="s">
        <v>78</v>
      </c>
      <c r="G2073" t="s">
        <v>757</v>
      </c>
      <c r="H2073" t="s">
        <v>42</v>
      </c>
      <c r="I2073" t="s">
        <v>67</v>
      </c>
      <c r="J2073" t="s">
        <v>3403</v>
      </c>
      <c r="M2073" t="s">
        <v>106</v>
      </c>
      <c r="P2073" t="s">
        <v>91</v>
      </c>
      <c r="Q2073" t="s">
        <v>47</v>
      </c>
      <c r="R2073" t="s">
        <v>48</v>
      </c>
      <c r="V2073" t="s">
        <v>49</v>
      </c>
      <c r="X2073" t="s">
        <v>49</v>
      </c>
      <c r="Y2073" t="s">
        <v>74</v>
      </c>
      <c r="Z2073" t="s">
        <v>3388</v>
      </c>
      <c r="AA2073" t="s">
        <v>3388</v>
      </c>
    </row>
    <row r="2074" spans="1:27" x14ac:dyDescent="0.35">
      <c r="A2074" t="str">
        <f t="shared" si="65"/>
        <v>1103D4</v>
      </c>
      <c r="B2074" t="str">
        <f t="shared" si="64"/>
        <v>1103</v>
      </c>
      <c r="C2074" t="s">
        <v>3404</v>
      </c>
      <c r="D2074" t="s">
        <v>3</v>
      </c>
      <c r="E2074" t="s">
        <v>52</v>
      </c>
      <c r="F2074" t="s">
        <v>53</v>
      </c>
      <c r="G2074" t="s">
        <v>757</v>
      </c>
      <c r="H2074" t="s">
        <v>42</v>
      </c>
      <c r="I2074" t="s">
        <v>43</v>
      </c>
      <c r="J2074" t="s">
        <v>3403</v>
      </c>
      <c r="K2074" t="s">
        <v>56</v>
      </c>
      <c r="M2074" t="s">
        <v>106</v>
      </c>
      <c r="P2074" t="s">
        <v>58</v>
      </c>
      <c r="Q2074" t="s">
        <v>47</v>
      </c>
      <c r="R2074" t="s">
        <v>48</v>
      </c>
      <c r="V2074" t="s">
        <v>49</v>
      </c>
      <c r="X2074" t="s">
        <v>49</v>
      </c>
      <c r="Y2074" t="s">
        <v>59</v>
      </c>
      <c r="Z2074" t="s">
        <v>3405</v>
      </c>
      <c r="AA2074" t="s">
        <v>3405</v>
      </c>
    </row>
    <row r="2075" spans="1:27" x14ac:dyDescent="0.35">
      <c r="A2075" t="str">
        <f t="shared" si="65"/>
        <v>1103D2</v>
      </c>
      <c r="B2075" t="str">
        <f t="shared" si="64"/>
        <v>1103</v>
      </c>
      <c r="C2075" t="s">
        <v>3406</v>
      </c>
      <c r="D2075" t="s">
        <v>2</v>
      </c>
      <c r="E2075" t="s">
        <v>62</v>
      </c>
      <c r="F2075" t="s">
        <v>63</v>
      </c>
      <c r="G2075" t="s">
        <v>757</v>
      </c>
      <c r="H2075" t="s">
        <v>42</v>
      </c>
      <c r="I2075" t="s">
        <v>43</v>
      </c>
      <c r="J2075" t="s">
        <v>3403</v>
      </c>
      <c r="K2075" t="s">
        <v>56</v>
      </c>
      <c r="M2075" t="s">
        <v>106</v>
      </c>
      <c r="P2075" t="s">
        <v>58</v>
      </c>
      <c r="Q2075" t="s">
        <v>47</v>
      </c>
      <c r="R2075" t="s">
        <v>48</v>
      </c>
      <c r="V2075" t="s">
        <v>49</v>
      </c>
      <c r="X2075" t="s">
        <v>49</v>
      </c>
      <c r="Y2075" t="s">
        <v>59</v>
      </c>
      <c r="Z2075" t="s">
        <v>3407</v>
      </c>
      <c r="AA2075" t="s">
        <v>3407</v>
      </c>
    </row>
    <row r="2076" spans="1:27" x14ac:dyDescent="0.35">
      <c r="A2076" t="str">
        <f t="shared" si="65"/>
        <v>1103F3</v>
      </c>
      <c r="B2076" t="str">
        <f t="shared" si="64"/>
        <v>1103</v>
      </c>
      <c r="C2076" t="s">
        <v>3408</v>
      </c>
      <c r="D2076" t="s">
        <v>5</v>
      </c>
      <c r="E2076" t="s">
        <v>40</v>
      </c>
      <c r="F2076" t="s">
        <v>73</v>
      </c>
      <c r="G2076" t="s">
        <v>757</v>
      </c>
      <c r="H2076" t="s">
        <v>42</v>
      </c>
      <c r="I2076" t="s">
        <v>67</v>
      </c>
      <c r="J2076" t="s">
        <v>3403</v>
      </c>
      <c r="M2076" t="s">
        <v>106</v>
      </c>
      <c r="P2076" t="s">
        <v>46</v>
      </c>
      <c r="Q2076" t="s">
        <v>47</v>
      </c>
      <c r="R2076" t="s">
        <v>48</v>
      </c>
      <c r="V2076" t="s">
        <v>49</v>
      </c>
      <c r="X2076" t="s">
        <v>49</v>
      </c>
      <c r="Y2076" t="s">
        <v>74</v>
      </c>
      <c r="Z2076" t="s">
        <v>3388</v>
      </c>
      <c r="AA2076" t="s">
        <v>3388</v>
      </c>
    </row>
    <row r="2077" spans="1:27" x14ac:dyDescent="0.35">
      <c r="A2077" t="str">
        <f t="shared" si="65"/>
        <v>1103C2</v>
      </c>
      <c r="B2077" t="str">
        <f t="shared" si="64"/>
        <v>1103</v>
      </c>
      <c r="C2077" t="s">
        <v>3409</v>
      </c>
      <c r="D2077" t="s">
        <v>1</v>
      </c>
      <c r="E2077" t="s">
        <v>65</v>
      </c>
      <c r="F2077" t="s">
        <v>66</v>
      </c>
      <c r="G2077" t="s">
        <v>757</v>
      </c>
      <c r="H2077" t="s">
        <v>42</v>
      </c>
      <c r="I2077" t="s">
        <v>67</v>
      </c>
      <c r="J2077" t="s">
        <v>3403</v>
      </c>
      <c r="M2077" t="s">
        <v>106</v>
      </c>
      <c r="P2077" t="s">
        <v>69</v>
      </c>
      <c r="Q2077" t="s">
        <v>47</v>
      </c>
      <c r="R2077" t="s">
        <v>48</v>
      </c>
      <c r="V2077" t="s">
        <v>49</v>
      </c>
      <c r="X2077" t="s">
        <v>49</v>
      </c>
      <c r="Y2077" t="s">
        <v>70</v>
      </c>
      <c r="Z2077" t="s">
        <v>3407</v>
      </c>
      <c r="AA2077" t="s">
        <v>3407</v>
      </c>
    </row>
    <row r="2078" spans="1:27" x14ac:dyDescent="0.35">
      <c r="A2078" t="str">
        <f t="shared" si="65"/>
        <v>1103D7</v>
      </c>
      <c r="B2078" t="str">
        <f t="shared" si="64"/>
        <v>1103</v>
      </c>
      <c r="C2078" t="s">
        <v>3410</v>
      </c>
      <c r="D2078" t="s">
        <v>6</v>
      </c>
      <c r="E2078" t="s">
        <v>94</v>
      </c>
      <c r="F2078" t="s">
        <v>111</v>
      </c>
      <c r="G2078" t="s">
        <v>757</v>
      </c>
      <c r="H2078" t="s">
        <v>42</v>
      </c>
      <c r="I2078" t="s">
        <v>43</v>
      </c>
      <c r="J2078" t="s">
        <v>3403</v>
      </c>
      <c r="M2078" t="s">
        <v>106</v>
      </c>
      <c r="P2078" t="s">
        <v>46</v>
      </c>
      <c r="Q2078" t="s">
        <v>47</v>
      </c>
      <c r="R2078" t="s">
        <v>48</v>
      </c>
      <c r="V2078" t="s">
        <v>49</v>
      </c>
      <c r="X2078" t="s">
        <v>49</v>
      </c>
      <c r="Y2078" t="s">
        <v>59</v>
      </c>
      <c r="Z2078" t="s">
        <v>3393</v>
      </c>
      <c r="AA2078" t="s">
        <v>3393</v>
      </c>
    </row>
    <row r="2079" spans="1:27" x14ac:dyDescent="0.35">
      <c r="A2079" t="str">
        <f t="shared" si="65"/>
        <v>201_F3</v>
      </c>
      <c r="B2079" t="str">
        <f t="shared" si="64"/>
        <v>201_</v>
      </c>
      <c r="C2079" t="s">
        <v>3411</v>
      </c>
      <c r="D2079" t="s">
        <v>5</v>
      </c>
      <c r="E2079" t="s">
        <v>40</v>
      </c>
      <c r="F2079" t="s">
        <v>73</v>
      </c>
      <c r="G2079" t="s">
        <v>757</v>
      </c>
      <c r="H2079" t="s">
        <v>42</v>
      </c>
      <c r="I2079" t="s">
        <v>67</v>
      </c>
      <c r="J2079" t="s">
        <v>3412</v>
      </c>
      <c r="M2079" t="s">
        <v>106</v>
      </c>
      <c r="P2079" t="s">
        <v>46</v>
      </c>
      <c r="Q2079" t="s">
        <v>47</v>
      </c>
      <c r="R2079" t="s">
        <v>48</v>
      </c>
      <c r="V2079" t="s">
        <v>49</v>
      </c>
      <c r="X2079" t="s">
        <v>49</v>
      </c>
      <c r="Y2079" t="s">
        <v>74</v>
      </c>
      <c r="Z2079" t="s">
        <v>3397</v>
      </c>
      <c r="AA2079" t="s">
        <v>3397</v>
      </c>
    </row>
    <row r="2080" spans="1:27" x14ac:dyDescent="0.35">
      <c r="A2080" t="str">
        <f t="shared" si="65"/>
        <v>201_F2</v>
      </c>
      <c r="B2080" t="str">
        <f t="shared" si="64"/>
        <v>201_</v>
      </c>
      <c r="C2080" t="s">
        <v>3413</v>
      </c>
      <c r="D2080" t="s">
        <v>4</v>
      </c>
      <c r="E2080" t="s">
        <v>77</v>
      </c>
      <c r="F2080" t="s">
        <v>78</v>
      </c>
      <c r="G2080" t="s">
        <v>757</v>
      </c>
      <c r="H2080" t="s">
        <v>42</v>
      </c>
      <c r="I2080" t="s">
        <v>67</v>
      </c>
      <c r="J2080" t="s">
        <v>3412</v>
      </c>
      <c r="M2080" t="s">
        <v>106</v>
      </c>
      <c r="P2080" t="s">
        <v>138</v>
      </c>
      <c r="Q2080" t="s">
        <v>47</v>
      </c>
      <c r="R2080" t="s">
        <v>48</v>
      </c>
      <c r="V2080" t="s">
        <v>49</v>
      </c>
      <c r="X2080" t="s">
        <v>49</v>
      </c>
      <c r="Y2080" t="s">
        <v>74</v>
      </c>
      <c r="Z2080" t="s">
        <v>3414</v>
      </c>
      <c r="AA2080" t="s">
        <v>3414</v>
      </c>
    </row>
    <row r="2081" spans="1:27" x14ac:dyDescent="0.35">
      <c r="A2081" t="str">
        <f t="shared" si="65"/>
        <v>201_C2</v>
      </c>
      <c r="B2081" t="str">
        <f t="shared" si="64"/>
        <v>201_</v>
      </c>
      <c r="C2081" t="s">
        <v>3415</v>
      </c>
      <c r="D2081" t="s">
        <v>1</v>
      </c>
      <c r="E2081" t="s">
        <v>65</v>
      </c>
      <c r="F2081" t="s">
        <v>66</v>
      </c>
      <c r="G2081" t="s">
        <v>757</v>
      </c>
      <c r="H2081" t="s">
        <v>42</v>
      </c>
      <c r="I2081" t="s">
        <v>67</v>
      </c>
      <c r="J2081" t="s">
        <v>3412</v>
      </c>
      <c r="M2081" t="s">
        <v>106</v>
      </c>
      <c r="P2081" t="s">
        <v>69</v>
      </c>
      <c r="Q2081" t="s">
        <v>47</v>
      </c>
      <c r="R2081" t="s">
        <v>48</v>
      </c>
      <c r="V2081" t="s">
        <v>49</v>
      </c>
      <c r="X2081" t="s">
        <v>49</v>
      </c>
      <c r="Y2081" t="s">
        <v>70</v>
      </c>
      <c r="Z2081" t="s">
        <v>3871</v>
      </c>
      <c r="AA2081" t="s">
        <v>3871</v>
      </c>
    </row>
    <row r="2082" spans="1:27" x14ac:dyDescent="0.35">
      <c r="A2082" t="str">
        <f t="shared" si="65"/>
        <v>201_D2</v>
      </c>
      <c r="B2082" t="str">
        <f t="shared" si="64"/>
        <v>201_</v>
      </c>
      <c r="C2082" t="s">
        <v>3416</v>
      </c>
      <c r="D2082" t="s">
        <v>2</v>
      </c>
      <c r="E2082" t="s">
        <v>62</v>
      </c>
      <c r="F2082" t="s">
        <v>63</v>
      </c>
      <c r="G2082" t="s">
        <v>757</v>
      </c>
      <c r="H2082" t="s">
        <v>42</v>
      </c>
      <c r="I2082" t="s">
        <v>67</v>
      </c>
      <c r="J2082" t="s">
        <v>3412</v>
      </c>
      <c r="K2082" t="s">
        <v>56</v>
      </c>
      <c r="M2082" t="s">
        <v>106</v>
      </c>
      <c r="P2082" t="s">
        <v>58</v>
      </c>
      <c r="Q2082" t="s">
        <v>47</v>
      </c>
      <c r="R2082" t="s">
        <v>48</v>
      </c>
      <c r="V2082" t="s">
        <v>49</v>
      </c>
      <c r="X2082" t="s">
        <v>49</v>
      </c>
      <c r="Y2082" t="s">
        <v>59</v>
      </c>
      <c r="Z2082" t="s">
        <v>4001</v>
      </c>
      <c r="AA2082" t="s">
        <v>4001</v>
      </c>
    </row>
    <row r="2083" spans="1:27" x14ac:dyDescent="0.35">
      <c r="A2083" t="str">
        <f t="shared" si="65"/>
        <v>1102F2</v>
      </c>
      <c r="B2083" t="str">
        <f t="shared" si="64"/>
        <v>1102</v>
      </c>
      <c r="C2083" t="s">
        <v>3417</v>
      </c>
      <c r="D2083" t="s">
        <v>4</v>
      </c>
      <c r="E2083" t="s">
        <v>77</v>
      </c>
      <c r="F2083" t="s">
        <v>78</v>
      </c>
      <c r="G2083" t="s">
        <v>757</v>
      </c>
      <c r="H2083" t="s">
        <v>42</v>
      </c>
      <c r="I2083" t="s">
        <v>67</v>
      </c>
      <c r="J2083" t="s">
        <v>3418</v>
      </c>
      <c r="M2083" t="s">
        <v>106</v>
      </c>
      <c r="P2083" t="s">
        <v>91</v>
      </c>
      <c r="Q2083" t="s">
        <v>47</v>
      </c>
      <c r="R2083" t="s">
        <v>48</v>
      </c>
      <c r="V2083" t="s">
        <v>49</v>
      </c>
      <c r="X2083" t="s">
        <v>49</v>
      </c>
      <c r="Y2083" t="s">
        <v>74</v>
      </c>
      <c r="Z2083" t="s">
        <v>3388</v>
      </c>
      <c r="AA2083" t="s">
        <v>3388</v>
      </c>
    </row>
    <row r="2084" spans="1:27" x14ac:dyDescent="0.35">
      <c r="A2084" t="str">
        <f t="shared" si="65"/>
        <v>201_D7</v>
      </c>
      <c r="B2084" t="str">
        <f t="shared" si="64"/>
        <v>201_</v>
      </c>
      <c r="C2084" t="s">
        <v>3419</v>
      </c>
      <c r="D2084" t="s">
        <v>6</v>
      </c>
      <c r="E2084" t="s">
        <v>94</v>
      </c>
      <c r="F2084" t="s">
        <v>111</v>
      </c>
      <c r="G2084" t="s">
        <v>757</v>
      </c>
      <c r="H2084" t="s">
        <v>42</v>
      </c>
      <c r="I2084" t="s">
        <v>67</v>
      </c>
      <c r="J2084" t="s">
        <v>3412</v>
      </c>
      <c r="M2084" t="s">
        <v>106</v>
      </c>
      <c r="P2084" t="s">
        <v>46</v>
      </c>
      <c r="Q2084" t="s">
        <v>47</v>
      </c>
      <c r="R2084" t="s">
        <v>48</v>
      </c>
      <c r="V2084" t="s">
        <v>49</v>
      </c>
      <c r="X2084" t="s">
        <v>49</v>
      </c>
      <c r="Y2084" t="s">
        <v>59</v>
      </c>
      <c r="Z2084" t="s">
        <v>3345</v>
      </c>
      <c r="AA2084" t="s">
        <v>3345</v>
      </c>
    </row>
    <row r="2085" spans="1:27" x14ac:dyDescent="0.35">
      <c r="A2085" t="str">
        <f t="shared" si="65"/>
        <v>1102D4</v>
      </c>
      <c r="B2085" t="str">
        <f t="shared" si="64"/>
        <v>1102</v>
      </c>
      <c r="C2085" t="s">
        <v>3420</v>
      </c>
      <c r="D2085" t="s">
        <v>3</v>
      </c>
      <c r="E2085" t="s">
        <v>52</v>
      </c>
      <c r="F2085" t="s">
        <v>53</v>
      </c>
      <c r="G2085" t="s">
        <v>757</v>
      </c>
      <c r="H2085" t="s">
        <v>42</v>
      </c>
      <c r="I2085" t="s">
        <v>43</v>
      </c>
      <c r="J2085" t="s">
        <v>3418</v>
      </c>
      <c r="K2085" t="s">
        <v>56</v>
      </c>
      <c r="M2085" t="s">
        <v>106</v>
      </c>
      <c r="P2085" t="s">
        <v>58</v>
      </c>
      <c r="Q2085" t="s">
        <v>47</v>
      </c>
      <c r="R2085" t="s">
        <v>48</v>
      </c>
      <c r="V2085" t="s">
        <v>49</v>
      </c>
      <c r="X2085" t="s">
        <v>49</v>
      </c>
      <c r="Y2085" t="s">
        <v>59</v>
      </c>
      <c r="Z2085" t="s">
        <v>3421</v>
      </c>
      <c r="AA2085" t="s">
        <v>3421</v>
      </c>
    </row>
    <row r="2086" spans="1:27" x14ac:dyDescent="0.35">
      <c r="A2086" t="str">
        <f t="shared" si="65"/>
        <v>201_D4</v>
      </c>
      <c r="B2086" t="str">
        <f t="shared" si="64"/>
        <v>201_</v>
      </c>
      <c r="C2086" t="s">
        <v>3422</v>
      </c>
      <c r="D2086" t="s">
        <v>3</v>
      </c>
      <c r="E2086" t="s">
        <v>52</v>
      </c>
      <c r="F2086" t="s">
        <v>53</v>
      </c>
      <c r="G2086" t="s">
        <v>757</v>
      </c>
      <c r="H2086" t="s">
        <v>42</v>
      </c>
      <c r="I2086" t="s">
        <v>67</v>
      </c>
      <c r="J2086" t="s">
        <v>3412</v>
      </c>
      <c r="K2086" t="s">
        <v>56</v>
      </c>
      <c r="M2086" t="s">
        <v>106</v>
      </c>
      <c r="P2086" t="s">
        <v>58</v>
      </c>
      <c r="Q2086" t="s">
        <v>47</v>
      </c>
      <c r="R2086" t="s">
        <v>48</v>
      </c>
      <c r="V2086" t="s">
        <v>49</v>
      </c>
      <c r="X2086" t="s">
        <v>49</v>
      </c>
      <c r="Y2086" t="s">
        <v>59</v>
      </c>
      <c r="Z2086" t="s">
        <v>3882</v>
      </c>
      <c r="AA2086" t="s">
        <v>3882</v>
      </c>
    </row>
    <row r="2087" spans="1:27" x14ac:dyDescent="0.35">
      <c r="A2087" t="str">
        <f t="shared" si="65"/>
        <v>1102D2</v>
      </c>
      <c r="B2087" t="str">
        <f t="shared" si="64"/>
        <v>1102</v>
      </c>
      <c r="C2087" t="s">
        <v>3423</v>
      </c>
      <c r="D2087" t="s">
        <v>2</v>
      </c>
      <c r="E2087" t="s">
        <v>62</v>
      </c>
      <c r="F2087" t="s">
        <v>63</v>
      </c>
      <c r="G2087" t="s">
        <v>757</v>
      </c>
      <c r="H2087" t="s">
        <v>42</v>
      </c>
      <c r="I2087" t="s">
        <v>43</v>
      </c>
      <c r="J2087" t="s">
        <v>3418</v>
      </c>
      <c r="K2087" t="s">
        <v>56</v>
      </c>
      <c r="M2087" t="s">
        <v>106</v>
      </c>
      <c r="P2087" t="s">
        <v>58</v>
      </c>
      <c r="Q2087" t="s">
        <v>47</v>
      </c>
      <c r="R2087" t="s">
        <v>48</v>
      </c>
      <c r="V2087" t="s">
        <v>49</v>
      </c>
      <c r="X2087" t="s">
        <v>49</v>
      </c>
      <c r="Y2087" t="s">
        <v>59</v>
      </c>
      <c r="Z2087" t="s">
        <v>3424</v>
      </c>
      <c r="AA2087" t="s">
        <v>3421</v>
      </c>
    </row>
    <row r="2088" spans="1:27" x14ac:dyDescent="0.35">
      <c r="A2088" t="str">
        <f t="shared" si="65"/>
        <v>1102F3</v>
      </c>
      <c r="B2088" t="str">
        <f t="shared" si="64"/>
        <v>1102</v>
      </c>
      <c r="C2088" t="s">
        <v>3425</v>
      </c>
      <c r="D2088" t="s">
        <v>5</v>
      </c>
      <c r="E2088" t="s">
        <v>40</v>
      </c>
      <c r="F2088" t="s">
        <v>73</v>
      </c>
      <c r="G2088" t="s">
        <v>757</v>
      </c>
      <c r="H2088" t="s">
        <v>42</v>
      </c>
      <c r="I2088" t="s">
        <v>67</v>
      </c>
      <c r="J2088" t="s">
        <v>3418</v>
      </c>
      <c r="M2088" t="s">
        <v>106</v>
      </c>
      <c r="P2088" t="s">
        <v>46</v>
      </c>
      <c r="Q2088" t="s">
        <v>47</v>
      </c>
      <c r="R2088" t="s">
        <v>48</v>
      </c>
      <c r="V2088" t="s">
        <v>49</v>
      </c>
      <c r="X2088" t="s">
        <v>49</v>
      </c>
      <c r="Y2088" t="s">
        <v>74</v>
      </c>
      <c r="Z2088" t="s">
        <v>3426</v>
      </c>
      <c r="AA2088" t="s">
        <v>3426</v>
      </c>
    </row>
    <row r="2089" spans="1:27" x14ac:dyDescent="0.35">
      <c r="A2089" t="str">
        <f t="shared" si="65"/>
        <v>1102C2</v>
      </c>
      <c r="B2089" t="str">
        <f t="shared" si="64"/>
        <v>1102</v>
      </c>
      <c r="C2089" t="s">
        <v>3427</v>
      </c>
      <c r="D2089" t="s">
        <v>1</v>
      </c>
      <c r="E2089" t="s">
        <v>65</v>
      </c>
      <c r="F2089" t="s">
        <v>66</v>
      </c>
      <c r="G2089" t="s">
        <v>757</v>
      </c>
      <c r="H2089" t="s">
        <v>42</v>
      </c>
      <c r="I2089" t="s">
        <v>67</v>
      </c>
      <c r="J2089" t="s">
        <v>3418</v>
      </c>
      <c r="M2089" t="s">
        <v>106</v>
      </c>
      <c r="P2089" t="s">
        <v>69</v>
      </c>
      <c r="Q2089" t="s">
        <v>47</v>
      </c>
      <c r="R2089" t="s">
        <v>48</v>
      </c>
      <c r="V2089" t="s">
        <v>49</v>
      </c>
      <c r="X2089" t="s">
        <v>49</v>
      </c>
      <c r="Y2089" t="s">
        <v>70</v>
      </c>
      <c r="Z2089" t="s">
        <v>3390</v>
      </c>
      <c r="AA2089" t="s">
        <v>3428</v>
      </c>
    </row>
    <row r="2090" spans="1:27" x14ac:dyDescent="0.35">
      <c r="A2090" t="str">
        <f t="shared" si="65"/>
        <v>1102D7</v>
      </c>
      <c r="B2090" t="str">
        <f t="shared" si="64"/>
        <v>1102</v>
      </c>
      <c r="C2090" t="s">
        <v>3429</v>
      </c>
      <c r="D2090" t="s">
        <v>6</v>
      </c>
      <c r="E2090" t="s">
        <v>94</v>
      </c>
      <c r="F2090" t="s">
        <v>111</v>
      </c>
      <c r="G2090" t="s">
        <v>757</v>
      </c>
      <c r="H2090" t="s">
        <v>42</v>
      </c>
      <c r="I2090" t="s">
        <v>43</v>
      </c>
      <c r="J2090" t="s">
        <v>3418</v>
      </c>
      <c r="M2090" t="s">
        <v>106</v>
      </c>
      <c r="P2090" t="s">
        <v>46</v>
      </c>
      <c r="Q2090" t="s">
        <v>47</v>
      </c>
      <c r="R2090" t="s">
        <v>48</v>
      </c>
      <c r="V2090" t="s">
        <v>49</v>
      </c>
      <c r="X2090" t="s">
        <v>49</v>
      </c>
      <c r="Y2090" t="s">
        <v>59</v>
      </c>
      <c r="Z2090" t="s">
        <v>3393</v>
      </c>
      <c r="AA2090" t="s">
        <v>3393</v>
      </c>
    </row>
    <row r="2091" spans="1:27" x14ac:dyDescent="0.35">
      <c r="A2091" t="str">
        <f t="shared" si="65"/>
        <v>112_F3</v>
      </c>
      <c r="B2091" t="str">
        <f t="shared" si="64"/>
        <v>112_</v>
      </c>
      <c r="C2091" t="s">
        <v>3430</v>
      </c>
      <c r="D2091" t="s">
        <v>5</v>
      </c>
      <c r="E2091" t="s">
        <v>40</v>
      </c>
      <c r="F2091" t="s">
        <v>73</v>
      </c>
      <c r="G2091" t="s">
        <v>757</v>
      </c>
      <c r="H2091" t="s">
        <v>42</v>
      </c>
      <c r="I2091" t="s">
        <v>67</v>
      </c>
      <c r="J2091" t="s">
        <v>3431</v>
      </c>
      <c r="M2091" t="s">
        <v>106</v>
      </c>
      <c r="P2091" t="s">
        <v>46</v>
      </c>
      <c r="Q2091" t="s">
        <v>47</v>
      </c>
      <c r="R2091" t="s">
        <v>48</v>
      </c>
      <c r="V2091" t="s">
        <v>49</v>
      </c>
      <c r="X2091" t="s">
        <v>49</v>
      </c>
      <c r="Y2091" t="s">
        <v>74</v>
      </c>
      <c r="Z2091" t="s">
        <v>3603</v>
      </c>
      <c r="AA2091" t="s">
        <v>3603</v>
      </c>
    </row>
    <row r="2092" spans="1:27" x14ac:dyDescent="0.35">
      <c r="A2092" t="str">
        <f t="shared" si="65"/>
        <v>112_F2</v>
      </c>
      <c r="B2092" t="str">
        <f t="shared" si="64"/>
        <v>112_</v>
      </c>
      <c r="C2092" t="s">
        <v>3432</v>
      </c>
      <c r="D2092" t="s">
        <v>4</v>
      </c>
      <c r="E2092" t="s">
        <v>77</v>
      </c>
      <c r="F2092" t="s">
        <v>78</v>
      </c>
      <c r="G2092" t="s">
        <v>757</v>
      </c>
      <c r="H2092" t="s">
        <v>42</v>
      </c>
      <c r="I2092" t="s">
        <v>67</v>
      </c>
      <c r="J2092" t="s">
        <v>3431</v>
      </c>
      <c r="M2092" t="s">
        <v>106</v>
      </c>
      <c r="P2092" t="s">
        <v>79</v>
      </c>
      <c r="Q2092" t="s">
        <v>47</v>
      </c>
      <c r="R2092" t="s">
        <v>48</v>
      </c>
      <c r="V2092" t="s">
        <v>49</v>
      </c>
      <c r="X2092" t="s">
        <v>49</v>
      </c>
      <c r="Y2092" t="s">
        <v>74</v>
      </c>
      <c r="Z2092" t="s">
        <v>3603</v>
      </c>
      <c r="AA2092" t="s">
        <v>3603</v>
      </c>
    </row>
    <row r="2093" spans="1:27" x14ac:dyDescent="0.35">
      <c r="A2093" t="str">
        <f t="shared" si="65"/>
        <v>112_C2</v>
      </c>
      <c r="B2093" t="str">
        <f t="shared" si="64"/>
        <v>112_</v>
      </c>
      <c r="C2093" t="s">
        <v>3433</v>
      </c>
      <c r="D2093" t="s">
        <v>1</v>
      </c>
      <c r="E2093" t="s">
        <v>65</v>
      </c>
      <c r="F2093" t="s">
        <v>66</v>
      </c>
      <c r="G2093" t="s">
        <v>757</v>
      </c>
      <c r="H2093" t="s">
        <v>42</v>
      </c>
      <c r="I2093" t="s">
        <v>67</v>
      </c>
      <c r="J2093" t="s">
        <v>3431</v>
      </c>
      <c r="M2093" t="s">
        <v>106</v>
      </c>
      <c r="P2093" t="s">
        <v>69</v>
      </c>
      <c r="Q2093" t="s">
        <v>47</v>
      </c>
      <c r="R2093" t="s">
        <v>48</v>
      </c>
      <c r="V2093" t="s">
        <v>49</v>
      </c>
      <c r="X2093" t="s">
        <v>49</v>
      </c>
      <c r="Y2093" t="s">
        <v>70</v>
      </c>
      <c r="Z2093" t="s">
        <v>3873</v>
      </c>
      <c r="AA2093" t="s">
        <v>3873</v>
      </c>
    </row>
    <row r="2094" spans="1:27" x14ac:dyDescent="0.35">
      <c r="A2094" t="str">
        <f t="shared" si="65"/>
        <v>112_D2</v>
      </c>
      <c r="B2094" t="str">
        <f t="shared" si="64"/>
        <v>112_</v>
      </c>
      <c r="C2094" t="s">
        <v>3434</v>
      </c>
      <c r="D2094" t="s">
        <v>2</v>
      </c>
      <c r="E2094" t="s">
        <v>62</v>
      </c>
      <c r="F2094" t="s">
        <v>63</v>
      </c>
      <c r="G2094" t="s">
        <v>757</v>
      </c>
      <c r="H2094" t="s">
        <v>42</v>
      </c>
      <c r="I2094" t="s">
        <v>67</v>
      </c>
      <c r="J2094" t="s">
        <v>3431</v>
      </c>
      <c r="K2094" t="s">
        <v>56</v>
      </c>
      <c r="M2094" t="s">
        <v>106</v>
      </c>
      <c r="P2094" t="s">
        <v>58</v>
      </c>
      <c r="Q2094" t="s">
        <v>47</v>
      </c>
      <c r="R2094" t="s">
        <v>48</v>
      </c>
      <c r="V2094" t="s">
        <v>49</v>
      </c>
      <c r="X2094" t="s">
        <v>49</v>
      </c>
      <c r="Y2094" t="s">
        <v>59</v>
      </c>
      <c r="Z2094" t="s">
        <v>4016</v>
      </c>
      <c r="AA2094" t="s">
        <v>4016</v>
      </c>
    </row>
    <row r="2095" spans="1:27" x14ac:dyDescent="0.35">
      <c r="A2095" t="str">
        <f t="shared" si="65"/>
        <v>112_D7</v>
      </c>
      <c r="B2095" t="str">
        <f t="shared" si="64"/>
        <v>112_</v>
      </c>
      <c r="C2095" t="s">
        <v>3435</v>
      </c>
      <c r="D2095" t="s">
        <v>6</v>
      </c>
      <c r="E2095" t="s">
        <v>94</v>
      </c>
      <c r="F2095" t="s">
        <v>111</v>
      </c>
      <c r="G2095" t="s">
        <v>757</v>
      </c>
      <c r="H2095" t="s">
        <v>42</v>
      </c>
      <c r="I2095" t="s">
        <v>67</v>
      </c>
      <c r="J2095" t="s">
        <v>3431</v>
      </c>
      <c r="M2095" t="s">
        <v>106</v>
      </c>
      <c r="P2095" t="s">
        <v>46</v>
      </c>
      <c r="Q2095" t="s">
        <v>47</v>
      </c>
      <c r="R2095" t="s">
        <v>48</v>
      </c>
      <c r="V2095" t="s">
        <v>49</v>
      </c>
      <c r="X2095" t="s">
        <v>49</v>
      </c>
      <c r="Y2095" t="s">
        <v>59</v>
      </c>
      <c r="Z2095" t="s">
        <v>3436</v>
      </c>
      <c r="AA2095" t="s">
        <v>3436</v>
      </c>
    </row>
    <row r="2096" spans="1:27" x14ac:dyDescent="0.35">
      <c r="A2096" t="str">
        <f t="shared" si="65"/>
        <v>112_D4</v>
      </c>
      <c r="B2096" t="str">
        <f t="shared" si="64"/>
        <v>112_</v>
      </c>
      <c r="C2096" t="s">
        <v>3437</v>
      </c>
      <c r="D2096" t="s">
        <v>3</v>
      </c>
      <c r="E2096" t="s">
        <v>52</v>
      </c>
      <c r="F2096" t="s">
        <v>53</v>
      </c>
      <c r="G2096" t="s">
        <v>757</v>
      </c>
      <c r="H2096" t="s">
        <v>42</v>
      </c>
      <c r="I2096" t="s">
        <v>67</v>
      </c>
      <c r="J2096" t="s">
        <v>3431</v>
      </c>
      <c r="K2096" t="s">
        <v>56</v>
      </c>
      <c r="M2096" t="s">
        <v>106</v>
      </c>
      <c r="P2096" t="s">
        <v>58</v>
      </c>
      <c r="Q2096" t="s">
        <v>47</v>
      </c>
      <c r="R2096" t="s">
        <v>48</v>
      </c>
      <c r="V2096" t="s">
        <v>49</v>
      </c>
      <c r="X2096" t="s">
        <v>49</v>
      </c>
      <c r="Y2096" t="s">
        <v>59</v>
      </c>
      <c r="Z2096" t="s">
        <v>3872</v>
      </c>
      <c r="AA2096" t="s">
        <v>3872</v>
      </c>
    </row>
    <row r="2097" spans="1:27" x14ac:dyDescent="0.35">
      <c r="A2097" t="str">
        <f t="shared" si="65"/>
        <v>1101F2</v>
      </c>
      <c r="B2097" t="str">
        <f t="shared" si="64"/>
        <v>1101</v>
      </c>
      <c r="C2097" t="s">
        <v>3438</v>
      </c>
      <c r="D2097" t="s">
        <v>4</v>
      </c>
      <c r="E2097" t="s">
        <v>77</v>
      </c>
      <c r="F2097" t="s">
        <v>78</v>
      </c>
      <c r="G2097" t="s">
        <v>757</v>
      </c>
      <c r="H2097" t="s">
        <v>42</v>
      </c>
      <c r="I2097" t="s">
        <v>67</v>
      </c>
      <c r="J2097" t="s">
        <v>3439</v>
      </c>
      <c r="M2097" t="s">
        <v>106</v>
      </c>
      <c r="P2097" t="s">
        <v>138</v>
      </c>
      <c r="Q2097" t="s">
        <v>47</v>
      </c>
      <c r="R2097" t="s">
        <v>48</v>
      </c>
      <c r="V2097" t="s">
        <v>49</v>
      </c>
      <c r="X2097" t="s">
        <v>49</v>
      </c>
      <c r="Y2097" t="s">
        <v>74</v>
      </c>
      <c r="Z2097" t="s">
        <v>3440</v>
      </c>
      <c r="AA2097" t="s">
        <v>3440</v>
      </c>
    </row>
    <row r="2098" spans="1:27" x14ac:dyDescent="0.35">
      <c r="A2098" t="str">
        <f t="shared" si="65"/>
        <v>1101D4</v>
      </c>
      <c r="B2098" t="str">
        <f t="shared" si="64"/>
        <v>1101</v>
      </c>
      <c r="C2098" t="s">
        <v>3441</v>
      </c>
      <c r="D2098" t="s">
        <v>3</v>
      </c>
      <c r="E2098" t="s">
        <v>52</v>
      </c>
      <c r="F2098" t="s">
        <v>53</v>
      </c>
      <c r="G2098" t="s">
        <v>757</v>
      </c>
      <c r="H2098" t="s">
        <v>42</v>
      </c>
      <c r="I2098" t="s">
        <v>43</v>
      </c>
      <c r="J2098" t="s">
        <v>3439</v>
      </c>
      <c r="K2098" t="s">
        <v>56</v>
      </c>
      <c r="M2098" t="s">
        <v>106</v>
      </c>
      <c r="P2098" t="s">
        <v>58</v>
      </c>
      <c r="Q2098" t="s">
        <v>47</v>
      </c>
      <c r="R2098" t="s">
        <v>48</v>
      </c>
      <c r="V2098" t="s">
        <v>49</v>
      </c>
      <c r="X2098" t="s">
        <v>49</v>
      </c>
      <c r="Y2098" t="s">
        <v>59</v>
      </c>
      <c r="Z2098" t="s">
        <v>1880</v>
      </c>
      <c r="AA2098" t="s">
        <v>1880</v>
      </c>
    </row>
    <row r="2099" spans="1:27" x14ac:dyDescent="0.35">
      <c r="A2099" t="str">
        <f t="shared" si="65"/>
        <v>1101D2</v>
      </c>
      <c r="B2099" t="str">
        <f t="shared" si="64"/>
        <v>1101</v>
      </c>
      <c r="C2099" t="s">
        <v>3442</v>
      </c>
      <c r="D2099" t="s">
        <v>2</v>
      </c>
      <c r="E2099" t="s">
        <v>62</v>
      </c>
      <c r="F2099" t="s">
        <v>63</v>
      </c>
      <c r="G2099" t="s">
        <v>757</v>
      </c>
      <c r="H2099" t="s">
        <v>42</v>
      </c>
      <c r="I2099" t="s">
        <v>43</v>
      </c>
      <c r="J2099" t="s">
        <v>3439</v>
      </c>
      <c r="K2099" t="s">
        <v>56</v>
      </c>
      <c r="M2099" t="s">
        <v>106</v>
      </c>
      <c r="P2099" t="s">
        <v>58</v>
      </c>
      <c r="Q2099" t="s">
        <v>47</v>
      </c>
      <c r="R2099" t="s">
        <v>48</v>
      </c>
      <c r="V2099" t="s">
        <v>49</v>
      </c>
      <c r="X2099" t="s">
        <v>49</v>
      </c>
      <c r="Y2099" t="s">
        <v>59</v>
      </c>
      <c r="Z2099" t="s">
        <v>1880</v>
      </c>
      <c r="AA2099" t="s">
        <v>1880</v>
      </c>
    </row>
    <row r="2100" spans="1:27" x14ac:dyDescent="0.35">
      <c r="A2100" t="str">
        <f t="shared" si="65"/>
        <v>1101F3</v>
      </c>
      <c r="B2100" t="str">
        <f t="shared" si="64"/>
        <v>1101</v>
      </c>
      <c r="C2100" t="s">
        <v>3443</v>
      </c>
      <c r="D2100" t="s">
        <v>5</v>
      </c>
      <c r="E2100" t="s">
        <v>40</v>
      </c>
      <c r="F2100" t="s">
        <v>73</v>
      </c>
      <c r="G2100" t="s">
        <v>757</v>
      </c>
      <c r="H2100" t="s">
        <v>42</v>
      </c>
      <c r="I2100" t="s">
        <v>67</v>
      </c>
      <c r="J2100" t="s">
        <v>3439</v>
      </c>
      <c r="M2100" t="s">
        <v>106</v>
      </c>
      <c r="P2100" t="s">
        <v>46</v>
      </c>
      <c r="Q2100" t="s">
        <v>47</v>
      </c>
      <c r="R2100" t="s">
        <v>48</v>
      </c>
      <c r="V2100" t="s">
        <v>49</v>
      </c>
      <c r="X2100" t="s">
        <v>49</v>
      </c>
      <c r="Y2100" t="s">
        <v>74</v>
      </c>
      <c r="Z2100" t="s">
        <v>3440</v>
      </c>
      <c r="AA2100" t="s">
        <v>3440</v>
      </c>
    </row>
    <row r="2101" spans="1:27" x14ac:dyDescent="0.35">
      <c r="A2101" t="str">
        <f t="shared" si="65"/>
        <v>1101C2</v>
      </c>
      <c r="B2101" t="str">
        <f t="shared" si="64"/>
        <v>1101</v>
      </c>
      <c r="C2101" t="s">
        <v>3444</v>
      </c>
      <c r="D2101" t="s">
        <v>1</v>
      </c>
      <c r="E2101" t="s">
        <v>65</v>
      </c>
      <c r="F2101" t="s">
        <v>66</v>
      </c>
      <c r="G2101" t="s">
        <v>757</v>
      </c>
      <c r="H2101" t="s">
        <v>42</v>
      </c>
      <c r="I2101" t="s">
        <v>67</v>
      </c>
      <c r="J2101" t="s">
        <v>3439</v>
      </c>
      <c r="M2101" t="s">
        <v>106</v>
      </c>
      <c r="P2101" t="s">
        <v>69</v>
      </c>
      <c r="Q2101" t="s">
        <v>47</v>
      </c>
      <c r="R2101" t="s">
        <v>48</v>
      </c>
      <c r="V2101" t="s">
        <v>49</v>
      </c>
      <c r="X2101" t="s">
        <v>49</v>
      </c>
      <c r="Y2101" t="s">
        <v>70</v>
      </c>
      <c r="Z2101" t="s">
        <v>3445</v>
      </c>
      <c r="AA2101" t="s">
        <v>3446</v>
      </c>
    </row>
    <row r="2102" spans="1:27" x14ac:dyDescent="0.35">
      <c r="A2102" t="str">
        <f t="shared" si="65"/>
        <v>1101D7</v>
      </c>
      <c r="B2102" t="str">
        <f t="shared" si="64"/>
        <v>1101</v>
      </c>
      <c r="C2102" t="s">
        <v>3447</v>
      </c>
      <c r="D2102" t="s">
        <v>6</v>
      </c>
      <c r="E2102" t="s">
        <v>94</v>
      </c>
      <c r="F2102" t="s">
        <v>111</v>
      </c>
      <c r="G2102" t="s">
        <v>757</v>
      </c>
      <c r="H2102" t="s">
        <v>42</v>
      </c>
      <c r="I2102" t="s">
        <v>43</v>
      </c>
      <c r="J2102" t="s">
        <v>3439</v>
      </c>
      <c r="M2102" t="s">
        <v>106</v>
      </c>
      <c r="P2102" t="s">
        <v>46</v>
      </c>
      <c r="Q2102" t="s">
        <v>47</v>
      </c>
      <c r="R2102" t="s">
        <v>48</v>
      </c>
      <c r="V2102" t="s">
        <v>49</v>
      </c>
      <c r="X2102" t="s">
        <v>49</v>
      </c>
      <c r="Y2102" t="s">
        <v>59</v>
      </c>
      <c r="Z2102" t="s">
        <v>1878</v>
      </c>
      <c r="AA2102" t="s">
        <v>1878</v>
      </c>
    </row>
    <row r="2103" spans="1:27" x14ac:dyDescent="0.35">
      <c r="A2103" t="str">
        <f t="shared" si="65"/>
        <v>111_F3</v>
      </c>
      <c r="B2103" t="str">
        <f t="shared" si="64"/>
        <v>111_</v>
      </c>
      <c r="C2103" t="s">
        <v>3448</v>
      </c>
      <c r="D2103" t="s">
        <v>5</v>
      </c>
      <c r="E2103" t="s">
        <v>40</v>
      </c>
      <c r="F2103" t="s">
        <v>73</v>
      </c>
      <c r="G2103" t="s">
        <v>757</v>
      </c>
      <c r="H2103" t="s">
        <v>42</v>
      </c>
      <c r="I2103" t="s">
        <v>67</v>
      </c>
      <c r="J2103" t="s">
        <v>3449</v>
      </c>
      <c r="M2103" t="s">
        <v>106</v>
      </c>
      <c r="P2103" t="s">
        <v>46</v>
      </c>
      <c r="Q2103" t="s">
        <v>47</v>
      </c>
      <c r="R2103" t="s">
        <v>48</v>
      </c>
      <c r="V2103" t="s">
        <v>49</v>
      </c>
      <c r="X2103" t="s">
        <v>49</v>
      </c>
      <c r="Y2103" t="s">
        <v>74</v>
      </c>
      <c r="Z2103" t="s">
        <v>3603</v>
      </c>
      <c r="AA2103" t="s">
        <v>3603</v>
      </c>
    </row>
    <row r="2104" spans="1:27" x14ac:dyDescent="0.35">
      <c r="A2104" t="str">
        <f t="shared" si="65"/>
        <v>111_F2</v>
      </c>
      <c r="B2104" t="str">
        <f t="shared" si="64"/>
        <v>111_</v>
      </c>
      <c r="C2104" t="s">
        <v>3450</v>
      </c>
      <c r="D2104" t="s">
        <v>4</v>
      </c>
      <c r="E2104" t="s">
        <v>77</v>
      </c>
      <c r="F2104" t="s">
        <v>78</v>
      </c>
      <c r="G2104" t="s">
        <v>757</v>
      </c>
      <c r="H2104" t="s">
        <v>42</v>
      </c>
      <c r="I2104" t="s">
        <v>67</v>
      </c>
      <c r="J2104" t="s">
        <v>3449</v>
      </c>
      <c r="M2104" t="s">
        <v>106</v>
      </c>
      <c r="P2104" t="s">
        <v>79</v>
      </c>
      <c r="Q2104" t="s">
        <v>47</v>
      </c>
      <c r="R2104" t="s">
        <v>48</v>
      </c>
      <c r="V2104" t="s">
        <v>49</v>
      </c>
      <c r="X2104" t="s">
        <v>49</v>
      </c>
      <c r="Y2104" t="s">
        <v>74</v>
      </c>
      <c r="Z2104" t="s">
        <v>3603</v>
      </c>
      <c r="AA2104" t="s">
        <v>3603</v>
      </c>
    </row>
    <row r="2105" spans="1:27" x14ac:dyDescent="0.35">
      <c r="A2105" t="str">
        <f t="shared" si="65"/>
        <v>111_C2</v>
      </c>
      <c r="B2105" t="str">
        <f t="shared" si="64"/>
        <v>111_</v>
      </c>
      <c r="C2105" t="s">
        <v>3451</v>
      </c>
      <c r="D2105" t="s">
        <v>1</v>
      </c>
      <c r="E2105" t="s">
        <v>65</v>
      </c>
      <c r="F2105" t="s">
        <v>66</v>
      </c>
      <c r="G2105" t="s">
        <v>757</v>
      </c>
      <c r="H2105" t="s">
        <v>42</v>
      </c>
      <c r="I2105" t="s">
        <v>67</v>
      </c>
      <c r="J2105" t="s">
        <v>3449</v>
      </c>
      <c r="M2105" t="s">
        <v>106</v>
      </c>
      <c r="P2105" t="s">
        <v>69</v>
      </c>
      <c r="Q2105" t="s">
        <v>47</v>
      </c>
      <c r="R2105" t="s">
        <v>48</v>
      </c>
      <c r="V2105" t="s">
        <v>49</v>
      </c>
      <c r="X2105" t="s">
        <v>49</v>
      </c>
      <c r="Y2105" t="s">
        <v>70</v>
      </c>
      <c r="Z2105" t="s">
        <v>3997</v>
      </c>
      <c r="AA2105" t="s">
        <v>3997</v>
      </c>
    </row>
    <row r="2106" spans="1:27" x14ac:dyDescent="0.35">
      <c r="A2106" t="str">
        <f t="shared" si="65"/>
        <v>111_D2</v>
      </c>
      <c r="B2106" t="str">
        <f t="shared" si="64"/>
        <v>111_</v>
      </c>
      <c r="C2106" t="s">
        <v>3452</v>
      </c>
      <c r="D2106" t="s">
        <v>2</v>
      </c>
      <c r="E2106" t="s">
        <v>62</v>
      </c>
      <c r="F2106" t="s">
        <v>63</v>
      </c>
      <c r="G2106" t="s">
        <v>757</v>
      </c>
      <c r="H2106" t="s">
        <v>42</v>
      </c>
      <c r="I2106" t="s">
        <v>67</v>
      </c>
      <c r="J2106" t="s">
        <v>3449</v>
      </c>
      <c r="K2106" t="s">
        <v>56</v>
      </c>
      <c r="M2106" t="s">
        <v>106</v>
      </c>
      <c r="P2106" t="s">
        <v>58</v>
      </c>
      <c r="Q2106" t="s">
        <v>47</v>
      </c>
      <c r="R2106" t="s">
        <v>48</v>
      </c>
      <c r="V2106" t="s">
        <v>49</v>
      </c>
      <c r="X2106" t="s">
        <v>49</v>
      </c>
      <c r="Y2106" t="s">
        <v>59</v>
      </c>
      <c r="Z2106" t="s">
        <v>4017</v>
      </c>
      <c r="AA2106" t="s">
        <v>4017</v>
      </c>
    </row>
    <row r="2107" spans="1:27" x14ac:dyDescent="0.35">
      <c r="A2107" t="str">
        <f t="shared" si="65"/>
        <v>111_D7</v>
      </c>
      <c r="B2107" t="str">
        <f t="shared" si="64"/>
        <v>111_</v>
      </c>
      <c r="C2107" t="s">
        <v>3453</v>
      </c>
      <c r="D2107" t="s">
        <v>6</v>
      </c>
      <c r="E2107" t="s">
        <v>94</v>
      </c>
      <c r="F2107" t="s">
        <v>111</v>
      </c>
      <c r="G2107" t="s">
        <v>757</v>
      </c>
      <c r="H2107" t="s">
        <v>42</v>
      </c>
      <c r="I2107" t="s">
        <v>67</v>
      </c>
      <c r="J2107" t="s">
        <v>3449</v>
      </c>
      <c r="M2107" t="s">
        <v>106</v>
      </c>
      <c r="P2107" t="s">
        <v>46</v>
      </c>
      <c r="Q2107" t="s">
        <v>47</v>
      </c>
      <c r="R2107" t="s">
        <v>48</v>
      </c>
      <c r="V2107" t="s">
        <v>49</v>
      </c>
      <c r="X2107" t="s">
        <v>49</v>
      </c>
      <c r="Y2107" t="s">
        <v>59</v>
      </c>
      <c r="Z2107" t="s">
        <v>3436</v>
      </c>
      <c r="AA2107" t="s">
        <v>3436</v>
      </c>
    </row>
    <row r="2108" spans="1:27" x14ac:dyDescent="0.35">
      <c r="A2108" t="str">
        <f t="shared" si="65"/>
        <v>111_D4</v>
      </c>
      <c r="B2108" t="str">
        <f t="shared" si="64"/>
        <v>111_</v>
      </c>
      <c r="C2108" t="s">
        <v>3454</v>
      </c>
      <c r="D2108" t="s">
        <v>3</v>
      </c>
      <c r="E2108" t="s">
        <v>52</v>
      </c>
      <c r="F2108" t="s">
        <v>53</v>
      </c>
      <c r="G2108" t="s">
        <v>757</v>
      </c>
      <c r="H2108" t="s">
        <v>42</v>
      </c>
      <c r="I2108" t="s">
        <v>67</v>
      </c>
      <c r="J2108" t="s">
        <v>3449</v>
      </c>
      <c r="K2108" t="s">
        <v>56</v>
      </c>
      <c r="M2108" t="s">
        <v>106</v>
      </c>
      <c r="P2108" t="s">
        <v>58</v>
      </c>
      <c r="Q2108" t="s">
        <v>47</v>
      </c>
      <c r="R2108" t="s">
        <v>48</v>
      </c>
      <c r="V2108" t="s">
        <v>49</v>
      </c>
      <c r="X2108" t="s">
        <v>49</v>
      </c>
      <c r="Y2108" t="s">
        <v>59</v>
      </c>
      <c r="Z2108" t="s">
        <v>3872</v>
      </c>
      <c r="AA2108" t="s">
        <v>3872</v>
      </c>
    </row>
    <row r="2109" spans="1:27" x14ac:dyDescent="0.35">
      <c r="A2109" t="str">
        <f t="shared" si="65"/>
        <v>110_F3</v>
      </c>
      <c r="B2109" t="str">
        <f t="shared" si="64"/>
        <v>110_</v>
      </c>
      <c r="C2109" t="s">
        <v>3455</v>
      </c>
      <c r="D2109" t="s">
        <v>5</v>
      </c>
      <c r="E2109" t="s">
        <v>40</v>
      </c>
      <c r="F2109" t="s">
        <v>73</v>
      </c>
      <c r="G2109" t="s">
        <v>757</v>
      </c>
      <c r="H2109" t="s">
        <v>42</v>
      </c>
      <c r="I2109" t="s">
        <v>67</v>
      </c>
      <c r="J2109" t="s">
        <v>3456</v>
      </c>
      <c r="M2109" t="s">
        <v>106</v>
      </c>
      <c r="P2109" t="s">
        <v>46</v>
      </c>
      <c r="Q2109" t="s">
        <v>47</v>
      </c>
      <c r="R2109" t="s">
        <v>48</v>
      </c>
      <c r="V2109" t="s">
        <v>49</v>
      </c>
      <c r="X2109" t="s">
        <v>49</v>
      </c>
      <c r="Y2109" t="s">
        <v>74</v>
      </c>
      <c r="Z2109" t="s">
        <v>3603</v>
      </c>
      <c r="AA2109" t="s">
        <v>3603</v>
      </c>
    </row>
    <row r="2110" spans="1:27" x14ac:dyDescent="0.35">
      <c r="A2110" t="str">
        <f t="shared" si="65"/>
        <v>110_F2</v>
      </c>
      <c r="B2110" t="str">
        <f t="shared" si="64"/>
        <v>110_</v>
      </c>
      <c r="C2110" t="s">
        <v>3457</v>
      </c>
      <c r="D2110" t="s">
        <v>4</v>
      </c>
      <c r="E2110" t="s">
        <v>77</v>
      </c>
      <c r="F2110" t="s">
        <v>78</v>
      </c>
      <c r="G2110" t="s">
        <v>757</v>
      </c>
      <c r="H2110" t="s">
        <v>42</v>
      </c>
      <c r="I2110" t="s">
        <v>67</v>
      </c>
      <c r="J2110" t="s">
        <v>3456</v>
      </c>
      <c r="M2110" t="s">
        <v>106</v>
      </c>
      <c r="P2110" t="s">
        <v>79</v>
      </c>
      <c r="Q2110" t="s">
        <v>47</v>
      </c>
      <c r="R2110" t="s">
        <v>48</v>
      </c>
      <c r="V2110" t="s">
        <v>49</v>
      </c>
      <c r="X2110" t="s">
        <v>49</v>
      </c>
      <c r="Y2110" t="s">
        <v>74</v>
      </c>
      <c r="Z2110" t="s">
        <v>3603</v>
      </c>
      <c r="AA2110" t="s">
        <v>3603</v>
      </c>
    </row>
    <row r="2111" spans="1:27" x14ac:dyDescent="0.35">
      <c r="A2111" t="str">
        <f t="shared" si="65"/>
        <v>110_C2</v>
      </c>
      <c r="B2111" t="str">
        <f t="shared" si="64"/>
        <v>110_</v>
      </c>
      <c r="C2111" t="s">
        <v>3458</v>
      </c>
      <c r="D2111" t="s">
        <v>1</v>
      </c>
      <c r="E2111" t="s">
        <v>65</v>
      </c>
      <c r="F2111" t="s">
        <v>66</v>
      </c>
      <c r="G2111" t="s">
        <v>757</v>
      </c>
      <c r="H2111" t="s">
        <v>42</v>
      </c>
      <c r="I2111" t="s">
        <v>67</v>
      </c>
      <c r="J2111" t="s">
        <v>3456</v>
      </c>
      <c r="M2111" t="s">
        <v>106</v>
      </c>
      <c r="P2111" t="s">
        <v>69</v>
      </c>
      <c r="Q2111" t="s">
        <v>47</v>
      </c>
      <c r="R2111" t="s">
        <v>48</v>
      </c>
      <c r="V2111" t="s">
        <v>49</v>
      </c>
      <c r="X2111" t="s">
        <v>49</v>
      </c>
      <c r="Y2111" t="s">
        <v>70</v>
      </c>
      <c r="Z2111" t="s">
        <v>3873</v>
      </c>
      <c r="AA2111" t="s">
        <v>3873</v>
      </c>
    </row>
    <row r="2112" spans="1:27" x14ac:dyDescent="0.35">
      <c r="A2112" t="str">
        <f t="shared" si="65"/>
        <v>110_D2</v>
      </c>
      <c r="B2112" t="str">
        <f t="shared" si="64"/>
        <v>110_</v>
      </c>
      <c r="C2112" t="s">
        <v>3459</v>
      </c>
      <c r="D2112" t="s">
        <v>2</v>
      </c>
      <c r="E2112" t="s">
        <v>62</v>
      </c>
      <c r="F2112" t="s">
        <v>63</v>
      </c>
      <c r="G2112" t="s">
        <v>757</v>
      </c>
      <c r="H2112" t="s">
        <v>42</v>
      </c>
      <c r="I2112" t="s">
        <v>67</v>
      </c>
      <c r="J2112" t="s">
        <v>3456</v>
      </c>
      <c r="K2112" t="s">
        <v>56</v>
      </c>
      <c r="M2112" t="s">
        <v>106</v>
      </c>
      <c r="P2112" t="s">
        <v>58</v>
      </c>
      <c r="Q2112" t="s">
        <v>47</v>
      </c>
      <c r="R2112" t="s">
        <v>48</v>
      </c>
      <c r="V2112" t="s">
        <v>49</v>
      </c>
      <c r="X2112" t="s">
        <v>49</v>
      </c>
      <c r="Y2112" t="s">
        <v>59</v>
      </c>
      <c r="Z2112" t="s">
        <v>4016</v>
      </c>
      <c r="AA2112" t="s">
        <v>4016</v>
      </c>
    </row>
    <row r="2113" spans="1:27" x14ac:dyDescent="0.35">
      <c r="A2113" t="str">
        <f t="shared" si="65"/>
        <v>110_D7</v>
      </c>
      <c r="B2113" t="str">
        <f t="shared" si="64"/>
        <v>110_</v>
      </c>
      <c r="C2113" t="s">
        <v>3460</v>
      </c>
      <c r="D2113" t="s">
        <v>6</v>
      </c>
      <c r="E2113" t="s">
        <v>94</v>
      </c>
      <c r="F2113" t="s">
        <v>111</v>
      </c>
      <c r="G2113" t="s">
        <v>757</v>
      </c>
      <c r="H2113" t="s">
        <v>42</v>
      </c>
      <c r="I2113" t="s">
        <v>67</v>
      </c>
      <c r="J2113" t="s">
        <v>3456</v>
      </c>
      <c r="M2113" t="s">
        <v>106</v>
      </c>
      <c r="P2113" t="s">
        <v>46</v>
      </c>
      <c r="Q2113" t="s">
        <v>47</v>
      </c>
      <c r="R2113" t="s">
        <v>48</v>
      </c>
      <c r="V2113" t="s">
        <v>49</v>
      </c>
      <c r="X2113" t="s">
        <v>49</v>
      </c>
      <c r="Y2113" t="s">
        <v>59</v>
      </c>
      <c r="Z2113" t="s">
        <v>3461</v>
      </c>
      <c r="AA2113" t="s">
        <v>3461</v>
      </c>
    </row>
    <row r="2114" spans="1:27" x14ac:dyDescent="0.35">
      <c r="A2114" t="str">
        <f t="shared" si="65"/>
        <v>110_D4</v>
      </c>
      <c r="B2114" t="str">
        <f t="shared" ref="B2114:B2132" si="66">LEFT($J:$J,4)</f>
        <v>110_</v>
      </c>
      <c r="C2114" t="s">
        <v>3462</v>
      </c>
      <c r="D2114" t="s">
        <v>3</v>
      </c>
      <c r="E2114" t="s">
        <v>52</v>
      </c>
      <c r="F2114" t="s">
        <v>53</v>
      </c>
      <c r="G2114" t="s">
        <v>757</v>
      </c>
      <c r="H2114" t="s">
        <v>42</v>
      </c>
      <c r="I2114" t="s">
        <v>67</v>
      </c>
      <c r="J2114" t="s">
        <v>3456</v>
      </c>
      <c r="K2114" t="s">
        <v>56</v>
      </c>
      <c r="M2114" t="s">
        <v>106</v>
      </c>
      <c r="P2114" t="s">
        <v>58</v>
      </c>
      <c r="Q2114" t="s">
        <v>47</v>
      </c>
      <c r="R2114" t="s">
        <v>48</v>
      </c>
      <c r="V2114" t="s">
        <v>49</v>
      </c>
      <c r="X2114" t="s">
        <v>49</v>
      </c>
      <c r="Y2114" t="s">
        <v>59</v>
      </c>
      <c r="Z2114" t="s">
        <v>3872</v>
      </c>
      <c r="AA2114" t="s">
        <v>3872</v>
      </c>
    </row>
    <row r="2115" spans="1:27" x14ac:dyDescent="0.35">
      <c r="A2115" t="str">
        <f t="shared" ref="A2115:A2132" si="67">B2115&amp;D2115</f>
        <v>109_F3</v>
      </c>
      <c r="B2115" t="str">
        <f t="shared" si="66"/>
        <v>109_</v>
      </c>
      <c r="C2115" t="s">
        <v>3463</v>
      </c>
      <c r="D2115" t="s">
        <v>5</v>
      </c>
      <c r="E2115" t="s">
        <v>40</v>
      </c>
      <c r="F2115" t="s">
        <v>73</v>
      </c>
      <c r="G2115" t="s">
        <v>757</v>
      </c>
      <c r="H2115" t="s">
        <v>42</v>
      </c>
      <c r="I2115" t="s">
        <v>67</v>
      </c>
      <c r="J2115" t="s">
        <v>3464</v>
      </c>
      <c r="M2115" t="s">
        <v>106</v>
      </c>
      <c r="P2115" t="s">
        <v>46</v>
      </c>
      <c r="Q2115" t="s">
        <v>47</v>
      </c>
      <c r="R2115" t="s">
        <v>48</v>
      </c>
      <c r="V2115" t="s">
        <v>49</v>
      </c>
      <c r="X2115" t="s">
        <v>49</v>
      </c>
      <c r="Y2115" t="s">
        <v>74</v>
      </c>
      <c r="Z2115" t="s">
        <v>3603</v>
      </c>
      <c r="AA2115" t="s">
        <v>3603</v>
      </c>
    </row>
    <row r="2116" spans="1:27" x14ac:dyDescent="0.35">
      <c r="A2116" t="str">
        <f t="shared" si="67"/>
        <v>109_F2</v>
      </c>
      <c r="B2116" t="str">
        <f t="shared" si="66"/>
        <v>109_</v>
      </c>
      <c r="C2116" t="s">
        <v>3465</v>
      </c>
      <c r="D2116" t="s">
        <v>4</v>
      </c>
      <c r="E2116" t="s">
        <v>77</v>
      </c>
      <c r="F2116" t="s">
        <v>78</v>
      </c>
      <c r="G2116" t="s">
        <v>757</v>
      </c>
      <c r="H2116" t="s">
        <v>42</v>
      </c>
      <c r="I2116" t="s">
        <v>67</v>
      </c>
      <c r="J2116" t="s">
        <v>3464</v>
      </c>
      <c r="M2116" t="s">
        <v>106</v>
      </c>
      <c r="P2116" t="s">
        <v>91</v>
      </c>
      <c r="Q2116" t="s">
        <v>47</v>
      </c>
      <c r="R2116" t="s">
        <v>48</v>
      </c>
      <c r="V2116" t="s">
        <v>49</v>
      </c>
      <c r="X2116" t="s">
        <v>49</v>
      </c>
      <c r="Y2116" t="s">
        <v>74</v>
      </c>
      <c r="Z2116" t="s">
        <v>3603</v>
      </c>
      <c r="AA2116" t="s">
        <v>3603</v>
      </c>
    </row>
    <row r="2117" spans="1:27" x14ac:dyDescent="0.35">
      <c r="A2117" t="str">
        <f t="shared" si="67"/>
        <v>109_C2</v>
      </c>
      <c r="B2117" t="str">
        <f t="shared" si="66"/>
        <v>109_</v>
      </c>
      <c r="C2117" t="s">
        <v>3466</v>
      </c>
      <c r="D2117" t="s">
        <v>1</v>
      </c>
      <c r="E2117" t="s">
        <v>65</v>
      </c>
      <c r="F2117" t="s">
        <v>66</v>
      </c>
      <c r="G2117" t="s">
        <v>757</v>
      </c>
      <c r="H2117" t="s">
        <v>42</v>
      </c>
      <c r="I2117" t="s">
        <v>67</v>
      </c>
      <c r="J2117" t="s">
        <v>3464</v>
      </c>
      <c r="M2117" t="s">
        <v>106</v>
      </c>
      <c r="P2117" t="s">
        <v>69</v>
      </c>
      <c r="Q2117" t="s">
        <v>47</v>
      </c>
      <c r="R2117" t="s">
        <v>48</v>
      </c>
      <c r="V2117" t="s">
        <v>49</v>
      </c>
      <c r="X2117" t="s">
        <v>49</v>
      </c>
      <c r="Y2117" t="s">
        <v>70</v>
      </c>
      <c r="Z2117" t="s">
        <v>3873</v>
      </c>
      <c r="AA2117" t="s">
        <v>3873</v>
      </c>
    </row>
    <row r="2118" spans="1:27" x14ac:dyDescent="0.35">
      <c r="A2118" t="str">
        <f t="shared" si="67"/>
        <v>109_D2</v>
      </c>
      <c r="B2118" t="str">
        <f t="shared" si="66"/>
        <v>109_</v>
      </c>
      <c r="C2118" t="s">
        <v>3467</v>
      </c>
      <c r="D2118" t="s">
        <v>2</v>
      </c>
      <c r="E2118" t="s">
        <v>62</v>
      </c>
      <c r="F2118" t="s">
        <v>63</v>
      </c>
      <c r="G2118" t="s">
        <v>757</v>
      </c>
      <c r="H2118" t="s">
        <v>42</v>
      </c>
      <c r="I2118" t="s">
        <v>67</v>
      </c>
      <c r="J2118" t="s">
        <v>3464</v>
      </c>
      <c r="K2118" t="s">
        <v>56</v>
      </c>
      <c r="M2118" t="s">
        <v>106</v>
      </c>
      <c r="P2118" t="s">
        <v>58</v>
      </c>
      <c r="Q2118" t="s">
        <v>47</v>
      </c>
      <c r="R2118" t="s">
        <v>48</v>
      </c>
      <c r="V2118" t="s">
        <v>49</v>
      </c>
      <c r="X2118" t="s">
        <v>49</v>
      </c>
      <c r="Y2118" t="s">
        <v>59</v>
      </c>
      <c r="Z2118" t="s">
        <v>4018</v>
      </c>
      <c r="AA2118" t="s">
        <v>4018</v>
      </c>
    </row>
    <row r="2119" spans="1:27" x14ac:dyDescent="0.35">
      <c r="A2119" t="str">
        <f t="shared" si="67"/>
        <v>109_D7</v>
      </c>
      <c r="B2119" t="str">
        <f t="shared" si="66"/>
        <v>109_</v>
      </c>
      <c r="C2119" t="s">
        <v>3468</v>
      </c>
      <c r="D2119" t="s">
        <v>6</v>
      </c>
      <c r="E2119" t="s">
        <v>94</v>
      </c>
      <c r="F2119" t="s">
        <v>111</v>
      </c>
      <c r="G2119" t="s">
        <v>757</v>
      </c>
      <c r="H2119" t="s">
        <v>42</v>
      </c>
      <c r="I2119" t="s">
        <v>67</v>
      </c>
      <c r="J2119" t="s">
        <v>3464</v>
      </c>
      <c r="M2119" t="s">
        <v>106</v>
      </c>
      <c r="P2119" t="s">
        <v>46</v>
      </c>
      <c r="Q2119" t="s">
        <v>47</v>
      </c>
      <c r="R2119" t="s">
        <v>48</v>
      </c>
      <c r="V2119" t="s">
        <v>49</v>
      </c>
      <c r="X2119" t="s">
        <v>49</v>
      </c>
      <c r="Y2119" t="s">
        <v>59</v>
      </c>
      <c r="Z2119" t="s">
        <v>3469</v>
      </c>
      <c r="AA2119" t="s">
        <v>3469</v>
      </c>
    </row>
    <row r="2120" spans="1:27" x14ac:dyDescent="0.35">
      <c r="A2120" t="str">
        <f t="shared" si="67"/>
        <v>109_D4</v>
      </c>
      <c r="B2120" t="str">
        <f t="shared" si="66"/>
        <v>109_</v>
      </c>
      <c r="C2120" t="s">
        <v>3470</v>
      </c>
      <c r="D2120" t="s">
        <v>3</v>
      </c>
      <c r="E2120" t="s">
        <v>52</v>
      </c>
      <c r="F2120" t="s">
        <v>53</v>
      </c>
      <c r="G2120" t="s">
        <v>757</v>
      </c>
      <c r="H2120" t="s">
        <v>42</v>
      </c>
      <c r="I2120" t="s">
        <v>67</v>
      </c>
      <c r="J2120" t="s">
        <v>3464</v>
      </c>
      <c r="K2120" t="s">
        <v>56</v>
      </c>
      <c r="M2120" t="s">
        <v>106</v>
      </c>
      <c r="P2120" t="s">
        <v>58</v>
      </c>
      <c r="Q2120" t="s">
        <v>47</v>
      </c>
      <c r="R2120" t="s">
        <v>48</v>
      </c>
      <c r="V2120" t="s">
        <v>49</v>
      </c>
      <c r="X2120" t="s">
        <v>49</v>
      </c>
      <c r="Y2120" t="s">
        <v>59</v>
      </c>
      <c r="Z2120" t="s">
        <v>3894</v>
      </c>
      <c r="AA2120" t="s">
        <v>3894</v>
      </c>
    </row>
    <row r="2121" spans="1:27" x14ac:dyDescent="0.35">
      <c r="A2121" t="str">
        <f t="shared" si="67"/>
        <v>108_F3</v>
      </c>
      <c r="B2121" t="str">
        <f t="shared" si="66"/>
        <v>108_</v>
      </c>
      <c r="C2121" t="s">
        <v>3471</v>
      </c>
      <c r="D2121" t="s">
        <v>5</v>
      </c>
      <c r="E2121" t="s">
        <v>40</v>
      </c>
      <c r="F2121" t="s">
        <v>73</v>
      </c>
      <c r="G2121" t="s">
        <v>757</v>
      </c>
      <c r="H2121" t="s">
        <v>42</v>
      </c>
      <c r="I2121" t="s">
        <v>67</v>
      </c>
      <c r="J2121" t="s">
        <v>3472</v>
      </c>
      <c r="M2121" t="s">
        <v>106</v>
      </c>
      <c r="P2121" t="s">
        <v>46</v>
      </c>
      <c r="Q2121" t="s">
        <v>47</v>
      </c>
      <c r="R2121" t="s">
        <v>48</v>
      </c>
      <c r="V2121" t="s">
        <v>49</v>
      </c>
      <c r="X2121" t="s">
        <v>49</v>
      </c>
      <c r="Y2121" t="s">
        <v>74</v>
      </c>
      <c r="Z2121" t="s">
        <v>3603</v>
      </c>
      <c r="AA2121" t="s">
        <v>3603</v>
      </c>
    </row>
    <row r="2122" spans="1:27" x14ac:dyDescent="0.35">
      <c r="A2122" t="str">
        <f t="shared" si="67"/>
        <v>108_F2</v>
      </c>
      <c r="B2122" t="str">
        <f t="shared" si="66"/>
        <v>108_</v>
      </c>
      <c r="C2122" t="s">
        <v>3473</v>
      </c>
      <c r="D2122" t="s">
        <v>4</v>
      </c>
      <c r="E2122" t="s">
        <v>77</v>
      </c>
      <c r="F2122" t="s">
        <v>78</v>
      </c>
      <c r="G2122" t="s">
        <v>757</v>
      </c>
      <c r="H2122" t="s">
        <v>42</v>
      </c>
      <c r="I2122" t="s">
        <v>67</v>
      </c>
      <c r="J2122" t="s">
        <v>3472</v>
      </c>
      <c r="M2122" t="s">
        <v>106</v>
      </c>
      <c r="P2122" t="s">
        <v>438</v>
      </c>
      <c r="Q2122" t="s">
        <v>47</v>
      </c>
      <c r="R2122" t="s">
        <v>48</v>
      </c>
      <c r="V2122" t="s">
        <v>49</v>
      </c>
      <c r="X2122" t="s">
        <v>49</v>
      </c>
      <c r="Y2122" t="s">
        <v>74</v>
      </c>
      <c r="Z2122" t="s">
        <v>3603</v>
      </c>
      <c r="AA2122" t="s">
        <v>3603</v>
      </c>
    </row>
    <row r="2123" spans="1:27" x14ac:dyDescent="0.35">
      <c r="A2123" t="str">
        <f t="shared" si="67"/>
        <v>108_C2</v>
      </c>
      <c r="B2123" t="str">
        <f t="shared" si="66"/>
        <v>108_</v>
      </c>
      <c r="C2123" t="s">
        <v>3474</v>
      </c>
      <c r="D2123" t="s">
        <v>1</v>
      </c>
      <c r="E2123" t="s">
        <v>65</v>
      </c>
      <c r="F2123" t="s">
        <v>66</v>
      </c>
      <c r="G2123" t="s">
        <v>757</v>
      </c>
      <c r="H2123" t="s">
        <v>42</v>
      </c>
      <c r="I2123" t="s">
        <v>67</v>
      </c>
      <c r="J2123" t="s">
        <v>3472</v>
      </c>
      <c r="M2123" t="s">
        <v>106</v>
      </c>
      <c r="P2123" t="s">
        <v>69</v>
      </c>
      <c r="Q2123" t="s">
        <v>47</v>
      </c>
      <c r="R2123" t="s">
        <v>48</v>
      </c>
      <c r="V2123" t="s">
        <v>49</v>
      </c>
      <c r="X2123" t="s">
        <v>49</v>
      </c>
      <c r="Y2123" t="s">
        <v>70</v>
      </c>
      <c r="Z2123" t="s">
        <v>3873</v>
      </c>
      <c r="AA2123" t="s">
        <v>3873</v>
      </c>
    </row>
    <row r="2124" spans="1:27" x14ac:dyDescent="0.35">
      <c r="A2124" t="str">
        <f t="shared" si="67"/>
        <v>108_D2</v>
      </c>
      <c r="B2124" t="str">
        <f t="shared" si="66"/>
        <v>108_</v>
      </c>
      <c r="C2124" t="s">
        <v>3475</v>
      </c>
      <c r="D2124" t="s">
        <v>2</v>
      </c>
      <c r="E2124" t="s">
        <v>62</v>
      </c>
      <c r="F2124" t="s">
        <v>63</v>
      </c>
      <c r="G2124" t="s">
        <v>757</v>
      </c>
      <c r="H2124" t="s">
        <v>42</v>
      </c>
      <c r="I2124" t="s">
        <v>67</v>
      </c>
      <c r="J2124" t="s">
        <v>3472</v>
      </c>
      <c r="K2124" t="s">
        <v>56</v>
      </c>
      <c r="M2124" t="s">
        <v>106</v>
      </c>
      <c r="P2124" t="s">
        <v>58</v>
      </c>
      <c r="Q2124" t="s">
        <v>47</v>
      </c>
      <c r="R2124" t="s">
        <v>48</v>
      </c>
      <c r="V2124" t="s">
        <v>49</v>
      </c>
      <c r="X2124" t="s">
        <v>49</v>
      </c>
      <c r="Y2124" t="s">
        <v>59</v>
      </c>
      <c r="Z2124" t="s">
        <v>4019</v>
      </c>
      <c r="AA2124" t="s">
        <v>4019</v>
      </c>
    </row>
    <row r="2125" spans="1:27" x14ac:dyDescent="0.35">
      <c r="A2125" t="str">
        <f t="shared" si="67"/>
        <v>108_D7</v>
      </c>
      <c r="B2125" t="str">
        <f t="shared" si="66"/>
        <v>108_</v>
      </c>
      <c r="C2125" t="s">
        <v>3476</v>
      </c>
      <c r="D2125" t="s">
        <v>6</v>
      </c>
      <c r="E2125" t="s">
        <v>94</v>
      </c>
      <c r="F2125" t="s">
        <v>111</v>
      </c>
      <c r="G2125" t="s">
        <v>757</v>
      </c>
      <c r="H2125" t="s">
        <v>42</v>
      </c>
      <c r="I2125" t="s">
        <v>67</v>
      </c>
      <c r="J2125" t="s">
        <v>3472</v>
      </c>
      <c r="M2125" t="s">
        <v>106</v>
      </c>
      <c r="P2125" t="s">
        <v>58</v>
      </c>
      <c r="Q2125" t="s">
        <v>47</v>
      </c>
      <c r="R2125" t="s">
        <v>48</v>
      </c>
      <c r="V2125" t="s">
        <v>49</v>
      </c>
      <c r="X2125" t="s">
        <v>49</v>
      </c>
      <c r="Y2125" t="s">
        <v>59</v>
      </c>
      <c r="Z2125" t="s">
        <v>3469</v>
      </c>
      <c r="AA2125" t="s">
        <v>3477</v>
      </c>
    </row>
    <row r="2126" spans="1:27" x14ac:dyDescent="0.35">
      <c r="A2126" t="str">
        <f t="shared" si="67"/>
        <v>108_D4</v>
      </c>
      <c r="B2126" t="str">
        <f t="shared" si="66"/>
        <v>108_</v>
      </c>
      <c r="C2126" t="s">
        <v>3478</v>
      </c>
      <c r="D2126" t="s">
        <v>3</v>
      </c>
      <c r="E2126" t="s">
        <v>52</v>
      </c>
      <c r="F2126" t="s">
        <v>53</v>
      </c>
      <c r="G2126" t="s">
        <v>757</v>
      </c>
      <c r="H2126" t="s">
        <v>42</v>
      </c>
      <c r="I2126" t="s">
        <v>67</v>
      </c>
      <c r="J2126" t="s">
        <v>3472</v>
      </c>
      <c r="K2126" t="s">
        <v>56</v>
      </c>
      <c r="M2126" t="s">
        <v>106</v>
      </c>
      <c r="P2126" t="s">
        <v>58</v>
      </c>
      <c r="Q2126" t="s">
        <v>47</v>
      </c>
      <c r="R2126" t="s">
        <v>48</v>
      </c>
      <c r="V2126" t="s">
        <v>49</v>
      </c>
      <c r="X2126" t="s">
        <v>49</v>
      </c>
      <c r="Y2126" t="s">
        <v>59</v>
      </c>
      <c r="Z2126" t="s">
        <v>3895</v>
      </c>
      <c r="AA2126" t="s">
        <v>3895</v>
      </c>
    </row>
    <row r="2127" spans="1:27" x14ac:dyDescent="0.35">
      <c r="A2127" t="str">
        <f t="shared" si="67"/>
        <v>202_C2</v>
      </c>
      <c r="B2127" t="str">
        <f t="shared" si="66"/>
        <v>202_</v>
      </c>
      <c r="C2127" t="s">
        <v>3479</v>
      </c>
      <c r="D2127" t="s">
        <v>1</v>
      </c>
      <c r="E2127" t="s">
        <v>65</v>
      </c>
      <c r="F2127" t="s">
        <v>66</v>
      </c>
      <c r="G2127" t="s">
        <v>3480</v>
      </c>
      <c r="H2127" t="s">
        <v>42</v>
      </c>
      <c r="I2127" t="s">
        <v>67</v>
      </c>
      <c r="J2127" t="s">
        <v>3585</v>
      </c>
      <c r="K2127" t="s">
        <v>3481</v>
      </c>
      <c r="M2127" t="s">
        <v>57</v>
      </c>
      <c r="P2127" t="s">
        <v>69</v>
      </c>
      <c r="Q2127" t="s">
        <v>47</v>
      </c>
      <c r="R2127" t="s">
        <v>48</v>
      </c>
      <c r="V2127" t="s">
        <v>49</v>
      </c>
      <c r="X2127" t="s">
        <v>49</v>
      </c>
      <c r="Y2127" t="s">
        <v>70</v>
      </c>
      <c r="Z2127" t="s">
        <v>3883</v>
      </c>
      <c r="AA2127" t="s">
        <v>3883</v>
      </c>
    </row>
    <row r="2128" spans="1:27" x14ac:dyDescent="0.35">
      <c r="A2128" t="str">
        <f t="shared" si="67"/>
        <v>202_F3</v>
      </c>
      <c r="B2128" t="str">
        <f t="shared" si="66"/>
        <v>202_</v>
      </c>
      <c r="C2128" t="s">
        <v>3482</v>
      </c>
      <c r="D2128" t="s">
        <v>5</v>
      </c>
      <c r="E2128" t="s">
        <v>40</v>
      </c>
      <c r="F2128" t="s">
        <v>73</v>
      </c>
      <c r="G2128" t="s">
        <v>3483</v>
      </c>
      <c r="H2128" t="s">
        <v>42</v>
      </c>
      <c r="I2128" t="s">
        <v>67</v>
      </c>
      <c r="J2128" t="s">
        <v>3585</v>
      </c>
      <c r="K2128" t="s">
        <v>3481</v>
      </c>
      <c r="M2128" t="s">
        <v>57</v>
      </c>
      <c r="P2128" t="s">
        <v>46</v>
      </c>
      <c r="Q2128" t="s">
        <v>47</v>
      </c>
      <c r="R2128" t="s">
        <v>48</v>
      </c>
      <c r="V2128" t="s">
        <v>49</v>
      </c>
      <c r="X2128" t="s">
        <v>49</v>
      </c>
      <c r="Y2128" t="s">
        <v>74</v>
      </c>
      <c r="Z2128" t="s">
        <v>2007</v>
      </c>
      <c r="AA2128" t="s">
        <v>2007</v>
      </c>
    </row>
    <row r="2129" spans="1:27" x14ac:dyDescent="0.35">
      <c r="A2129" t="str">
        <f t="shared" si="67"/>
        <v>202_F2</v>
      </c>
      <c r="B2129" t="str">
        <f t="shared" si="66"/>
        <v>202_</v>
      </c>
      <c r="C2129" t="s">
        <v>3484</v>
      </c>
      <c r="D2129" t="s">
        <v>4</v>
      </c>
      <c r="E2129" t="s">
        <v>77</v>
      </c>
      <c r="F2129" t="s">
        <v>78</v>
      </c>
      <c r="G2129" t="s">
        <v>3485</v>
      </c>
      <c r="H2129" t="s">
        <v>42</v>
      </c>
      <c r="I2129" t="s">
        <v>67</v>
      </c>
      <c r="J2129" t="s">
        <v>3585</v>
      </c>
      <c r="K2129" t="s">
        <v>3481</v>
      </c>
      <c r="M2129" t="s">
        <v>57</v>
      </c>
      <c r="P2129" t="s">
        <v>178</v>
      </c>
      <c r="Q2129" t="s">
        <v>47</v>
      </c>
      <c r="R2129" t="s">
        <v>48</v>
      </c>
      <c r="V2129" t="s">
        <v>49</v>
      </c>
      <c r="X2129" t="s">
        <v>49</v>
      </c>
      <c r="Y2129" t="s">
        <v>74</v>
      </c>
      <c r="Z2129" t="s">
        <v>3604</v>
      </c>
      <c r="AA2129" t="s">
        <v>3604</v>
      </c>
    </row>
    <row r="2130" spans="1:27" x14ac:dyDescent="0.35">
      <c r="A2130" t="str">
        <f t="shared" si="67"/>
        <v>202_D7</v>
      </c>
      <c r="B2130" t="str">
        <f t="shared" si="66"/>
        <v>202_</v>
      </c>
      <c r="C2130" t="s">
        <v>3486</v>
      </c>
      <c r="D2130" t="s">
        <v>6</v>
      </c>
      <c r="E2130" t="s">
        <v>94</v>
      </c>
      <c r="F2130" t="s">
        <v>111</v>
      </c>
      <c r="G2130" t="s">
        <v>3487</v>
      </c>
      <c r="H2130" t="s">
        <v>42</v>
      </c>
      <c r="I2130" t="s">
        <v>67</v>
      </c>
      <c r="J2130" t="s">
        <v>3585</v>
      </c>
      <c r="K2130" t="s">
        <v>3481</v>
      </c>
      <c r="M2130" t="s">
        <v>57</v>
      </c>
      <c r="P2130" t="s">
        <v>46</v>
      </c>
      <c r="Q2130" t="s">
        <v>47</v>
      </c>
      <c r="R2130" t="s">
        <v>48</v>
      </c>
      <c r="V2130" t="s">
        <v>49</v>
      </c>
      <c r="X2130" t="s">
        <v>49</v>
      </c>
      <c r="Y2130" t="s">
        <v>59</v>
      </c>
      <c r="Z2130" t="s">
        <v>1429</v>
      </c>
      <c r="AA2130" t="s">
        <v>3488</v>
      </c>
    </row>
    <row r="2131" spans="1:27" x14ac:dyDescent="0.35">
      <c r="A2131" t="str">
        <f t="shared" si="67"/>
        <v>202_D4</v>
      </c>
      <c r="B2131" t="str">
        <f t="shared" si="66"/>
        <v>202_</v>
      </c>
      <c r="C2131" t="s">
        <v>3489</v>
      </c>
      <c r="D2131" t="s">
        <v>3</v>
      </c>
      <c r="E2131" t="s">
        <v>52</v>
      </c>
      <c r="F2131" t="s">
        <v>53</v>
      </c>
      <c r="G2131" t="s">
        <v>3490</v>
      </c>
      <c r="H2131" t="s">
        <v>42</v>
      </c>
      <c r="I2131" t="s">
        <v>67</v>
      </c>
      <c r="J2131" t="s">
        <v>3585</v>
      </c>
      <c r="K2131" t="s">
        <v>3481</v>
      </c>
      <c r="M2131" t="s">
        <v>57</v>
      </c>
      <c r="P2131" t="s">
        <v>58</v>
      </c>
      <c r="Q2131" t="s">
        <v>47</v>
      </c>
      <c r="R2131" t="s">
        <v>48</v>
      </c>
      <c r="V2131" t="s">
        <v>49</v>
      </c>
      <c r="X2131" t="s">
        <v>49</v>
      </c>
      <c r="Y2131" t="s">
        <v>59</v>
      </c>
      <c r="Z2131" t="s">
        <v>3883</v>
      </c>
      <c r="AA2131" t="s">
        <v>3883</v>
      </c>
    </row>
    <row r="2132" spans="1:27" x14ac:dyDescent="0.35">
      <c r="A2132" t="str">
        <f t="shared" si="67"/>
        <v>202_D2</v>
      </c>
      <c r="B2132" t="str">
        <f t="shared" si="66"/>
        <v>202_</v>
      </c>
      <c r="C2132" t="s">
        <v>3491</v>
      </c>
      <c r="D2132" t="s">
        <v>2</v>
      </c>
      <c r="E2132" t="s">
        <v>62</v>
      </c>
      <c r="F2132" t="s">
        <v>63</v>
      </c>
      <c r="G2132" t="s">
        <v>3490</v>
      </c>
      <c r="H2132" t="s">
        <v>42</v>
      </c>
      <c r="I2132" t="s">
        <v>67</v>
      </c>
      <c r="J2132" t="s">
        <v>3585</v>
      </c>
      <c r="K2132" t="s">
        <v>3481</v>
      </c>
      <c r="M2132" t="s">
        <v>57</v>
      </c>
      <c r="P2132" t="s">
        <v>58</v>
      </c>
      <c r="Q2132" t="s">
        <v>47</v>
      </c>
      <c r="R2132" t="s">
        <v>48</v>
      </c>
      <c r="V2132" t="s">
        <v>49</v>
      </c>
      <c r="X2132" t="s">
        <v>49</v>
      </c>
      <c r="Y2132" t="s">
        <v>59</v>
      </c>
      <c r="Z2132" t="s">
        <v>4003</v>
      </c>
      <c r="AA2132" t="s">
        <v>4003</v>
      </c>
    </row>
    <row r="2133" spans="1:27" x14ac:dyDescent="0.35"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1"/>
    </row>
    <row r="2136" spans="1:27" x14ac:dyDescent="0.35">
      <c r="F2136" s="45" t="s">
        <v>3818</v>
      </c>
    </row>
    <row r="2137" spans="1:27" x14ac:dyDescent="0.35">
      <c r="F2137" s="48" t="s">
        <v>3819</v>
      </c>
    </row>
    <row r="2138" spans="1:27" x14ac:dyDescent="0.35">
      <c r="F2138" s="46" t="s">
        <v>3816</v>
      </c>
    </row>
    <row r="2139" spans="1:27" x14ac:dyDescent="0.35">
      <c r="F2139" s="47" t="s">
        <v>3817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55BD9-21CA-45F8-8E36-05B1D5D432D2}">
  <dimension ref="C2:O10"/>
  <sheetViews>
    <sheetView topLeftCell="C2" workbookViewId="0">
      <selection activeCell="G7" sqref="G7"/>
    </sheetView>
  </sheetViews>
  <sheetFormatPr defaultRowHeight="14.5" x14ac:dyDescent="0.35"/>
  <cols>
    <col min="4" max="4" width="9.1796875" customWidth="1"/>
    <col min="5" max="7" width="11.453125" customWidth="1"/>
    <col min="8" max="8" width="12.453125" bestFit="1" customWidth="1"/>
    <col min="9" max="11" width="11.453125" customWidth="1"/>
  </cols>
  <sheetData>
    <row r="2" spans="3:15" ht="32" customHeight="1" x14ac:dyDescent="0.35"/>
    <row r="3" spans="3:15" ht="43" customHeight="1" x14ac:dyDescent="0.35">
      <c r="C3" s="88" t="s">
        <v>12</v>
      </c>
      <c r="D3" s="88"/>
      <c r="E3" s="89" t="s">
        <v>13</v>
      </c>
      <c r="F3" s="7" t="s">
        <v>3686</v>
      </c>
      <c r="G3" s="7" t="s">
        <v>3687</v>
      </c>
      <c r="H3" s="7" t="s">
        <v>3590</v>
      </c>
      <c r="I3" s="7" t="s">
        <v>3688</v>
      </c>
      <c r="J3" s="7" t="s">
        <v>3689</v>
      </c>
      <c r="K3" s="7" t="s">
        <v>3689</v>
      </c>
    </row>
    <row r="4" spans="3:15" ht="30.5" customHeight="1" x14ac:dyDescent="0.35">
      <c r="C4" s="88"/>
      <c r="D4" s="88"/>
      <c r="E4" s="89"/>
      <c r="F4" s="7" t="s">
        <v>1</v>
      </c>
      <c r="G4" s="7" t="s">
        <v>2</v>
      </c>
      <c r="H4" s="7" t="s">
        <v>3</v>
      </c>
      <c r="I4" s="7" t="s">
        <v>6</v>
      </c>
      <c r="J4" s="7" t="s">
        <v>4</v>
      </c>
      <c r="K4" s="7" t="s">
        <v>5</v>
      </c>
    </row>
    <row r="5" spans="3:15" ht="30.5" customHeight="1" x14ac:dyDescent="0.35">
      <c r="C5" s="88"/>
      <c r="D5" s="88"/>
      <c r="E5" s="4" t="s">
        <v>7</v>
      </c>
      <c r="F5" s="9">
        <f>COUNTA(STAMP!B2:B356)</f>
        <v>355</v>
      </c>
      <c r="G5" s="9">
        <f>COUNTA(STAMP!C2:C356)</f>
        <v>355</v>
      </c>
      <c r="H5" s="9">
        <f>COUNTA(STAMP!D2:D356)</f>
        <v>355</v>
      </c>
      <c r="I5" s="9">
        <f>COUNTA(STAMP!E2:E356)</f>
        <v>355</v>
      </c>
      <c r="J5" s="9">
        <f>COUNTA(STAMP!F2:F356)</f>
        <v>355</v>
      </c>
      <c r="K5" s="9">
        <f>COUNTA(STAMP!G2:G356)</f>
        <v>355</v>
      </c>
    </row>
    <row r="6" spans="3:15" ht="30.5" customHeight="1" x14ac:dyDescent="0.35">
      <c r="C6" s="88"/>
      <c r="D6" s="88"/>
      <c r="E6" s="43" t="s">
        <v>8</v>
      </c>
      <c r="F6" s="44">
        <f>COUNTIF(STAMP!B2:B356,"open")</f>
        <v>0</v>
      </c>
      <c r="G6" s="44">
        <f>COUNTIF(STAMP!C2:C356,"open")</f>
        <v>0</v>
      </c>
      <c r="H6" s="44">
        <f>COUNTIF(STAMP!D2:D356,"open")</f>
        <v>0</v>
      </c>
      <c r="I6" s="44">
        <f>COUNTIF(STAMP!E2:E356,"open")</f>
        <v>0</v>
      </c>
      <c r="J6" s="44">
        <f>COUNTIF(STAMP!F2:F356,"open")</f>
        <v>0</v>
      </c>
      <c r="K6" s="44">
        <f>COUNTIF(STAMP!G2:G356,"open")</f>
        <v>0</v>
      </c>
      <c r="M6" s="67"/>
      <c r="O6" s="69"/>
    </row>
    <row r="7" spans="3:15" ht="30.5" customHeight="1" x14ac:dyDescent="0.35">
      <c r="C7" s="88"/>
      <c r="D7" s="88"/>
      <c r="E7" s="38" t="s">
        <v>10</v>
      </c>
      <c r="F7" s="63">
        <f>COUNTIF(STAMP!B2:B356,"review")</f>
        <v>0</v>
      </c>
      <c r="G7" s="63">
        <f>COUNTIF(STAMP!C2:C356,"review")</f>
        <v>4</v>
      </c>
      <c r="H7" s="63">
        <f>COUNTIF(STAMP!D2:D356,"review")</f>
        <v>0</v>
      </c>
      <c r="I7" s="63">
        <f>COUNTIF(STAMP!E2:E356,"review")</f>
        <v>0</v>
      </c>
      <c r="J7" s="63">
        <f>COUNTIF(STAMP!F2:F356,"review")</f>
        <v>0</v>
      </c>
      <c r="K7" s="63">
        <f>COUNTIF(STAMP!G2:G356,"review")</f>
        <v>0</v>
      </c>
      <c r="M7" s="67"/>
      <c r="O7" s="2"/>
    </row>
    <row r="8" spans="3:15" ht="30.5" customHeight="1" x14ac:dyDescent="0.35">
      <c r="C8" s="88"/>
      <c r="D8" s="88"/>
      <c r="E8" s="39" t="s">
        <v>9</v>
      </c>
      <c r="F8" s="40">
        <f>COUNTIF(STAMP!B2:B356,"pending")</f>
        <v>0</v>
      </c>
      <c r="G8" s="40">
        <f>COUNTIF(STAMP!C2:C356,"pending")</f>
        <v>0</v>
      </c>
      <c r="H8" s="40">
        <f>COUNTIF(STAMP!D2:D356,"pending")</f>
        <v>0</v>
      </c>
      <c r="I8" s="40">
        <f>COUNTIF(STAMP!E2:E356,"pending")</f>
        <v>0</v>
      </c>
      <c r="J8" s="40">
        <f>COUNTIF(STAMP!F2:F356,"pending")</f>
        <v>0</v>
      </c>
      <c r="K8" s="40">
        <f>COUNTIF(STAMP!G2:G356,"pending")</f>
        <v>0</v>
      </c>
      <c r="O8" s="2"/>
    </row>
    <row r="9" spans="3:15" ht="30.5" customHeight="1" x14ac:dyDescent="0.35">
      <c r="C9" s="88"/>
      <c r="D9" s="88"/>
      <c r="E9" s="41" t="s">
        <v>11</v>
      </c>
      <c r="F9" s="42">
        <f>COUNTIF(STAMP!B2:B356,"closed")</f>
        <v>355</v>
      </c>
      <c r="G9" s="42">
        <f>COUNTIF(STAMP!C2:C356,"closed")</f>
        <v>351</v>
      </c>
      <c r="H9" s="42">
        <f>COUNTIF(STAMP!D2:D356,"closed")</f>
        <v>355</v>
      </c>
      <c r="I9" s="42">
        <f>COUNTIF(STAMP!E2:E356,"closed")</f>
        <v>355</v>
      </c>
      <c r="J9" s="42">
        <f>COUNTIF(STAMP!F2:F356,"closed")</f>
        <v>355</v>
      </c>
      <c r="K9" s="42">
        <f>COUNTIF(STAMP!G2:G356,"closed")</f>
        <v>355</v>
      </c>
      <c r="O9" s="2"/>
    </row>
    <row r="10" spans="3:15" ht="30.5" customHeight="1" x14ac:dyDescent="0.35">
      <c r="C10" s="88"/>
      <c r="D10" s="88"/>
      <c r="E10" s="5" t="s">
        <v>3502</v>
      </c>
      <c r="F10" s="6">
        <f>(F8+F9)/F5</f>
        <v>1</v>
      </c>
      <c r="G10" s="6">
        <f>(G8+G9)/G5</f>
        <v>0.9887323943661972</v>
      </c>
      <c r="H10" s="6">
        <f t="shared" ref="H10:K10" si="0">(H8+H9)/H5</f>
        <v>1</v>
      </c>
      <c r="I10" s="6">
        <f t="shared" si="0"/>
        <v>1</v>
      </c>
      <c r="J10" s="6">
        <f t="shared" si="0"/>
        <v>1</v>
      </c>
      <c r="K10" s="6">
        <f t="shared" si="0"/>
        <v>1</v>
      </c>
    </row>
  </sheetData>
  <mergeCells count="2">
    <mergeCell ref="C3:D10"/>
    <mergeCell ref="E3:E4"/>
  </mergeCells>
  <conditionalFormatting sqref="E6:K6">
    <cfRule type="cellIs" dxfId="203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B711-F945-4D8B-85A5-4654A9B99F03}">
  <dimension ref="A1:H446"/>
  <sheetViews>
    <sheetView zoomScale="132" zoomScaleNormal="11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2" sqref="C2:C5"/>
    </sheetView>
  </sheetViews>
  <sheetFormatPr defaultRowHeight="14.5" x14ac:dyDescent="0.35"/>
  <cols>
    <col min="4" max="5" width="7.90625" bestFit="1" customWidth="1"/>
    <col min="6" max="7" width="7.6328125" bestFit="1" customWidth="1"/>
    <col min="8" max="8" width="26.26953125" bestFit="1" customWidth="1"/>
    <col min="11" max="11" width="10.90625" customWidth="1"/>
    <col min="12" max="12" width="11.26953125" customWidth="1"/>
  </cols>
  <sheetData>
    <row r="1" spans="1:8" ht="22.5" customHeight="1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4</v>
      </c>
      <c r="G1" s="31" t="s">
        <v>5</v>
      </c>
      <c r="H1" s="32" t="s">
        <v>3587</v>
      </c>
    </row>
    <row r="2" spans="1:8" ht="22.5" customHeight="1" thickBot="1" x14ac:dyDescent="0.4">
      <c r="A2" s="8">
        <v>1609</v>
      </c>
      <c r="B2" s="1" t="str">
        <f>_xlfn.XLOOKUP(_xlfn.CONCAT(A2,$B$1),PLANGRID!$A:$A,PLANGRID!$H:$H)</f>
        <v>closed</v>
      </c>
      <c r="C2" s="1" t="str">
        <f>_xlfn.XLOOKUP(_xlfn.CONCAT(A2,$C$1),PLANGRID!$A:$A,PLANGRID!$H:$H)</f>
        <v>review</v>
      </c>
      <c r="D2" s="1" t="str">
        <f>_xlfn.XLOOKUP(_xlfn.CONCAT(A2,$D$1),PLANGRID!$A:$A,PLANGRID!$H:$H)</f>
        <v>closed</v>
      </c>
      <c r="E2" s="1" t="str">
        <f>_xlfn.XLOOKUP(_xlfn.CONCAT(A2,$E$1),PLANGRID!$A:$A,PLANGRID!$H:$H)</f>
        <v>closed</v>
      </c>
      <c r="F2" s="1" t="str">
        <f>_xlfn.XLOOKUP(_xlfn.CONCAT(A2,$F$1),PLANGRID!$A:$A,PLANGRID!$H:$H)</f>
        <v>closed</v>
      </c>
      <c r="G2" s="14" t="str">
        <f>_xlfn.XLOOKUP(_xlfn.CONCAT(A2,$G$1),PLANGRID!$A:$A,PLANGRID!$H:$H)</f>
        <v>closed</v>
      </c>
      <c r="H2" s="33" t="s">
        <v>3589</v>
      </c>
    </row>
    <row r="3" spans="1:8" ht="22.5" customHeight="1" thickBot="1" x14ac:dyDescent="0.4">
      <c r="A3" s="12" t="s">
        <v>3573</v>
      </c>
      <c r="B3" s="1" t="str">
        <f>_xlfn.XLOOKUP(_xlfn.CONCAT(A3,$B$1),PLANGRID!$A:$A,PLANGRID!$H:$H)</f>
        <v>closed</v>
      </c>
      <c r="C3" s="1" t="str">
        <f>_xlfn.XLOOKUP(_xlfn.CONCAT(A3,$C$1),PLANGRID!$A:$A,PLANGRID!$H:$H)</f>
        <v>review</v>
      </c>
      <c r="D3" s="1" t="str">
        <f>_xlfn.XLOOKUP(_xlfn.CONCAT(A3,$D$1),PLANGRID!$A:$A,PLANGRID!$H:$H)</f>
        <v>closed</v>
      </c>
      <c r="E3" s="1" t="str">
        <f>_xlfn.XLOOKUP(_xlfn.CONCAT(A3,$E$1),PLANGRID!$A:$A,PLANGRID!$H:$H)</f>
        <v>closed</v>
      </c>
      <c r="F3" s="1" t="str">
        <f>_xlfn.XLOOKUP(_xlfn.CONCAT(A3,$F$1),PLANGRID!$A:$A,PLANGRID!$H:$H)</f>
        <v>closed</v>
      </c>
      <c r="G3" s="14" t="str">
        <f>_xlfn.XLOOKUP(_xlfn.CONCAT(A3,$G$1),PLANGRID!$A:$A,PLANGRID!$H:$H)</f>
        <v>closed</v>
      </c>
      <c r="H3" s="33" t="s">
        <v>3588</v>
      </c>
    </row>
    <row r="4" spans="1:8" ht="22.5" customHeight="1" thickBot="1" x14ac:dyDescent="0.4">
      <c r="A4" s="8">
        <v>1009</v>
      </c>
      <c r="B4" s="1" t="str">
        <f>_xlfn.XLOOKUP(_xlfn.CONCAT(A4,$B$1),PLANGRID!$A:$A,PLANGRID!$H:$H)</f>
        <v>closed</v>
      </c>
      <c r="C4" s="1" t="str">
        <f>_xlfn.XLOOKUP(_xlfn.CONCAT(A4,$C$1),PLANGRID!$A:$A,PLANGRID!$H:$H)</f>
        <v>review</v>
      </c>
      <c r="D4" s="1" t="str">
        <f>_xlfn.XLOOKUP(_xlfn.CONCAT(A4,$D$1),PLANGRID!$A:$A,PLANGRID!$H:$H)</f>
        <v>closed</v>
      </c>
      <c r="E4" s="1" t="str">
        <f>_xlfn.XLOOKUP(_xlfn.CONCAT(A4,$E$1),PLANGRID!$A:$A,PLANGRID!$H:$H)</f>
        <v>closed</v>
      </c>
      <c r="F4" s="1" t="str">
        <f>_xlfn.XLOOKUP(_xlfn.CONCAT(A4,$F$1),PLANGRID!$A:$A,PLANGRID!$H:$H)</f>
        <v>closed</v>
      </c>
      <c r="G4" s="14" t="str">
        <f>_xlfn.XLOOKUP(_xlfn.CONCAT(A4,$G$1),PLANGRID!$A:$A,PLANGRID!$H:$H)</f>
        <v>closed</v>
      </c>
      <c r="H4" s="33" t="s">
        <v>3588</v>
      </c>
    </row>
    <row r="5" spans="1:8" ht="22.5" customHeight="1" thickBot="1" x14ac:dyDescent="0.4">
      <c r="A5" s="8">
        <v>1409</v>
      </c>
      <c r="B5" s="1" t="str">
        <f>_xlfn.XLOOKUP(_xlfn.CONCAT(A5,$B$1),PLANGRID!$A:$A,PLANGRID!$H:$H)</f>
        <v>closed</v>
      </c>
      <c r="C5" s="1" t="str">
        <f>_xlfn.XLOOKUP(_xlfn.CONCAT(A5,$C$1),PLANGRID!$A:$A,PLANGRID!$H:$H)</f>
        <v>review</v>
      </c>
      <c r="D5" s="1" t="str">
        <f>_xlfn.XLOOKUP(_xlfn.CONCAT(A5,$D$1),PLANGRID!$A:$A,PLANGRID!$H:$H)</f>
        <v>closed</v>
      </c>
      <c r="E5" s="1" t="str">
        <f>_xlfn.XLOOKUP(_xlfn.CONCAT(A5,$E$1),PLANGRID!$A:$A,PLANGRID!$H:$H)</f>
        <v>closed</v>
      </c>
      <c r="F5" s="1" t="str">
        <f>_xlfn.XLOOKUP(_xlfn.CONCAT(A5,$F$1),PLANGRID!$A:$A,PLANGRID!$H:$H)</f>
        <v>closed</v>
      </c>
      <c r="G5" s="14" t="str">
        <f>_xlfn.XLOOKUP(_xlfn.CONCAT(A5,$G$1),PLANGRID!$A:$A,PLANGRID!$H:$H)</f>
        <v>closed</v>
      </c>
      <c r="H5" s="33" t="s">
        <v>3588</v>
      </c>
    </row>
    <row r="6" spans="1:8" ht="22.5" customHeight="1" thickBot="1" x14ac:dyDescent="0.4">
      <c r="A6" s="35" t="s">
        <v>3494</v>
      </c>
      <c r="B6" s="1" t="str">
        <f>_xlfn.XLOOKUP(_xlfn.CONCAT(A6,$B$1),PLANGRID!$A:$A,PLANGRID!$H:$H)</f>
        <v>closed</v>
      </c>
      <c r="C6" s="1" t="str">
        <f>_xlfn.XLOOKUP(_xlfn.CONCAT(A6,$C$1),PLANGRID!$A:$A,PLANGRID!$H:$H)</f>
        <v>closed</v>
      </c>
      <c r="D6" s="1" t="str">
        <f>_xlfn.XLOOKUP(_xlfn.CONCAT(A6,$D$1),PLANGRID!$A:$A,PLANGRID!$H:$H)</f>
        <v>closed</v>
      </c>
      <c r="E6" s="1" t="str">
        <f>_xlfn.XLOOKUP(_xlfn.CONCAT(A6,$E$1),PLANGRID!$A:$A,PLANGRID!$H:$H)</f>
        <v>closed</v>
      </c>
      <c r="F6" s="1" t="str">
        <f>_xlfn.XLOOKUP(_xlfn.CONCAT(A6,$F$1),PLANGRID!$A:$A,PLANGRID!$H:$H)</f>
        <v>closed</v>
      </c>
      <c r="G6" s="14" t="str">
        <f>_xlfn.XLOOKUP(_xlfn.CONCAT(A6,$G$1),PLANGRID!$A:$A,PLANGRID!$H:$H)</f>
        <v>closed</v>
      </c>
      <c r="H6" s="33"/>
    </row>
    <row r="7" spans="1:8" ht="22.5" customHeight="1" thickBot="1" x14ac:dyDescent="0.4">
      <c r="A7" s="35" t="s">
        <v>3495</v>
      </c>
      <c r="B7" s="1" t="str">
        <f>_xlfn.XLOOKUP(_xlfn.CONCAT(A7,$B$1),PLANGRID!$A:$A,PLANGRID!$H:$H)</f>
        <v>closed</v>
      </c>
      <c r="C7" s="1" t="str">
        <f>_xlfn.XLOOKUP(_xlfn.CONCAT(A7,$C$1),PLANGRID!$A:$A,PLANGRID!$H:$H)</f>
        <v>closed</v>
      </c>
      <c r="D7" s="1" t="str">
        <f>_xlfn.XLOOKUP(_xlfn.CONCAT(A7,$D$1),PLANGRID!$A:$A,PLANGRID!$H:$H)</f>
        <v>closed</v>
      </c>
      <c r="E7" s="1" t="str">
        <f>_xlfn.XLOOKUP(_xlfn.CONCAT(A7,$E$1),PLANGRID!$A:$A,PLANGRID!$H:$H)</f>
        <v>closed</v>
      </c>
      <c r="F7" s="1" t="str">
        <f>_xlfn.XLOOKUP(_xlfn.CONCAT(A7,$F$1),PLANGRID!$A:$A,PLANGRID!$H:$H)</f>
        <v>closed</v>
      </c>
      <c r="G7" s="14" t="str">
        <f>_xlfn.XLOOKUP(_xlfn.CONCAT(A7,$G$1),PLANGRID!$A:$A,PLANGRID!$H:$H)</f>
        <v>closed</v>
      </c>
      <c r="H7" s="33"/>
    </row>
    <row r="8" spans="1:8" ht="22.5" customHeight="1" thickBot="1" x14ac:dyDescent="0.4">
      <c r="A8" s="35" t="s">
        <v>3496</v>
      </c>
      <c r="B8" s="1" t="str">
        <f>_xlfn.XLOOKUP(_xlfn.CONCAT(A8,$B$1),PLANGRID!$A:$A,PLANGRID!$H:$H)</f>
        <v>closed</v>
      </c>
      <c r="C8" s="1" t="str">
        <f>_xlfn.XLOOKUP(_xlfn.CONCAT(A8,$C$1),PLANGRID!$A:$A,PLANGRID!$H:$H)</f>
        <v>closed</v>
      </c>
      <c r="D8" s="1" t="str">
        <f>_xlfn.XLOOKUP(_xlfn.CONCAT(A8,$D$1),PLANGRID!$A:$A,PLANGRID!$H:$H)</f>
        <v>closed</v>
      </c>
      <c r="E8" s="1" t="str">
        <f>_xlfn.XLOOKUP(_xlfn.CONCAT(A8,$E$1),PLANGRID!$A:$A,PLANGRID!$H:$H)</f>
        <v>closed</v>
      </c>
      <c r="F8" s="1" t="str">
        <f>_xlfn.XLOOKUP(_xlfn.CONCAT(A8,$F$1),PLANGRID!$A:$A,PLANGRID!$H:$H)</f>
        <v>closed</v>
      </c>
      <c r="G8" s="14" t="str">
        <f>_xlfn.XLOOKUP(_xlfn.CONCAT(A8,$G$1),PLANGRID!$A:$A,PLANGRID!$H:$H)</f>
        <v>closed</v>
      </c>
      <c r="H8" s="33"/>
    </row>
    <row r="9" spans="1:8" ht="22.5" customHeight="1" thickBot="1" x14ac:dyDescent="0.4">
      <c r="A9" s="35" t="s">
        <v>3498</v>
      </c>
      <c r="B9" s="1" t="str">
        <f>_xlfn.XLOOKUP(_xlfn.CONCAT(A9,$B$1),PLANGRID!$A:$A,PLANGRID!$H:$H)</f>
        <v>closed</v>
      </c>
      <c r="C9" s="1" t="str">
        <f>_xlfn.XLOOKUP(_xlfn.CONCAT(A9,$C$1),PLANGRID!$A:$A,PLANGRID!$H:$H)</f>
        <v>closed</v>
      </c>
      <c r="D9" s="1" t="str">
        <f>_xlfn.XLOOKUP(_xlfn.CONCAT(A9,$D$1),PLANGRID!$A:$A,PLANGRID!$H:$H)</f>
        <v>closed</v>
      </c>
      <c r="E9" s="1" t="str">
        <f>_xlfn.XLOOKUP(_xlfn.CONCAT(A9,$E$1),PLANGRID!$A:$A,PLANGRID!$H:$H)</f>
        <v>closed</v>
      </c>
      <c r="F9" s="1" t="str">
        <f>_xlfn.XLOOKUP(_xlfn.CONCAT(A9,$F$1),PLANGRID!$A:$A,PLANGRID!$H:$H)</f>
        <v>closed</v>
      </c>
      <c r="G9" s="14" t="str">
        <f>_xlfn.XLOOKUP(_xlfn.CONCAT(A9,$G$1),PLANGRID!$A:$A,PLANGRID!$H:$H)</f>
        <v>closed</v>
      </c>
      <c r="H9" s="33"/>
    </row>
    <row r="10" spans="1:8" ht="22.5" customHeight="1" thickBot="1" x14ac:dyDescent="0.4">
      <c r="A10" s="8" t="s">
        <v>3499</v>
      </c>
      <c r="B10" s="1" t="str">
        <f>_xlfn.XLOOKUP(_xlfn.CONCAT(A10,$B$1),PLANGRID!$A:$A,PLANGRID!$H:$H)</f>
        <v>closed</v>
      </c>
      <c r="C10" s="1" t="str">
        <f>_xlfn.XLOOKUP(_xlfn.CONCAT(A10,$C$1),PLANGRID!$A:$A,PLANGRID!$H:$H)</f>
        <v>closed</v>
      </c>
      <c r="D10" s="1" t="str">
        <f>_xlfn.XLOOKUP(_xlfn.CONCAT(A10,$D$1),PLANGRID!$A:$A,PLANGRID!$H:$H)</f>
        <v>closed</v>
      </c>
      <c r="E10" s="1" t="str">
        <f>_xlfn.XLOOKUP(_xlfn.CONCAT(A10,$E$1),PLANGRID!$A:$A,PLANGRID!$H:$H)</f>
        <v>closed</v>
      </c>
      <c r="F10" s="1" t="str">
        <f>_xlfn.XLOOKUP(_xlfn.CONCAT(A10,$F$1),PLANGRID!$A:$A,PLANGRID!$H:$H)</f>
        <v>closed</v>
      </c>
      <c r="G10" s="14" t="str">
        <f>_xlfn.XLOOKUP(_xlfn.CONCAT(A10,$G$1),PLANGRID!$A:$A,PLANGRID!$H:$H)</f>
        <v>closed</v>
      </c>
      <c r="H10" s="33"/>
    </row>
    <row r="11" spans="1:8" ht="22.5" customHeight="1" thickBot="1" x14ac:dyDescent="0.4">
      <c r="A11" s="8" t="s">
        <v>3500</v>
      </c>
      <c r="B11" s="1" t="str">
        <f>_xlfn.XLOOKUP(_xlfn.CONCAT(A11,$B$1),PLANGRID!$A:$A,PLANGRID!$H:$H)</f>
        <v>closed</v>
      </c>
      <c r="C11" s="1" t="str">
        <f>_xlfn.XLOOKUP(_xlfn.CONCAT(A11,$C$1),PLANGRID!$A:$A,PLANGRID!$H:$H)</f>
        <v>closed</v>
      </c>
      <c r="D11" s="1" t="str">
        <f>_xlfn.XLOOKUP(_xlfn.CONCAT(A11,$D$1),PLANGRID!$A:$A,PLANGRID!$H:$H)</f>
        <v>closed</v>
      </c>
      <c r="E11" s="1" t="str">
        <f>_xlfn.XLOOKUP(_xlfn.CONCAT(A11,$E$1),PLANGRID!$A:$A,PLANGRID!$H:$H)</f>
        <v>closed</v>
      </c>
      <c r="F11" s="1" t="str">
        <f>_xlfn.XLOOKUP(_xlfn.CONCAT(A11,$F$1),PLANGRID!$A:$A,PLANGRID!$H:$H)</f>
        <v>closed</v>
      </c>
      <c r="G11" s="14" t="str">
        <f>_xlfn.XLOOKUP(_xlfn.CONCAT(A11,$G$1),PLANGRID!$A:$A,PLANGRID!$H:$H)</f>
        <v>closed</v>
      </c>
      <c r="H11" s="33"/>
    </row>
    <row r="12" spans="1:8" ht="22.5" customHeight="1" thickBot="1" x14ac:dyDescent="0.4">
      <c r="A12" s="8" t="s">
        <v>3501</v>
      </c>
      <c r="B12" s="1" t="str">
        <f>_xlfn.XLOOKUP(_xlfn.CONCAT(A12,$B$1),PLANGRID!$A:$A,PLANGRID!$H:$H)</f>
        <v>closed</v>
      </c>
      <c r="C12" s="1" t="str">
        <f>_xlfn.XLOOKUP(_xlfn.CONCAT(A12,$C$1),PLANGRID!$A:$A,PLANGRID!$H:$H)</f>
        <v>closed</v>
      </c>
      <c r="D12" s="1" t="str">
        <f>_xlfn.XLOOKUP(_xlfn.CONCAT(A12,$D$1),PLANGRID!$A:$A,PLANGRID!$H:$H)</f>
        <v>closed</v>
      </c>
      <c r="E12" s="1" t="str">
        <f>_xlfn.XLOOKUP(_xlfn.CONCAT(A12,$E$1),PLANGRID!$A:$A,PLANGRID!$H:$H)</f>
        <v>closed</v>
      </c>
      <c r="F12" s="1" t="str">
        <f>_xlfn.XLOOKUP(_xlfn.CONCAT(A12,$F$1),PLANGRID!$A:$A,PLANGRID!$H:$H)</f>
        <v>closed</v>
      </c>
      <c r="G12" s="14" t="str">
        <f>_xlfn.XLOOKUP(_xlfn.CONCAT(A12,$G$1),PLANGRID!$A:$A,PLANGRID!$H:$H)</f>
        <v>closed</v>
      </c>
      <c r="H12" s="33"/>
    </row>
    <row r="13" spans="1:8" ht="22.5" customHeight="1" thickBot="1" x14ac:dyDescent="0.4">
      <c r="A13" s="8" t="s">
        <v>3503</v>
      </c>
      <c r="B13" s="1" t="str">
        <f>_xlfn.XLOOKUP(_xlfn.CONCAT(A13,$B$1),PLANGRID!$A:$A,PLANGRID!$H:$H)</f>
        <v>closed</v>
      </c>
      <c r="C13" s="1" t="str">
        <f>_xlfn.XLOOKUP(_xlfn.CONCAT(A13,$C$1),PLANGRID!$A:$A,PLANGRID!$H:$H)</f>
        <v>closed</v>
      </c>
      <c r="D13" s="1" t="str">
        <f>_xlfn.XLOOKUP(_xlfn.CONCAT(A13,$D$1),PLANGRID!$A:$A,PLANGRID!$H:$H)</f>
        <v>closed</v>
      </c>
      <c r="E13" s="1" t="str">
        <f>_xlfn.XLOOKUP(_xlfn.CONCAT(A13,$E$1),PLANGRID!$A:$A,PLANGRID!$H:$H)</f>
        <v>closed</v>
      </c>
      <c r="F13" s="1" t="str">
        <f>_xlfn.XLOOKUP(_xlfn.CONCAT(A13,$F$1),PLANGRID!$A:$A,PLANGRID!$H:$H)</f>
        <v>closed</v>
      </c>
      <c r="G13" s="14" t="str">
        <f>_xlfn.XLOOKUP(_xlfn.CONCAT(A13,$G$1),PLANGRID!$A:$A,PLANGRID!$H:$H)</f>
        <v>closed</v>
      </c>
      <c r="H13" s="33"/>
    </row>
    <row r="14" spans="1:8" ht="22.5" customHeight="1" thickBot="1" x14ac:dyDescent="0.4">
      <c r="A14" s="8" t="s">
        <v>3504</v>
      </c>
      <c r="B14" s="1" t="str">
        <f>_xlfn.XLOOKUP(_xlfn.CONCAT(A14,$B$1),PLANGRID!$A:$A,PLANGRID!$H:$H)</f>
        <v>closed</v>
      </c>
      <c r="C14" s="1" t="str">
        <f>_xlfn.XLOOKUP(_xlfn.CONCAT(A14,$C$1),PLANGRID!$A:$A,PLANGRID!$H:$H)</f>
        <v>closed</v>
      </c>
      <c r="D14" s="1" t="str">
        <f>_xlfn.XLOOKUP(_xlfn.CONCAT(A14,$D$1),PLANGRID!$A:$A,PLANGRID!$H:$H)</f>
        <v>closed</v>
      </c>
      <c r="E14" s="1" t="str">
        <f>_xlfn.XLOOKUP(_xlfn.CONCAT(A14,$E$1),PLANGRID!$A:$A,PLANGRID!$H:$H)</f>
        <v>closed</v>
      </c>
      <c r="F14" s="1" t="str">
        <f>_xlfn.XLOOKUP(_xlfn.CONCAT(A14,$F$1),PLANGRID!$A:$A,PLANGRID!$H:$H)</f>
        <v>closed</v>
      </c>
      <c r="G14" s="14" t="str">
        <f>_xlfn.XLOOKUP(_xlfn.CONCAT(A14,$G$1),PLANGRID!$A:$A,PLANGRID!$H:$H)</f>
        <v>closed</v>
      </c>
      <c r="H14" s="33"/>
    </row>
    <row r="15" spans="1:8" ht="22.5" customHeight="1" thickBot="1" x14ac:dyDescent="0.4">
      <c r="A15" s="8" t="s">
        <v>3505</v>
      </c>
      <c r="B15" s="1" t="str">
        <f>_xlfn.XLOOKUP(_xlfn.CONCAT(A15,$B$1),PLANGRID!$A:$A,PLANGRID!$H:$H)</f>
        <v>closed</v>
      </c>
      <c r="C15" s="1" t="str">
        <f>_xlfn.XLOOKUP(_xlfn.CONCAT(A15,$C$1),PLANGRID!$A:$A,PLANGRID!$H:$H)</f>
        <v>closed</v>
      </c>
      <c r="D15" s="1" t="str">
        <f>_xlfn.XLOOKUP(_xlfn.CONCAT(A15,$D$1),PLANGRID!$A:$A,PLANGRID!$H:$H)</f>
        <v>closed</v>
      </c>
      <c r="E15" s="1" t="str">
        <f>_xlfn.XLOOKUP(_xlfn.CONCAT(A15,$E$1),PLANGRID!$A:$A,PLANGRID!$H:$H)</f>
        <v>closed</v>
      </c>
      <c r="F15" s="1" t="str">
        <f>_xlfn.XLOOKUP(_xlfn.CONCAT(A15,$F$1),PLANGRID!$A:$A,PLANGRID!$H:$H)</f>
        <v>closed</v>
      </c>
      <c r="G15" s="14" t="str">
        <f>_xlfn.XLOOKUP(_xlfn.CONCAT(A15,$G$1),PLANGRID!$A:$A,PLANGRID!$H:$H)</f>
        <v>closed</v>
      </c>
      <c r="H15" s="33"/>
    </row>
    <row r="16" spans="1:8" ht="22.5" customHeight="1" thickBot="1" x14ac:dyDescent="0.4">
      <c r="A16" s="8" t="s">
        <v>3506</v>
      </c>
      <c r="B16" s="1" t="str">
        <f>_xlfn.XLOOKUP(_xlfn.CONCAT(A16,$B$1),PLANGRID!$A:$A,PLANGRID!$H:$H)</f>
        <v>closed</v>
      </c>
      <c r="C16" s="1" t="str">
        <f>_xlfn.XLOOKUP(_xlfn.CONCAT(A16,$C$1),PLANGRID!$A:$A,PLANGRID!$H:$H)</f>
        <v>closed</v>
      </c>
      <c r="D16" s="1" t="str">
        <f>_xlfn.XLOOKUP(_xlfn.CONCAT(A16,$D$1),PLANGRID!$A:$A,PLANGRID!$H:$H)</f>
        <v>closed</v>
      </c>
      <c r="E16" s="1" t="str">
        <f>_xlfn.XLOOKUP(_xlfn.CONCAT(A16,$E$1),PLANGRID!$A:$A,PLANGRID!$H:$H)</f>
        <v>closed</v>
      </c>
      <c r="F16" s="1" t="str">
        <f>_xlfn.XLOOKUP(_xlfn.CONCAT(A16,$F$1),PLANGRID!$A:$A,PLANGRID!$H:$H)</f>
        <v>closed</v>
      </c>
      <c r="G16" s="14" t="str">
        <f>_xlfn.XLOOKUP(_xlfn.CONCAT(A16,$G$1),PLANGRID!$A:$A,PLANGRID!$H:$H)</f>
        <v>closed</v>
      </c>
      <c r="H16" s="33"/>
    </row>
    <row r="17" spans="1:8" ht="22.5" customHeight="1" thickBot="1" x14ac:dyDescent="0.4">
      <c r="A17" s="35" t="s">
        <v>3497</v>
      </c>
      <c r="B17" s="1" t="str">
        <f>_xlfn.XLOOKUP(_xlfn.CONCAT(A17,$B$1),PLANGRID!$A:$A,PLANGRID!$H:$H)</f>
        <v>closed</v>
      </c>
      <c r="C17" s="1" t="str">
        <f>_xlfn.XLOOKUP(_xlfn.CONCAT(A17,$C$1),PLANGRID!$A:$A,PLANGRID!$H:$H)</f>
        <v>closed</v>
      </c>
      <c r="D17" s="1" t="str">
        <f>_xlfn.XLOOKUP(_xlfn.CONCAT(A17,$D$1),PLANGRID!$A:$A,PLANGRID!$H:$H)</f>
        <v>closed</v>
      </c>
      <c r="E17" s="1" t="str">
        <f>_xlfn.XLOOKUP(_xlfn.CONCAT(A17,$E$1),PLANGRID!$A:$A,PLANGRID!$H:$H)</f>
        <v>closed</v>
      </c>
      <c r="F17" s="1" t="str">
        <f>_xlfn.XLOOKUP(_xlfn.CONCAT(A17,$F$1),PLANGRID!$A:$A,PLANGRID!$H:$H)</f>
        <v>closed</v>
      </c>
      <c r="G17" s="14" t="str">
        <f>_xlfn.XLOOKUP(_xlfn.CONCAT(A17,$G$1),PLANGRID!$A:$A,PLANGRID!$H:$H)</f>
        <v>closed</v>
      </c>
      <c r="H17" s="33"/>
    </row>
    <row r="18" spans="1:8" ht="22.5" customHeight="1" thickBot="1" x14ac:dyDescent="0.4">
      <c r="A18" s="35" t="s">
        <v>3507</v>
      </c>
      <c r="B18" s="36" t="str">
        <f>_xlfn.XLOOKUP(_xlfn.CONCAT(A18,$B$1),PLANGRID!$A:$A,PLANGRID!$H:$H)</f>
        <v>closed</v>
      </c>
      <c r="C18" s="36" t="str">
        <f>_xlfn.XLOOKUP(_xlfn.CONCAT(A18,$C$1),PLANGRID!$A:$A,PLANGRID!$H:$H)</f>
        <v>closed</v>
      </c>
      <c r="D18" s="36" t="str">
        <f>_xlfn.XLOOKUP(_xlfn.CONCAT(A18,$D$1),PLANGRID!$A:$A,PLANGRID!$H:$H)</f>
        <v>closed</v>
      </c>
      <c r="E18" s="36" t="str">
        <f>_xlfn.XLOOKUP(_xlfn.CONCAT(A18,$E$1),PLANGRID!$A:$A,PLANGRID!$H:$H)</f>
        <v>closed</v>
      </c>
      <c r="F18" s="36" t="str">
        <f>_xlfn.XLOOKUP(_xlfn.CONCAT(A18,$F$1),PLANGRID!$A:$A,PLANGRID!$H:$H)</f>
        <v>closed</v>
      </c>
      <c r="G18" s="25" t="str">
        <f>_xlfn.XLOOKUP(_xlfn.CONCAT(A18,$G$1),PLANGRID!$A:$A,PLANGRID!$H:$H)</f>
        <v>closed</v>
      </c>
      <c r="H18" s="33"/>
    </row>
    <row r="19" spans="1:8" ht="22.5" customHeight="1" thickBot="1" x14ac:dyDescent="0.4">
      <c r="A19" s="35" t="s">
        <v>3508</v>
      </c>
      <c r="B19" s="36" t="str">
        <f>_xlfn.XLOOKUP(_xlfn.CONCAT(A19,$B$1),PLANGRID!$A:$A,PLANGRID!$H:$H)</f>
        <v>closed</v>
      </c>
      <c r="C19" s="36" t="str">
        <f>_xlfn.XLOOKUP(_xlfn.CONCAT(A19,$C$1),PLANGRID!$A:$A,PLANGRID!$H:$H)</f>
        <v>closed</v>
      </c>
      <c r="D19" s="36" t="str">
        <f>_xlfn.XLOOKUP(_xlfn.CONCAT(A19,$D$1),PLANGRID!$A:$A,PLANGRID!$H:$H)</f>
        <v>closed</v>
      </c>
      <c r="E19" s="36" t="str">
        <f>_xlfn.XLOOKUP(_xlfn.CONCAT(A19,$E$1),PLANGRID!$A:$A,PLANGRID!$H:$H)</f>
        <v>closed</v>
      </c>
      <c r="F19" s="36" t="str">
        <f>_xlfn.XLOOKUP(_xlfn.CONCAT(A19,$F$1),PLANGRID!$A:$A,PLANGRID!$H:$H)</f>
        <v>closed</v>
      </c>
      <c r="G19" s="25" t="str">
        <f>_xlfn.XLOOKUP(_xlfn.CONCAT(A19,$G$1),PLANGRID!$A:$A,PLANGRID!$H:$H)</f>
        <v>closed</v>
      </c>
      <c r="H19" s="33"/>
    </row>
    <row r="20" spans="1:8" ht="22.5" customHeight="1" thickBot="1" x14ac:dyDescent="0.4">
      <c r="A20" s="35" t="s">
        <v>3509</v>
      </c>
      <c r="B20" s="36" t="str">
        <f>_xlfn.XLOOKUP(_xlfn.CONCAT(A20,$B$1),PLANGRID!$A:$A,PLANGRID!$H:$H)</f>
        <v>closed</v>
      </c>
      <c r="C20" s="36" t="str">
        <f>_xlfn.XLOOKUP(_xlfn.CONCAT(A20,$C$1),PLANGRID!$A:$A,PLANGRID!$H:$H)</f>
        <v>closed</v>
      </c>
      <c r="D20" s="36" t="str">
        <f>_xlfn.XLOOKUP(_xlfn.CONCAT(A20,$D$1),PLANGRID!$A:$A,PLANGRID!$H:$H)</f>
        <v>closed</v>
      </c>
      <c r="E20" s="36" t="str">
        <f>_xlfn.XLOOKUP(_xlfn.CONCAT(A20,$E$1),PLANGRID!$A:$A,PLANGRID!$H:$H)</f>
        <v>closed</v>
      </c>
      <c r="F20" s="36" t="str">
        <f>_xlfn.XLOOKUP(_xlfn.CONCAT(A20,$F$1),PLANGRID!$A:$A,PLANGRID!$H:$H)</f>
        <v>closed</v>
      </c>
      <c r="G20" s="25" t="str">
        <f>_xlfn.XLOOKUP(_xlfn.CONCAT(A20,$G$1),PLANGRID!$A:$A,PLANGRID!$H:$H)</f>
        <v>closed</v>
      </c>
      <c r="H20" s="33"/>
    </row>
    <row r="21" spans="1:8" ht="22.5" customHeight="1" thickBot="1" x14ac:dyDescent="0.4">
      <c r="A21" s="35" t="s">
        <v>3510</v>
      </c>
      <c r="B21" s="36" t="str">
        <f>_xlfn.XLOOKUP(_xlfn.CONCAT(A21,$B$1),PLANGRID!$A:$A,PLANGRID!$H:$H)</f>
        <v>closed</v>
      </c>
      <c r="C21" s="36" t="str">
        <f>_xlfn.XLOOKUP(_xlfn.CONCAT(A21,$C$1),PLANGRID!$A:$A,PLANGRID!$H:$H)</f>
        <v>closed</v>
      </c>
      <c r="D21" s="36" t="str">
        <f>_xlfn.XLOOKUP(_xlfn.CONCAT(A21,$D$1),PLANGRID!$A:$A,PLANGRID!$H:$H)</f>
        <v>closed</v>
      </c>
      <c r="E21" s="36" t="str">
        <f>_xlfn.XLOOKUP(_xlfn.CONCAT(A21,$E$1),PLANGRID!$A:$A,PLANGRID!$H:$H)</f>
        <v>closed</v>
      </c>
      <c r="F21" s="36" t="str">
        <f>_xlfn.XLOOKUP(_xlfn.CONCAT(A21,$F$1),PLANGRID!$A:$A,PLANGRID!$H:$H)</f>
        <v>closed</v>
      </c>
      <c r="G21" s="25" t="str">
        <f>_xlfn.XLOOKUP(_xlfn.CONCAT(A21,$G$1),PLANGRID!$A:$A,PLANGRID!$H:$H)</f>
        <v>closed</v>
      </c>
      <c r="H21" s="33"/>
    </row>
    <row r="22" spans="1:8" ht="22.5" customHeight="1" thickBot="1" x14ac:dyDescent="0.4">
      <c r="A22" s="35" t="s">
        <v>3511</v>
      </c>
      <c r="B22" s="36" t="str">
        <f>_xlfn.XLOOKUP(_xlfn.CONCAT(A22,$B$1),PLANGRID!$A:$A,PLANGRID!$H:$H)</f>
        <v>closed</v>
      </c>
      <c r="C22" s="36" t="str">
        <f>_xlfn.XLOOKUP(_xlfn.CONCAT(A22,$C$1),PLANGRID!$A:$A,PLANGRID!$H:$H)</f>
        <v>closed</v>
      </c>
      <c r="D22" s="36" t="str">
        <f>_xlfn.XLOOKUP(_xlfn.CONCAT(A22,$D$1),PLANGRID!$A:$A,PLANGRID!$H:$H)</f>
        <v>closed</v>
      </c>
      <c r="E22" s="36" t="str">
        <f>_xlfn.XLOOKUP(_xlfn.CONCAT(A22,$E$1),PLANGRID!$A:$A,PLANGRID!$H:$H)</f>
        <v>closed</v>
      </c>
      <c r="F22" s="36" t="str">
        <f>_xlfn.XLOOKUP(_xlfn.CONCAT(A22,$F$1),PLANGRID!$A:$A,PLANGRID!$H:$H)</f>
        <v>closed</v>
      </c>
      <c r="G22" s="25" t="str">
        <f>_xlfn.XLOOKUP(_xlfn.CONCAT(A22,$G$1),PLANGRID!$A:$A,PLANGRID!$H:$H)</f>
        <v>closed</v>
      </c>
      <c r="H22" s="33"/>
    </row>
    <row r="23" spans="1:8" ht="22.5" customHeight="1" thickBot="1" x14ac:dyDescent="0.4">
      <c r="A23" s="35" t="s">
        <v>3519</v>
      </c>
      <c r="B23" s="1" t="str">
        <f>_xlfn.XLOOKUP(_xlfn.CONCAT(A23,$B$1),PLANGRID!$A:$A,PLANGRID!$H:$H)</f>
        <v>closed</v>
      </c>
      <c r="C23" s="1" t="str">
        <f>_xlfn.XLOOKUP(_xlfn.CONCAT(A23,$C$1),PLANGRID!$A:$A,PLANGRID!$H:$H)</f>
        <v>closed</v>
      </c>
      <c r="D23" s="1" t="str">
        <f>_xlfn.XLOOKUP(_xlfn.CONCAT(A23,$D$1),PLANGRID!$A:$A,PLANGRID!$H:$H)</f>
        <v>closed</v>
      </c>
      <c r="E23" s="1" t="str">
        <f>_xlfn.XLOOKUP(_xlfn.CONCAT(A23,$E$1),PLANGRID!$A:$A,PLANGRID!$H:$H)</f>
        <v>closed</v>
      </c>
      <c r="F23" s="1" t="str">
        <f>_xlfn.XLOOKUP(_xlfn.CONCAT(A23,$F$1),PLANGRID!$A:$A,PLANGRID!$H:$H)</f>
        <v>closed</v>
      </c>
      <c r="G23" s="14" t="str">
        <f>_xlfn.XLOOKUP(_xlfn.CONCAT(A23,$G$1),PLANGRID!$A:$A,PLANGRID!$H:$H)</f>
        <v>closed</v>
      </c>
      <c r="H23" s="33"/>
    </row>
    <row r="24" spans="1:8" ht="22.5" customHeight="1" thickBot="1" x14ac:dyDescent="0.4">
      <c r="A24" s="35" t="s">
        <v>3520</v>
      </c>
      <c r="B24" s="1" t="str">
        <f>_xlfn.XLOOKUP(_xlfn.CONCAT(A24,$B$1),PLANGRID!$A:$A,PLANGRID!$H:$H)</f>
        <v>closed</v>
      </c>
      <c r="C24" s="1" t="str">
        <f>_xlfn.XLOOKUP(_xlfn.CONCAT(A24,$C$1),PLANGRID!$A:$A,PLANGRID!$H:$H)</f>
        <v>closed</v>
      </c>
      <c r="D24" s="1" t="str">
        <f>_xlfn.XLOOKUP(_xlfn.CONCAT(A24,$D$1),PLANGRID!$A:$A,PLANGRID!$H:$H)</f>
        <v>closed</v>
      </c>
      <c r="E24" s="1" t="str">
        <f>_xlfn.XLOOKUP(_xlfn.CONCAT(A24,$E$1),PLANGRID!$A:$A,PLANGRID!$H:$H)</f>
        <v>closed</v>
      </c>
      <c r="F24" s="1" t="str">
        <f>_xlfn.XLOOKUP(_xlfn.CONCAT(A24,$F$1),PLANGRID!$A:$A,PLANGRID!$H:$H)</f>
        <v>closed</v>
      </c>
      <c r="G24" s="14" t="str">
        <f>_xlfn.XLOOKUP(_xlfn.CONCAT(A24,$G$1),PLANGRID!$A:$A,PLANGRID!$H:$H)</f>
        <v>closed</v>
      </c>
      <c r="H24" s="33"/>
    </row>
    <row r="25" spans="1:8" ht="22.5" customHeight="1" thickBot="1" x14ac:dyDescent="0.4">
      <c r="A25" s="35" t="s">
        <v>3521</v>
      </c>
      <c r="B25" s="1" t="str">
        <f>_xlfn.XLOOKUP(_xlfn.CONCAT(A25,$B$1),PLANGRID!$A:$A,PLANGRID!$H:$H)</f>
        <v>closed</v>
      </c>
      <c r="C25" s="1" t="str">
        <f>_xlfn.XLOOKUP(_xlfn.CONCAT(A25,$C$1),PLANGRID!$A:$A,PLANGRID!$H:$H)</f>
        <v>closed</v>
      </c>
      <c r="D25" s="1" t="str">
        <f>_xlfn.XLOOKUP(_xlfn.CONCAT(A25,$D$1),PLANGRID!$A:$A,PLANGRID!$H:$H)</f>
        <v>closed</v>
      </c>
      <c r="E25" s="1" t="str">
        <f>_xlfn.XLOOKUP(_xlfn.CONCAT(A25,$E$1),PLANGRID!$A:$A,PLANGRID!$H:$H)</f>
        <v>closed</v>
      </c>
      <c r="F25" s="1" t="str">
        <f>_xlfn.XLOOKUP(_xlfn.CONCAT(A25,$F$1),PLANGRID!$A:$A,PLANGRID!$H:$H)</f>
        <v>closed</v>
      </c>
      <c r="G25" s="14" t="str">
        <f>_xlfn.XLOOKUP(_xlfn.CONCAT(A25,$G$1),PLANGRID!$A:$A,PLANGRID!$H:$H)</f>
        <v>closed</v>
      </c>
      <c r="H25" s="33"/>
    </row>
    <row r="26" spans="1:8" ht="22.5" customHeight="1" thickBot="1" x14ac:dyDescent="0.4">
      <c r="A26" s="35" t="s">
        <v>3522</v>
      </c>
      <c r="B26" s="1" t="str">
        <f>_xlfn.XLOOKUP(_xlfn.CONCAT(A26,$B$1),PLANGRID!$A:$A,PLANGRID!$H:$H)</f>
        <v>closed</v>
      </c>
      <c r="C26" s="1" t="str">
        <f>_xlfn.XLOOKUP(_xlfn.CONCAT(A26,$C$1),PLANGRID!$A:$A,PLANGRID!$H:$H)</f>
        <v>closed</v>
      </c>
      <c r="D26" s="1" t="str">
        <f>_xlfn.XLOOKUP(_xlfn.CONCAT(A26,$D$1),PLANGRID!$A:$A,PLANGRID!$H:$H)</f>
        <v>closed</v>
      </c>
      <c r="E26" s="1" t="str">
        <f>_xlfn.XLOOKUP(_xlfn.CONCAT(A26,$E$1),PLANGRID!$A:$A,PLANGRID!$H:$H)</f>
        <v>closed</v>
      </c>
      <c r="F26" s="1" t="str">
        <f>_xlfn.XLOOKUP(_xlfn.CONCAT(A26,$F$1),PLANGRID!$A:$A,PLANGRID!$H:$H)</f>
        <v>closed</v>
      </c>
      <c r="G26" s="14" t="str">
        <f>_xlfn.XLOOKUP(_xlfn.CONCAT(A26,$G$1),PLANGRID!$A:$A,PLANGRID!$H:$H)</f>
        <v>closed</v>
      </c>
      <c r="H26" s="33"/>
    </row>
    <row r="27" spans="1:8" ht="22.5" customHeight="1" thickBot="1" x14ac:dyDescent="0.4">
      <c r="A27" s="35" t="s">
        <v>3523</v>
      </c>
      <c r="B27" s="1" t="str">
        <f>_xlfn.XLOOKUP(_xlfn.CONCAT(A27,$B$1),PLANGRID!$A:$A,PLANGRID!$H:$H)</f>
        <v>closed</v>
      </c>
      <c r="C27" s="1" t="str">
        <f>_xlfn.XLOOKUP(_xlfn.CONCAT(A27,$C$1),PLANGRID!$A:$A,PLANGRID!$H:$H)</f>
        <v>closed</v>
      </c>
      <c r="D27" s="1" t="str">
        <f>_xlfn.XLOOKUP(_xlfn.CONCAT(A27,$D$1),PLANGRID!$A:$A,PLANGRID!$H:$H)</f>
        <v>closed</v>
      </c>
      <c r="E27" s="1" t="str">
        <f>_xlfn.XLOOKUP(_xlfn.CONCAT(A27,$E$1),PLANGRID!$A:$A,PLANGRID!$H:$H)</f>
        <v>closed</v>
      </c>
      <c r="F27" s="1" t="str">
        <f>_xlfn.XLOOKUP(_xlfn.CONCAT(A27,$F$1),PLANGRID!$A:$A,PLANGRID!$H:$H)</f>
        <v>closed</v>
      </c>
      <c r="G27" s="14" t="str">
        <f>_xlfn.XLOOKUP(_xlfn.CONCAT(A27,$G$1),PLANGRID!$A:$A,PLANGRID!$H:$H)</f>
        <v>closed</v>
      </c>
      <c r="H27" s="33"/>
    </row>
    <row r="28" spans="1:8" ht="22.5" customHeight="1" thickBot="1" x14ac:dyDescent="0.4">
      <c r="A28" s="37" t="s">
        <v>3530</v>
      </c>
      <c r="B28" s="1" t="str">
        <f>_xlfn.XLOOKUP(_xlfn.CONCAT(A28,$B$1),PLANGRID!$A:$A,PLANGRID!$H:$H)</f>
        <v>closed</v>
      </c>
      <c r="C28" s="1" t="str">
        <f>_xlfn.XLOOKUP(_xlfn.CONCAT(A28,$C$1),PLANGRID!$A:$A,PLANGRID!$H:$H)</f>
        <v>closed</v>
      </c>
      <c r="D28" s="1" t="str">
        <f>_xlfn.XLOOKUP(_xlfn.CONCAT(A28,$D$1),PLANGRID!$A:$A,PLANGRID!$H:$H)</f>
        <v>closed</v>
      </c>
      <c r="E28" s="1" t="str">
        <f>_xlfn.XLOOKUP(_xlfn.CONCAT(A28,$E$1),PLANGRID!$A:$A,PLANGRID!$H:$H)</f>
        <v>closed</v>
      </c>
      <c r="F28" s="1" t="str">
        <f>_xlfn.XLOOKUP(_xlfn.CONCAT(A28,$F$1),PLANGRID!$A:$A,PLANGRID!$H:$H)</f>
        <v>closed</v>
      </c>
      <c r="G28" s="14" t="str">
        <f>_xlfn.XLOOKUP(_xlfn.CONCAT(A28,$G$1),PLANGRID!$A:$A,PLANGRID!$H:$H)</f>
        <v>closed</v>
      </c>
      <c r="H28" s="33"/>
    </row>
    <row r="29" spans="1:8" ht="22.5" customHeight="1" thickBot="1" x14ac:dyDescent="0.4">
      <c r="A29" s="37" t="s">
        <v>3543</v>
      </c>
      <c r="B29" s="1" t="str">
        <f>_xlfn.XLOOKUP(_xlfn.CONCAT(A29,$B$1),PLANGRID!$A:$A,PLANGRID!$H:$H)</f>
        <v>closed</v>
      </c>
      <c r="C29" s="1" t="str">
        <f>_xlfn.XLOOKUP(_xlfn.CONCAT(A29,$C$1),PLANGRID!$A:$A,PLANGRID!$H:$H)</f>
        <v>closed</v>
      </c>
      <c r="D29" s="1" t="str">
        <f>_xlfn.XLOOKUP(_xlfn.CONCAT(A29,$D$1),PLANGRID!$A:$A,PLANGRID!$H:$H)</f>
        <v>closed</v>
      </c>
      <c r="E29" s="1" t="str">
        <f>_xlfn.XLOOKUP(_xlfn.CONCAT(A29,$E$1),PLANGRID!$A:$A,PLANGRID!$H:$H)</f>
        <v>closed</v>
      </c>
      <c r="F29" s="1" t="str">
        <f>_xlfn.XLOOKUP(_xlfn.CONCAT(A29,$F$1),PLANGRID!$A:$A,PLANGRID!$H:$H)</f>
        <v>closed</v>
      </c>
      <c r="G29" s="14" t="str">
        <f>_xlfn.XLOOKUP(_xlfn.CONCAT(A29,$G$1),PLANGRID!$A:$A,PLANGRID!$H:$H)</f>
        <v>closed</v>
      </c>
      <c r="H29" s="33"/>
    </row>
    <row r="30" spans="1:8" ht="22.5" customHeight="1" thickBot="1" x14ac:dyDescent="0.4">
      <c r="A30" s="8" t="s">
        <v>3512</v>
      </c>
      <c r="B30" s="1" t="str">
        <f>_xlfn.XLOOKUP(_xlfn.CONCAT(A30,$B$1),PLANGRID!$A:$A,PLANGRID!$H:$H)</f>
        <v>closed</v>
      </c>
      <c r="C30" s="1" t="str">
        <f>_xlfn.XLOOKUP(_xlfn.CONCAT(A30,$C$1),PLANGRID!$A:$A,PLANGRID!$H:$H)</f>
        <v>closed</v>
      </c>
      <c r="D30" s="1" t="str">
        <f>_xlfn.XLOOKUP(_xlfn.CONCAT(A30,$D$1),PLANGRID!$A:$A,PLANGRID!$H:$H)</f>
        <v>closed</v>
      </c>
      <c r="E30" s="1" t="str">
        <f>_xlfn.XLOOKUP(_xlfn.CONCAT(A30,$E$1),PLANGRID!$A:$A,PLANGRID!$H:$H)</f>
        <v>closed</v>
      </c>
      <c r="F30" s="1" t="str">
        <f>_xlfn.XLOOKUP(_xlfn.CONCAT(A30,$F$1),PLANGRID!$A:$A,PLANGRID!$H:$H)</f>
        <v>closed</v>
      </c>
      <c r="G30" s="14" t="str">
        <f>_xlfn.XLOOKUP(_xlfn.CONCAT(A30,$G$1),PLANGRID!$A:$A,PLANGRID!$H:$H)</f>
        <v>closed</v>
      </c>
      <c r="H30" s="68"/>
    </row>
    <row r="31" spans="1:8" ht="22.5" customHeight="1" thickBot="1" x14ac:dyDescent="0.4">
      <c r="A31" s="8" t="s">
        <v>3513</v>
      </c>
      <c r="B31" s="1" t="str">
        <f>_xlfn.XLOOKUP(_xlfn.CONCAT(A31,$B$1),PLANGRID!$A:$A,PLANGRID!$H:$H)</f>
        <v>closed</v>
      </c>
      <c r="C31" s="1" t="str">
        <f>_xlfn.XLOOKUP(_xlfn.CONCAT(A31,$C$1),PLANGRID!$A:$A,PLANGRID!$H:$H)</f>
        <v>closed</v>
      </c>
      <c r="D31" s="1" t="str">
        <f>_xlfn.XLOOKUP(_xlfn.CONCAT(A31,$D$1),PLANGRID!$A:$A,PLANGRID!$H:$H)</f>
        <v>closed</v>
      </c>
      <c r="E31" s="1" t="str">
        <f>_xlfn.XLOOKUP(_xlfn.CONCAT(A31,$E$1),PLANGRID!$A:$A,PLANGRID!$H:$H)</f>
        <v>closed</v>
      </c>
      <c r="F31" s="1" t="str">
        <f>_xlfn.XLOOKUP(_xlfn.CONCAT(A31,$F$1),PLANGRID!$A:$A,PLANGRID!$H:$H)</f>
        <v>closed</v>
      </c>
      <c r="G31" s="14" t="str">
        <f>_xlfn.XLOOKUP(_xlfn.CONCAT(A31,$G$1),PLANGRID!$A:$A,PLANGRID!$H:$H)</f>
        <v>closed</v>
      </c>
      <c r="H31" s="68"/>
    </row>
    <row r="32" spans="1:8" ht="22.5" customHeight="1" thickBot="1" x14ac:dyDescent="0.4">
      <c r="A32" s="8" t="s">
        <v>3514</v>
      </c>
      <c r="B32" s="1" t="str">
        <f>_xlfn.XLOOKUP(_xlfn.CONCAT(A32,$B$1),PLANGRID!$A:$A,PLANGRID!$H:$H)</f>
        <v>closed</v>
      </c>
      <c r="C32" s="1" t="str">
        <f>_xlfn.XLOOKUP(_xlfn.CONCAT(A32,$C$1),PLANGRID!$A:$A,PLANGRID!$H:$H)</f>
        <v>closed</v>
      </c>
      <c r="D32" s="1" t="str">
        <f>_xlfn.XLOOKUP(_xlfn.CONCAT(A32,$D$1),PLANGRID!$A:$A,PLANGRID!$H:$H)</f>
        <v>closed</v>
      </c>
      <c r="E32" s="1" t="str">
        <f>_xlfn.XLOOKUP(_xlfn.CONCAT(A32,$E$1),PLANGRID!$A:$A,PLANGRID!$H:$H)</f>
        <v>closed</v>
      </c>
      <c r="F32" s="1" t="str">
        <f>_xlfn.XLOOKUP(_xlfn.CONCAT(A32,$F$1),PLANGRID!$A:$A,PLANGRID!$H:$H)</f>
        <v>closed</v>
      </c>
      <c r="G32" s="14" t="str">
        <f>_xlfn.XLOOKUP(_xlfn.CONCAT(A32,$G$1),PLANGRID!$A:$A,PLANGRID!$H:$H)</f>
        <v>closed</v>
      </c>
      <c r="H32" s="68"/>
    </row>
    <row r="33" spans="1:8" ht="22.5" customHeight="1" thickBot="1" x14ac:dyDescent="0.4">
      <c r="A33" s="8" t="s">
        <v>3515</v>
      </c>
      <c r="B33" s="1" t="str">
        <f>_xlfn.XLOOKUP(_xlfn.CONCAT(A33,$B$1),PLANGRID!$A:$A,PLANGRID!$H:$H)</f>
        <v>closed</v>
      </c>
      <c r="C33" s="1" t="str">
        <f>_xlfn.XLOOKUP(_xlfn.CONCAT(A33,$C$1),PLANGRID!$A:$A,PLANGRID!$H:$H)</f>
        <v>closed</v>
      </c>
      <c r="D33" s="1" t="str">
        <f>_xlfn.XLOOKUP(_xlfn.CONCAT(A33,$D$1),PLANGRID!$A:$A,PLANGRID!$H:$H)</f>
        <v>closed</v>
      </c>
      <c r="E33" s="1" t="str">
        <f>_xlfn.XLOOKUP(_xlfn.CONCAT(A33,$E$1),PLANGRID!$A:$A,PLANGRID!$H:$H)</f>
        <v>closed</v>
      </c>
      <c r="F33" s="1" t="str">
        <f>_xlfn.XLOOKUP(_xlfn.CONCAT(A33,$F$1),PLANGRID!$A:$A,PLANGRID!$H:$H)</f>
        <v>closed</v>
      </c>
      <c r="G33" s="14" t="str">
        <f>_xlfn.XLOOKUP(_xlfn.CONCAT(A33,$G$1),PLANGRID!$A:$A,PLANGRID!$H:$H)</f>
        <v>closed</v>
      </c>
      <c r="H33" s="68"/>
    </row>
    <row r="34" spans="1:8" ht="22.5" customHeight="1" thickBot="1" x14ac:dyDescent="0.4">
      <c r="A34" s="8" t="s">
        <v>3516</v>
      </c>
      <c r="B34" s="1" t="str">
        <f>_xlfn.XLOOKUP(_xlfn.CONCAT(A34,$B$1),PLANGRID!$A:$A,PLANGRID!$H:$H)</f>
        <v>closed</v>
      </c>
      <c r="C34" s="1" t="str">
        <f>_xlfn.XLOOKUP(_xlfn.CONCAT(A34,$C$1),PLANGRID!$A:$A,PLANGRID!$H:$H)</f>
        <v>closed</v>
      </c>
      <c r="D34" s="1" t="str">
        <f>_xlfn.XLOOKUP(_xlfn.CONCAT(A34,$D$1),PLANGRID!$A:$A,PLANGRID!$H:$H)</f>
        <v>closed</v>
      </c>
      <c r="E34" s="1" t="str">
        <f>_xlfn.XLOOKUP(_xlfn.CONCAT(A34,$E$1),PLANGRID!$A:$A,PLANGRID!$H:$H)</f>
        <v>closed</v>
      </c>
      <c r="F34" s="1" t="str">
        <f>_xlfn.XLOOKUP(_xlfn.CONCAT(A34,$F$1),PLANGRID!$A:$A,PLANGRID!$H:$H)</f>
        <v>closed</v>
      </c>
      <c r="G34" s="14" t="str">
        <f>_xlfn.XLOOKUP(_xlfn.CONCAT(A34,$G$1),PLANGRID!$A:$A,PLANGRID!$H:$H)</f>
        <v>closed</v>
      </c>
      <c r="H34" s="68"/>
    </row>
    <row r="35" spans="1:8" ht="22.5" customHeight="1" thickBot="1" x14ac:dyDescent="0.4">
      <c r="A35" s="8" t="s">
        <v>3517</v>
      </c>
      <c r="B35" s="1" t="str">
        <f>_xlfn.XLOOKUP(_xlfn.CONCAT(A35,$B$1),PLANGRID!$A:$A,PLANGRID!$H:$H)</f>
        <v>closed</v>
      </c>
      <c r="C35" s="1" t="str">
        <f>_xlfn.XLOOKUP(_xlfn.CONCAT(A35,$C$1),PLANGRID!$A:$A,PLANGRID!$H:$H)</f>
        <v>closed</v>
      </c>
      <c r="D35" s="1" t="str">
        <f>_xlfn.XLOOKUP(_xlfn.CONCAT(A35,$D$1),PLANGRID!$A:$A,PLANGRID!$H:$H)</f>
        <v>closed</v>
      </c>
      <c r="E35" s="1" t="str">
        <f>_xlfn.XLOOKUP(_xlfn.CONCAT(A35,$E$1),PLANGRID!$A:$A,PLANGRID!$H:$H)</f>
        <v>closed</v>
      </c>
      <c r="F35" s="1" t="str">
        <f>_xlfn.XLOOKUP(_xlfn.CONCAT(A35,$F$1),PLANGRID!$A:$A,PLANGRID!$H:$H)</f>
        <v>closed</v>
      </c>
      <c r="G35" s="14" t="str">
        <f>_xlfn.XLOOKUP(_xlfn.CONCAT(A35,$G$1),PLANGRID!$A:$A,PLANGRID!$H:$H)</f>
        <v>closed</v>
      </c>
      <c r="H35" s="68"/>
    </row>
    <row r="36" spans="1:8" ht="22.5" customHeight="1" thickBot="1" x14ac:dyDescent="0.4">
      <c r="A36" s="8" t="s">
        <v>3518</v>
      </c>
      <c r="B36" s="1" t="str">
        <f>_xlfn.XLOOKUP(_xlfn.CONCAT(A36,$B$1),PLANGRID!$A:$A,PLANGRID!$H:$H)</f>
        <v>closed</v>
      </c>
      <c r="C36" s="1" t="str">
        <f>_xlfn.XLOOKUP(_xlfn.CONCAT(A36,$C$1),PLANGRID!$A:$A,PLANGRID!$H:$H)</f>
        <v>closed</v>
      </c>
      <c r="D36" s="1" t="str">
        <f>_xlfn.XLOOKUP(_xlfn.CONCAT(A36,$D$1),PLANGRID!$A:$A,PLANGRID!$H:$H)</f>
        <v>closed</v>
      </c>
      <c r="E36" s="1" t="str">
        <f>_xlfn.XLOOKUP(_xlfn.CONCAT(A36,$E$1),PLANGRID!$A:$A,PLANGRID!$H:$H)</f>
        <v>closed</v>
      </c>
      <c r="F36" s="1" t="str">
        <f>_xlfn.XLOOKUP(_xlfn.CONCAT(A36,$F$1),PLANGRID!$A:$A,PLANGRID!$H:$H)</f>
        <v>closed</v>
      </c>
      <c r="G36" s="14" t="str">
        <f>_xlfn.XLOOKUP(_xlfn.CONCAT(A36,$G$1),PLANGRID!$A:$A,PLANGRID!$H:$H)</f>
        <v>closed</v>
      </c>
      <c r="H36" s="68"/>
    </row>
    <row r="37" spans="1:8" ht="22.5" customHeight="1" thickBot="1" x14ac:dyDescent="0.4">
      <c r="A37" s="12" t="s">
        <v>3527</v>
      </c>
      <c r="B37" s="1" t="str">
        <f>_xlfn.XLOOKUP(_xlfn.CONCAT(A37,$B$1),PLANGRID!$A:$A,PLANGRID!$H:$H)</f>
        <v>closed</v>
      </c>
      <c r="C37" s="1" t="str">
        <f>_xlfn.XLOOKUP(_xlfn.CONCAT(A37,$C$1),PLANGRID!$A:$A,PLANGRID!$H:$H)</f>
        <v>closed</v>
      </c>
      <c r="D37" s="1" t="str">
        <f>_xlfn.XLOOKUP(_xlfn.CONCAT(A37,$D$1),PLANGRID!$A:$A,PLANGRID!$H:$H)</f>
        <v>closed</v>
      </c>
      <c r="E37" s="1" t="str">
        <f>_xlfn.XLOOKUP(_xlfn.CONCAT(A37,$E$1),PLANGRID!$A:$A,PLANGRID!$H:$H)</f>
        <v>closed</v>
      </c>
      <c r="F37" s="1" t="str">
        <f>_xlfn.XLOOKUP(_xlfn.CONCAT(A37,$F$1),PLANGRID!$A:$A,PLANGRID!$H:$H)</f>
        <v>closed</v>
      </c>
      <c r="G37" s="14" t="str">
        <f>_xlfn.XLOOKUP(_xlfn.CONCAT(A37,$G$1),PLANGRID!$A:$A,PLANGRID!$H:$H)</f>
        <v>closed</v>
      </c>
      <c r="H37" s="68"/>
    </row>
    <row r="38" spans="1:8" ht="22.5" customHeight="1" thickBot="1" x14ac:dyDescent="0.4">
      <c r="A38" s="12" t="s">
        <v>3528</v>
      </c>
      <c r="B38" s="1" t="str">
        <f>_xlfn.XLOOKUP(_xlfn.CONCAT(A38,$B$1),PLANGRID!$A:$A,PLANGRID!$H:$H)</f>
        <v>closed</v>
      </c>
      <c r="C38" s="1" t="str">
        <f>_xlfn.XLOOKUP(_xlfn.CONCAT(A38,$C$1),PLANGRID!$A:$A,PLANGRID!$H:$H)</f>
        <v>closed</v>
      </c>
      <c r="D38" s="1" t="str">
        <f>_xlfn.XLOOKUP(_xlfn.CONCAT(A38,$D$1),PLANGRID!$A:$A,PLANGRID!$H:$H)</f>
        <v>closed</v>
      </c>
      <c r="E38" s="1" t="str">
        <f>_xlfn.XLOOKUP(_xlfn.CONCAT(A38,$E$1),PLANGRID!$A:$A,PLANGRID!$H:$H)</f>
        <v>closed</v>
      </c>
      <c r="F38" s="1" t="str">
        <f>_xlfn.XLOOKUP(_xlfn.CONCAT(A38,$F$1),PLANGRID!$A:$A,PLANGRID!$H:$H)</f>
        <v>closed</v>
      </c>
      <c r="G38" s="14" t="str">
        <f>_xlfn.XLOOKUP(_xlfn.CONCAT(A38,$G$1),PLANGRID!$A:$A,PLANGRID!$H:$H)</f>
        <v>closed</v>
      </c>
      <c r="H38" s="68"/>
    </row>
    <row r="39" spans="1:8" ht="22.5" customHeight="1" thickBot="1" x14ac:dyDescent="0.4">
      <c r="A39" s="37" t="s">
        <v>3531</v>
      </c>
      <c r="B39" s="1" t="str">
        <f>_xlfn.XLOOKUP(_xlfn.CONCAT(A39,$B$1),PLANGRID!$A:$A,PLANGRID!$H:$H)</f>
        <v>closed</v>
      </c>
      <c r="C39" s="1" t="str">
        <f>_xlfn.XLOOKUP(_xlfn.CONCAT(A39,$C$1),PLANGRID!$A:$A,PLANGRID!$H:$H)</f>
        <v>closed</v>
      </c>
      <c r="D39" s="1" t="str">
        <f>_xlfn.XLOOKUP(_xlfn.CONCAT(A39,$D$1),PLANGRID!$A:$A,PLANGRID!$H:$H)</f>
        <v>closed</v>
      </c>
      <c r="E39" s="1" t="str">
        <f>_xlfn.XLOOKUP(_xlfn.CONCAT(A39,$E$1),PLANGRID!$A:$A,PLANGRID!$H:$H)</f>
        <v>closed</v>
      </c>
      <c r="F39" s="1" t="str">
        <f>_xlfn.XLOOKUP(_xlfn.CONCAT(A39,$F$1),PLANGRID!$A:$A,PLANGRID!$H:$H)</f>
        <v>closed</v>
      </c>
      <c r="G39" s="14" t="str">
        <f>_xlfn.XLOOKUP(_xlfn.CONCAT(A39,$G$1),PLANGRID!$A:$A,PLANGRID!$H:$H)</f>
        <v>closed</v>
      </c>
      <c r="H39" s="68"/>
    </row>
    <row r="40" spans="1:8" ht="22.5" customHeight="1" thickBot="1" x14ac:dyDescent="0.4">
      <c r="A40" s="37" t="s">
        <v>3532</v>
      </c>
      <c r="B40" s="1" t="str">
        <f>_xlfn.XLOOKUP(_xlfn.CONCAT(A40,$B$1),PLANGRID!$A:$A,PLANGRID!$H:$H)</f>
        <v>closed</v>
      </c>
      <c r="C40" s="1" t="str">
        <f>_xlfn.XLOOKUP(_xlfn.CONCAT(A40,$C$1),PLANGRID!$A:$A,PLANGRID!$H:$H)</f>
        <v>closed</v>
      </c>
      <c r="D40" s="1" t="str">
        <f>_xlfn.XLOOKUP(_xlfn.CONCAT(A40,$D$1),PLANGRID!$A:$A,PLANGRID!$H:$H)</f>
        <v>closed</v>
      </c>
      <c r="E40" s="1" t="str">
        <f>_xlfn.XLOOKUP(_xlfn.CONCAT(A40,$E$1),PLANGRID!$A:$A,PLANGRID!$H:$H)</f>
        <v>closed</v>
      </c>
      <c r="F40" s="1" t="str">
        <f>_xlfn.XLOOKUP(_xlfn.CONCAT(A40,$F$1),PLANGRID!$A:$A,PLANGRID!$H:$H)</f>
        <v>closed</v>
      </c>
      <c r="G40" s="14" t="str">
        <f>_xlfn.XLOOKUP(_xlfn.CONCAT(A40,$G$1),PLANGRID!$A:$A,PLANGRID!$H:$H)</f>
        <v>closed</v>
      </c>
      <c r="H40" s="68"/>
    </row>
    <row r="41" spans="1:8" ht="22.5" customHeight="1" thickBot="1" x14ac:dyDescent="0.4">
      <c r="A41" s="37" t="s">
        <v>3533</v>
      </c>
      <c r="B41" s="1" t="str">
        <f>_xlfn.XLOOKUP(_xlfn.CONCAT(A41,$B$1),PLANGRID!$A:$A,PLANGRID!$H:$H)</f>
        <v>closed</v>
      </c>
      <c r="C41" s="1" t="str">
        <f>_xlfn.XLOOKUP(_xlfn.CONCAT(A41,$C$1),PLANGRID!$A:$A,PLANGRID!$H:$H)</f>
        <v>closed</v>
      </c>
      <c r="D41" s="1" t="str">
        <f>_xlfn.XLOOKUP(_xlfn.CONCAT(A41,$D$1),PLANGRID!$A:$A,PLANGRID!$H:$H)</f>
        <v>closed</v>
      </c>
      <c r="E41" s="1" t="str">
        <f>_xlfn.XLOOKUP(_xlfn.CONCAT(A41,$E$1),PLANGRID!$A:$A,PLANGRID!$H:$H)</f>
        <v>closed</v>
      </c>
      <c r="F41" s="1" t="str">
        <f>_xlfn.XLOOKUP(_xlfn.CONCAT(A41,$F$1),PLANGRID!$A:$A,PLANGRID!$H:$H)</f>
        <v>closed</v>
      </c>
      <c r="G41" s="14" t="str">
        <f>_xlfn.XLOOKUP(_xlfn.CONCAT(A41,$G$1),PLANGRID!$A:$A,PLANGRID!$H:$H)</f>
        <v>closed</v>
      </c>
      <c r="H41" s="68"/>
    </row>
    <row r="42" spans="1:8" ht="22.5" customHeight="1" thickBot="1" x14ac:dyDescent="0.4">
      <c r="A42" s="37" t="s">
        <v>3534</v>
      </c>
      <c r="B42" s="1" t="str">
        <f>_xlfn.XLOOKUP(_xlfn.CONCAT(A42,$B$1),PLANGRID!$A:$A,PLANGRID!$H:$H)</f>
        <v>closed</v>
      </c>
      <c r="C42" s="1" t="str">
        <f>_xlfn.XLOOKUP(_xlfn.CONCAT(A42,$C$1),PLANGRID!$A:$A,PLANGRID!$H:$H)</f>
        <v>closed</v>
      </c>
      <c r="D42" s="1" t="str">
        <f>_xlfn.XLOOKUP(_xlfn.CONCAT(A42,$D$1),PLANGRID!$A:$A,PLANGRID!$H:$H)</f>
        <v>closed</v>
      </c>
      <c r="E42" s="1" t="str">
        <f>_xlfn.XLOOKUP(_xlfn.CONCAT(A42,$E$1),PLANGRID!$A:$A,PLANGRID!$H:$H)</f>
        <v>closed</v>
      </c>
      <c r="F42" s="1" t="str">
        <f>_xlfn.XLOOKUP(_xlfn.CONCAT(A42,$F$1),PLANGRID!$A:$A,PLANGRID!$H:$H)</f>
        <v>closed</v>
      </c>
      <c r="G42" s="14" t="str">
        <f>_xlfn.XLOOKUP(_xlfn.CONCAT(A42,$G$1),PLANGRID!$A:$A,PLANGRID!$H:$H)</f>
        <v>closed</v>
      </c>
      <c r="H42" s="68"/>
    </row>
    <row r="43" spans="1:8" ht="22.5" customHeight="1" thickBot="1" x14ac:dyDescent="0.4">
      <c r="A43" s="12" t="s">
        <v>3535</v>
      </c>
      <c r="B43" s="1" t="str">
        <f>_xlfn.XLOOKUP(_xlfn.CONCAT(A43,$B$1),PLANGRID!$A:$A,PLANGRID!$H:$H)</f>
        <v>closed</v>
      </c>
      <c r="C43" s="1" t="str">
        <f>_xlfn.XLOOKUP(_xlfn.CONCAT(A43,$C$1),PLANGRID!$A:$A,PLANGRID!$H:$H)</f>
        <v>closed</v>
      </c>
      <c r="D43" s="1" t="str">
        <f>_xlfn.XLOOKUP(_xlfn.CONCAT(A43,$D$1),PLANGRID!$A:$A,PLANGRID!$H:$H)</f>
        <v>closed</v>
      </c>
      <c r="E43" s="1" t="str">
        <f>_xlfn.XLOOKUP(_xlfn.CONCAT(A43,$E$1),PLANGRID!$A:$A,PLANGRID!$H:$H)</f>
        <v>closed</v>
      </c>
      <c r="F43" s="1" t="str">
        <f>_xlfn.XLOOKUP(_xlfn.CONCAT(A43,$F$1),PLANGRID!$A:$A,PLANGRID!$H:$H)</f>
        <v>closed</v>
      </c>
      <c r="G43" s="14" t="str">
        <f>_xlfn.XLOOKUP(_xlfn.CONCAT(A43,$G$1),PLANGRID!$A:$A,PLANGRID!$H:$H)</f>
        <v>closed</v>
      </c>
      <c r="H43" s="68"/>
    </row>
    <row r="44" spans="1:8" ht="22.5" customHeight="1" thickBot="1" x14ac:dyDescent="0.4">
      <c r="A44" s="12" t="s">
        <v>3536</v>
      </c>
      <c r="B44" s="1" t="str">
        <f>_xlfn.XLOOKUP(_xlfn.CONCAT(A44,$B$1),PLANGRID!$A:$A,PLANGRID!$H:$H)</f>
        <v>closed</v>
      </c>
      <c r="C44" s="1" t="str">
        <f>_xlfn.XLOOKUP(_xlfn.CONCAT(A44,$C$1),PLANGRID!$A:$A,PLANGRID!$H:$H)</f>
        <v>closed</v>
      </c>
      <c r="D44" s="1" t="str">
        <f>_xlfn.XLOOKUP(_xlfn.CONCAT(A44,$D$1),PLANGRID!$A:$A,PLANGRID!$H:$H)</f>
        <v>closed</v>
      </c>
      <c r="E44" s="1" t="str">
        <f>_xlfn.XLOOKUP(_xlfn.CONCAT(A44,$E$1),PLANGRID!$A:$A,PLANGRID!$H:$H)</f>
        <v>closed</v>
      </c>
      <c r="F44" s="1" t="str">
        <f>_xlfn.XLOOKUP(_xlfn.CONCAT(A44,$F$1),PLANGRID!$A:$A,PLANGRID!$H:$H)</f>
        <v>closed</v>
      </c>
      <c r="G44" s="14" t="str">
        <f>_xlfn.XLOOKUP(_xlfn.CONCAT(A44,$G$1),PLANGRID!$A:$A,PLANGRID!$H:$H)</f>
        <v>closed</v>
      </c>
      <c r="H44" s="68"/>
    </row>
    <row r="45" spans="1:8" ht="22.5" customHeight="1" thickBot="1" x14ac:dyDescent="0.4">
      <c r="A45" s="12" t="s">
        <v>3537</v>
      </c>
      <c r="B45" s="1" t="str">
        <f>_xlfn.XLOOKUP(_xlfn.CONCAT(A45,$B$1),PLANGRID!$A:$A,PLANGRID!$H:$H)</f>
        <v>closed</v>
      </c>
      <c r="C45" s="1" t="str">
        <f>_xlfn.XLOOKUP(_xlfn.CONCAT(A45,$C$1),PLANGRID!$A:$A,PLANGRID!$H:$H)</f>
        <v>closed</v>
      </c>
      <c r="D45" s="1" t="str">
        <f>_xlfn.XLOOKUP(_xlfn.CONCAT(A45,$D$1),PLANGRID!$A:$A,PLANGRID!$H:$H)</f>
        <v>closed</v>
      </c>
      <c r="E45" s="1" t="str">
        <f>_xlfn.XLOOKUP(_xlfn.CONCAT(A45,$E$1),PLANGRID!$A:$A,PLANGRID!$H:$H)</f>
        <v>closed</v>
      </c>
      <c r="F45" s="1" t="str">
        <f>_xlfn.XLOOKUP(_xlfn.CONCAT(A45,$F$1),PLANGRID!$A:$A,PLANGRID!$H:$H)</f>
        <v>closed</v>
      </c>
      <c r="G45" s="14" t="str">
        <f>_xlfn.XLOOKUP(_xlfn.CONCAT(A45,$G$1),PLANGRID!$A:$A,PLANGRID!$H:$H)</f>
        <v>closed</v>
      </c>
      <c r="H45" s="68"/>
    </row>
    <row r="46" spans="1:8" ht="22.5" customHeight="1" thickBot="1" x14ac:dyDescent="0.4">
      <c r="A46" s="12" t="s">
        <v>3538</v>
      </c>
      <c r="B46" s="1" t="str">
        <f>_xlfn.XLOOKUP(_xlfn.CONCAT(A46,$B$1),PLANGRID!$A:$A,PLANGRID!$H:$H)</f>
        <v>closed</v>
      </c>
      <c r="C46" s="1" t="str">
        <f>_xlfn.XLOOKUP(_xlfn.CONCAT(A46,$C$1),PLANGRID!$A:$A,PLANGRID!$H:$H)</f>
        <v>closed</v>
      </c>
      <c r="D46" s="1" t="str">
        <f>_xlfn.XLOOKUP(_xlfn.CONCAT(A46,$D$1),PLANGRID!$A:$A,PLANGRID!$H:$H)</f>
        <v>closed</v>
      </c>
      <c r="E46" s="1" t="str">
        <f>_xlfn.XLOOKUP(_xlfn.CONCAT(A46,$E$1),PLANGRID!$A:$A,PLANGRID!$H:$H)</f>
        <v>closed</v>
      </c>
      <c r="F46" s="1" t="str">
        <f>_xlfn.XLOOKUP(_xlfn.CONCAT(A46,$F$1),PLANGRID!$A:$A,PLANGRID!$H:$H)</f>
        <v>closed</v>
      </c>
      <c r="G46" s="14" t="str">
        <f>_xlfn.XLOOKUP(_xlfn.CONCAT(A46,$G$1),PLANGRID!$A:$A,PLANGRID!$H:$H)</f>
        <v>closed</v>
      </c>
      <c r="H46" s="68"/>
    </row>
    <row r="47" spans="1:8" ht="22.5" customHeight="1" thickBot="1" x14ac:dyDescent="0.4">
      <c r="A47" s="12" t="s">
        <v>3539</v>
      </c>
      <c r="B47" s="1" t="str">
        <f>_xlfn.XLOOKUP(_xlfn.CONCAT(A47,$B$1),PLANGRID!$A:$A,PLANGRID!$H:$H)</f>
        <v>closed</v>
      </c>
      <c r="C47" s="1" t="str">
        <f>_xlfn.XLOOKUP(_xlfn.CONCAT(A47,$C$1),PLANGRID!$A:$A,PLANGRID!$H:$H)</f>
        <v>closed</v>
      </c>
      <c r="D47" s="1" t="str">
        <f>_xlfn.XLOOKUP(_xlfn.CONCAT(A47,$D$1),PLANGRID!$A:$A,PLANGRID!$H:$H)</f>
        <v>closed</v>
      </c>
      <c r="E47" s="1" t="str">
        <f>_xlfn.XLOOKUP(_xlfn.CONCAT(A47,$E$1),PLANGRID!$A:$A,PLANGRID!$H:$H)</f>
        <v>closed</v>
      </c>
      <c r="F47" s="1" t="str">
        <f>_xlfn.XLOOKUP(_xlfn.CONCAT(A47,$F$1),PLANGRID!$A:$A,PLANGRID!$H:$H)</f>
        <v>closed</v>
      </c>
      <c r="G47" s="14" t="str">
        <f>_xlfn.XLOOKUP(_xlfn.CONCAT(A47,$G$1),PLANGRID!$A:$A,PLANGRID!$H:$H)</f>
        <v>closed</v>
      </c>
      <c r="H47" s="68"/>
    </row>
    <row r="48" spans="1:8" ht="22.5" customHeight="1" thickBot="1" x14ac:dyDescent="0.4">
      <c r="A48" s="12" t="s">
        <v>3540</v>
      </c>
      <c r="B48" s="1" t="str">
        <f>_xlfn.XLOOKUP(_xlfn.CONCAT(A48,$B$1),PLANGRID!$A:$A,PLANGRID!$H:$H)</f>
        <v>closed</v>
      </c>
      <c r="C48" s="1" t="str">
        <f>_xlfn.XLOOKUP(_xlfn.CONCAT(A48,$C$1),PLANGRID!$A:$A,PLANGRID!$H:$H)</f>
        <v>closed</v>
      </c>
      <c r="D48" s="1" t="str">
        <f>_xlfn.XLOOKUP(_xlfn.CONCAT(A48,$D$1),PLANGRID!$A:$A,PLANGRID!$H:$H)</f>
        <v>closed</v>
      </c>
      <c r="E48" s="1" t="str">
        <f>_xlfn.XLOOKUP(_xlfn.CONCAT(A48,$E$1),PLANGRID!$A:$A,PLANGRID!$H:$H)</f>
        <v>closed</v>
      </c>
      <c r="F48" s="1" t="str">
        <f>_xlfn.XLOOKUP(_xlfn.CONCAT(A48,$F$1),PLANGRID!$A:$A,PLANGRID!$H:$H)</f>
        <v>closed</v>
      </c>
      <c r="G48" s="14" t="str">
        <f>_xlfn.XLOOKUP(_xlfn.CONCAT(A48,$G$1),PLANGRID!$A:$A,PLANGRID!$H:$H)</f>
        <v>closed</v>
      </c>
      <c r="H48" s="68"/>
    </row>
    <row r="49" spans="1:8" ht="22.5" customHeight="1" thickBot="1" x14ac:dyDescent="0.4">
      <c r="A49" s="12" t="s">
        <v>3541</v>
      </c>
      <c r="B49" s="1" t="str">
        <f>_xlfn.XLOOKUP(_xlfn.CONCAT(A49,$B$1),PLANGRID!$A:$A,PLANGRID!$H:$H)</f>
        <v>closed</v>
      </c>
      <c r="C49" s="1" t="str">
        <f>_xlfn.XLOOKUP(_xlfn.CONCAT(A49,$C$1),PLANGRID!$A:$A,PLANGRID!$H:$H)</f>
        <v>closed</v>
      </c>
      <c r="D49" s="1" t="str">
        <f>_xlfn.XLOOKUP(_xlfn.CONCAT(A49,$D$1),PLANGRID!$A:$A,PLANGRID!$H:$H)</f>
        <v>closed</v>
      </c>
      <c r="E49" s="1" t="str">
        <f>_xlfn.XLOOKUP(_xlfn.CONCAT(A49,$E$1),PLANGRID!$A:$A,PLANGRID!$H:$H)</f>
        <v>closed</v>
      </c>
      <c r="F49" s="1" t="str">
        <f>_xlfn.XLOOKUP(_xlfn.CONCAT(A49,$F$1),PLANGRID!$A:$A,PLANGRID!$H:$H)</f>
        <v>closed</v>
      </c>
      <c r="G49" s="14" t="str">
        <f>_xlfn.XLOOKUP(_xlfn.CONCAT(A49,$G$1),PLANGRID!$A:$A,PLANGRID!$H:$H)</f>
        <v>closed</v>
      </c>
      <c r="H49" s="68"/>
    </row>
    <row r="50" spans="1:8" ht="22.5" customHeight="1" thickBot="1" x14ac:dyDescent="0.4">
      <c r="A50" s="37" t="s">
        <v>3542</v>
      </c>
      <c r="B50" s="1" t="str">
        <f>_xlfn.XLOOKUP(_xlfn.CONCAT(A50,$B$1),PLANGRID!$A:$A,PLANGRID!$H:$H)</f>
        <v>closed</v>
      </c>
      <c r="C50" s="1" t="str">
        <f>_xlfn.XLOOKUP(_xlfn.CONCAT(A50,$C$1),PLANGRID!$A:$A,PLANGRID!$H:$H)</f>
        <v>closed</v>
      </c>
      <c r="D50" s="1" t="str">
        <f>_xlfn.XLOOKUP(_xlfn.CONCAT(A50,$D$1),PLANGRID!$A:$A,PLANGRID!$H:$H)</f>
        <v>closed</v>
      </c>
      <c r="E50" s="1" t="str">
        <f>_xlfn.XLOOKUP(_xlfn.CONCAT(A50,$E$1),PLANGRID!$A:$A,PLANGRID!$H:$H)</f>
        <v>closed</v>
      </c>
      <c r="F50" s="1" t="str">
        <f>_xlfn.XLOOKUP(_xlfn.CONCAT(A50,$F$1),PLANGRID!$A:$A,PLANGRID!$H:$H)</f>
        <v>closed</v>
      </c>
      <c r="G50" s="14" t="str">
        <f>_xlfn.XLOOKUP(_xlfn.CONCAT(A50,$G$1),PLANGRID!$A:$A,PLANGRID!$H:$H)</f>
        <v>closed</v>
      </c>
      <c r="H50" s="68"/>
    </row>
    <row r="51" spans="1:8" ht="22.5" customHeight="1" thickBot="1" x14ac:dyDescent="0.4">
      <c r="A51" s="37" t="s">
        <v>3544</v>
      </c>
      <c r="B51" s="1" t="str">
        <f>_xlfn.XLOOKUP(_xlfn.CONCAT(A51,$B$1),PLANGRID!$A:$A,PLANGRID!$H:$H)</f>
        <v>closed</v>
      </c>
      <c r="C51" s="1" t="str">
        <f>_xlfn.XLOOKUP(_xlfn.CONCAT(A51,$C$1),PLANGRID!$A:$A,PLANGRID!$H:$H)</f>
        <v>closed</v>
      </c>
      <c r="D51" s="1" t="str">
        <f>_xlfn.XLOOKUP(_xlfn.CONCAT(A51,$D$1),PLANGRID!$A:$A,PLANGRID!$H:$H)</f>
        <v>closed</v>
      </c>
      <c r="E51" s="1" t="str">
        <f>_xlfn.XLOOKUP(_xlfn.CONCAT(A51,$E$1),PLANGRID!$A:$A,PLANGRID!$H:$H)</f>
        <v>closed</v>
      </c>
      <c r="F51" s="1" t="str">
        <f>_xlfn.XLOOKUP(_xlfn.CONCAT(A51,$F$1),PLANGRID!$A:$A,PLANGRID!$H:$H)</f>
        <v>closed</v>
      </c>
      <c r="G51" s="14" t="str">
        <f>_xlfn.XLOOKUP(_xlfn.CONCAT(A51,$G$1),PLANGRID!$A:$A,PLANGRID!$H:$H)</f>
        <v>closed</v>
      </c>
      <c r="H51" s="68"/>
    </row>
    <row r="52" spans="1:8" ht="22.5" customHeight="1" thickBot="1" x14ac:dyDescent="0.4">
      <c r="A52" s="37" t="s">
        <v>3545</v>
      </c>
      <c r="B52" s="1" t="str">
        <f>_xlfn.XLOOKUP(_xlfn.CONCAT(A52,$B$1),PLANGRID!$A:$A,PLANGRID!$H:$H)</f>
        <v>closed</v>
      </c>
      <c r="C52" s="1" t="str">
        <f>_xlfn.XLOOKUP(_xlfn.CONCAT(A52,$C$1),PLANGRID!$A:$A,PLANGRID!$H:$H)</f>
        <v>closed</v>
      </c>
      <c r="D52" s="1" t="str">
        <f>_xlfn.XLOOKUP(_xlfn.CONCAT(A52,$D$1),PLANGRID!$A:$A,PLANGRID!$H:$H)</f>
        <v>closed</v>
      </c>
      <c r="E52" s="1" t="str">
        <f>_xlfn.XLOOKUP(_xlfn.CONCAT(A52,$E$1),PLANGRID!$A:$A,PLANGRID!$H:$H)</f>
        <v>closed</v>
      </c>
      <c r="F52" s="1" t="str">
        <f>_xlfn.XLOOKUP(_xlfn.CONCAT(A52,$F$1),PLANGRID!$A:$A,PLANGRID!$H:$H)</f>
        <v>closed</v>
      </c>
      <c r="G52" s="14" t="str">
        <f>_xlfn.XLOOKUP(_xlfn.CONCAT(A52,$G$1),PLANGRID!$A:$A,PLANGRID!$H:$H)</f>
        <v>closed</v>
      </c>
      <c r="H52" s="68"/>
    </row>
    <row r="53" spans="1:8" ht="22.5" customHeight="1" thickBot="1" x14ac:dyDescent="0.4">
      <c r="A53" s="37" t="s">
        <v>3546</v>
      </c>
      <c r="B53" s="1" t="str">
        <f>_xlfn.XLOOKUP(_xlfn.CONCAT(A53,$B$1),PLANGRID!$A:$A,PLANGRID!$H:$H)</f>
        <v>closed</v>
      </c>
      <c r="C53" s="1" t="str">
        <f>_xlfn.XLOOKUP(_xlfn.CONCAT(A53,$C$1),PLANGRID!$A:$A,PLANGRID!$H:$H)</f>
        <v>closed</v>
      </c>
      <c r="D53" s="1" t="str">
        <f>_xlfn.XLOOKUP(_xlfn.CONCAT(A53,$D$1),PLANGRID!$A:$A,PLANGRID!$H:$H)</f>
        <v>closed</v>
      </c>
      <c r="E53" s="1" t="str">
        <f>_xlfn.XLOOKUP(_xlfn.CONCAT(A53,$E$1),PLANGRID!$A:$A,PLANGRID!$H:$H)</f>
        <v>closed</v>
      </c>
      <c r="F53" s="1" t="str">
        <f>_xlfn.XLOOKUP(_xlfn.CONCAT(A53,$F$1),PLANGRID!$A:$A,PLANGRID!$H:$H)</f>
        <v>closed</v>
      </c>
      <c r="G53" s="14" t="str">
        <f>_xlfn.XLOOKUP(_xlfn.CONCAT(A53,$G$1),PLANGRID!$A:$A,PLANGRID!$H:$H)</f>
        <v>closed</v>
      </c>
      <c r="H53" s="68"/>
    </row>
    <row r="54" spans="1:8" ht="22.5" customHeight="1" thickBot="1" x14ac:dyDescent="0.4">
      <c r="A54" s="12" t="s">
        <v>3551</v>
      </c>
      <c r="B54" s="1" t="str">
        <f>_xlfn.XLOOKUP(_xlfn.CONCAT(A54,$B$1),PLANGRID!$A:$A,PLANGRID!$H:$H)</f>
        <v>closed</v>
      </c>
      <c r="C54" s="1" t="str">
        <f>_xlfn.XLOOKUP(_xlfn.CONCAT(A54,$C$1),PLANGRID!$A:$A,PLANGRID!$H:$H)</f>
        <v>closed</v>
      </c>
      <c r="D54" s="1" t="str">
        <f>_xlfn.XLOOKUP(_xlfn.CONCAT(A54,$D$1),PLANGRID!$A:$A,PLANGRID!$H:$H)</f>
        <v>closed</v>
      </c>
      <c r="E54" s="1" t="str">
        <f>_xlfn.XLOOKUP(_xlfn.CONCAT(A54,$E$1),PLANGRID!$A:$A,PLANGRID!$H:$H)</f>
        <v>closed</v>
      </c>
      <c r="F54" s="1" t="str">
        <f>_xlfn.XLOOKUP(_xlfn.CONCAT(A54,$F$1),PLANGRID!$A:$A,PLANGRID!$H:$H)</f>
        <v>closed</v>
      </c>
      <c r="G54" s="14" t="str">
        <f>_xlfn.XLOOKUP(_xlfn.CONCAT(A54,$G$1),PLANGRID!$A:$A,PLANGRID!$H:$H)</f>
        <v>closed</v>
      </c>
      <c r="H54" s="68"/>
    </row>
    <row r="55" spans="1:8" ht="22.5" customHeight="1" thickBot="1" x14ac:dyDescent="0.4">
      <c r="A55" s="12" t="s">
        <v>3552</v>
      </c>
      <c r="B55" s="1" t="str">
        <f>_xlfn.XLOOKUP(_xlfn.CONCAT(A55,$B$1),PLANGRID!$A:$A,PLANGRID!$H:$H)</f>
        <v>closed</v>
      </c>
      <c r="C55" s="1" t="str">
        <f>_xlfn.XLOOKUP(_xlfn.CONCAT(A55,$C$1),PLANGRID!$A:$A,PLANGRID!$H:$H)</f>
        <v>closed</v>
      </c>
      <c r="D55" s="1" t="str">
        <f>_xlfn.XLOOKUP(_xlfn.CONCAT(A55,$D$1),PLANGRID!$A:$A,PLANGRID!$H:$H)</f>
        <v>closed</v>
      </c>
      <c r="E55" s="1" t="str">
        <f>_xlfn.XLOOKUP(_xlfn.CONCAT(A55,$E$1),PLANGRID!$A:$A,PLANGRID!$H:$H)</f>
        <v>closed</v>
      </c>
      <c r="F55" s="1" t="str">
        <f>_xlfn.XLOOKUP(_xlfn.CONCAT(A55,$F$1),PLANGRID!$A:$A,PLANGRID!$H:$H)</f>
        <v>closed</v>
      </c>
      <c r="G55" s="14" t="str">
        <f>_xlfn.XLOOKUP(_xlfn.CONCAT(A55,$G$1),PLANGRID!$A:$A,PLANGRID!$H:$H)</f>
        <v>closed</v>
      </c>
      <c r="H55" s="68"/>
    </row>
    <row r="56" spans="1:8" ht="22.5" customHeight="1" thickBot="1" x14ac:dyDescent="0.4">
      <c r="A56" s="12" t="s">
        <v>3553</v>
      </c>
      <c r="B56" s="1" t="str">
        <f>_xlfn.XLOOKUP(_xlfn.CONCAT(A56,$B$1),PLANGRID!$A:$A,PLANGRID!$H:$H)</f>
        <v>closed</v>
      </c>
      <c r="C56" s="1" t="str">
        <f>_xlfn.XLOOKUP(_xlfn.CONCAT(A56,$C$1),PLANGRID!$A:$A,PLANGRID!$H:$H)</f>
        <v>closed</v>
      </c>
      <c r="D56" s="1" t="str">
        <f>_xlfn.XLOOKUP(_xlfn.CONCAT(A56,$D$1),PLANGRID!$A:$A,PLANGRID!$H:$H)</f>
        <v>closed</v>
      </c>
      <c r="E56" s="1" t="str">
        <f>_xlfn.XLOOKUP(_xlfn.CONCAT(A56,$E$1),PLANGRID!$A:$A,PLANGRID!$H:$H)</f>
        <v>closed</v>
      </c>
      <c r="F56" s="1" t="str">
        <f>_xlfn.XLOOKUP(_xlfn.CONCAT(A56,$F$1),PLANGRID!$A:$A,PLANGRID!$H:$H)</f>
        <v>closed</v>
      </c>
      <c r="G56" s="14" t="str">
        <f>_xlfn.XLOOKUP(_xlfn.CONCAT(A56,$G$1),PLANGRID!$A:$A,PLANGRID!$H:$H)</f>
        <v>closed</v>
      </c>
      <c r="H56" s="68"/>
    </row>
    <row r="57" spans="1:8" ht="22.5" customHeight="1" thickBot="1" x14ac:dyDescent="0.4">
      <c r="A57" s="12" t="s">
        <v>3554</v>
      </c>
      <c r="B57" s="1" t="str">
        <f>_xlfn.XLOOKUP(_xlfn.CONCAT(A57,$B$1),PLANGRID!$A:$A,PLANGRID!$H:$H)</f>
        <v>closed</v>
      </c>
      <c r="C57" s="1" t="str">
        <f>_xlfn.XLOOKUP(_xlfn.CONCAT(A57,$C$1),PLANGRID!$A:$A,PLANGRID!$H:$H)</f>
        <v>closed</v>
      </c>
      <c r="D57" s="1" t="str">
        <f>_xlfn.XLOOKUP(_xlfn.CONCAT(A57,$D$1),PLANGRID!$A:$A,PLANGRID!$H:$H)</f>
        <v>closed</v>
      </c>
      <c r="E57" s="1" t="str">
        <f>_xlfn.XLOOKUP(_xlfn.CONCAT(A57,$E$1),PLANGRID!$A:$A,PLANGRID!$H:$H)</f>
        <v>closed</v>
      </c>
      <c r="F57" s="1" t="str">
        <f>_xlfn.XLOOKUP(_xlfn.CONCAT(A57,$F$1),PLANGRID!$A:$A,PLANGRID!$H:$H)</f>
        <v>closed</v>
      </c>
      <c r="G57" s="14" t="str">
        <f>_xlfn.XLOOKUP(_xlfn.CONCAT(A57,$G$1),PLANGRID!$A:$A,PLANGRID!$H:$H)</f>
        <v>closed</v>
      </c>
      <c r="H57" s="68"/>
    </row>
    <row r="58" spans="1:8" ht="22.5" customHeight="1" thickBot="1" x14ac:dyDescent="0.4">
      <c r="A58" s="8" t="s">
        <v>3524</v>
      </c>
      <c r="B58" s="1" t="str">
        <f>_xlfn.XLOOKUP(_xlfn.CONCAT(A58,$B$1),PLANGRID!$A:$A,PLANGRID!$H:$H)</f>
        <v>closed</v>
      </c>
      <c r="C58" s="1" t="str">
        <f>_xlfn.XLOOKUP(_xlfn.CONCAT(A58,$C$1),PLANGRID!$A:$A,PLANGRID!$H:$H)</f>
        <v>closed</v>
      </c>
      <c r="D58" s="1" t="str">
        <f>_xlfn.XLOOKUP(_xlfn.CONCAT(A58,$D$1),PLANGRID!$A:$A,PLANGRID!$H:$H)</f>
        <v>closed</v>
      </c>
      <c r="E58" s="1" t="str">
        <f>_xlfn.XLOOKUP(_xlfn.CONCAT(A58,$E$1),PLANGRID!$A:$A,PLANGRID!$H:$H)</f>
        <v>closed</v>
      </c>
      <c r="F58" s="1" t="str">
        <f>_xlfn.XLOOKUP(_xlfn.CONCAT(A58,$F$1),PLANGRID!$A:$A,PLANGRID!$H:$H)</f>
        <v>closed</v>
      </c>
      <c r="G58" s="14" t="str">
        <f>_xlfn.XLOOKUP(_xlfn.CONCAT(A58,$G$1),PLANGRID!$A:$A,PLANGRID!$H:$H)</f>
        <v>closed</v>
      </c>
      <c r="H58" s="26"/>
    </row>
    <row r="59" spans="1:8" ht="22.5" customHeight="1" thickBot="1" x14ac:dyDescent="0.4">
      <c r="A59" s="8" t="s">
        <v>3525</v>
      </c>
      <c r="B59" s="1" t="str">
        <f>_xlfn.XLOOKUP(_xlfn.CONCAT(A59,$B$1),PLANGRID!$A:$A,PLANGRID!$H:$H)</f>
        <v>closed</v>
      </c>
      <c r="C59" s="1" t="str">
        <f>_xlfn.XLOOKUP(_xlfn.CONCAT(A59,$C$1),PLANGRID!$A:$A,PLANGRID!$H:$H)</f>
        <v>closed</v>
      </c>
      <c r="D59" s="1" t="str">
        <f>_xlfn.XLOOKUP(_xlfn.CONCAT(A59,$D$1),PLANGRID!$A:$A,PLANGRID!$H:$H)</f>
        <v>closed</v>
      </c>
      <c r="E59" s="1" t="str">
        <f>_xlfn.XLOOKUP(_xlfn.CONCAT(A59,$E$1),PLANGRID!$A:$A,PLANGRID!$H:$H)</f>
        <v>closed</v>
      </c>
      <c r="F59" s="1" t="str">
        <f>_xlfn.XLOOKUP(_xlfn.CONCAT(A59,$F$1),PLANGRID!$A:$A,PLANGRID!$H:$H)</f>
        <v>closed</v>
      </c>
      <c r="G59" s="14" t="str">
        <f>_xlfn.XLOOKUP(_xlfn.CONCAT(A59,$G$1),PLANGRID!$A:$A,PLANGRID!$H:$H)</f>
        <v>closed</v>
      </c>
      <c r="H59" s="26"/>
    </row>
    <row r="60" spans="1:8" ht="22.5" customHeight="1" thickBot="1" x14ac:dyDescent="0.4">
      <c r="A60" s="8" t="s">
        <v>3584</v>
      </c>
      <c r="B60" s="1" t="str">
        <f>_xlfn.XLOOKUP(_xlfn.CONCAT(A60,$B$1),PLANGRID!$A:$A,PLANGRID!$H:$H)</f>
        <v>closed</v>
      </c>
      <c r="C60" s="1" t="str">
        <f>_xlfn.XLOOKUP(_xlfn.CONCAT(A60,$C$1),PLANGRID!$A:$A,PLANGRID!$H:$H)</f>
        <v>closed</v>
      </c>
      <c r="D60" s="1" t="str">
        <f>_xlfn.XLOOKUP(_xlfn.CONCAT(A60,$D$1),PLANGRID!$A:$A,PLANGRID!$H:$H)</f>
        <v>closed</v>
      </c>
      <c r="E60" s="1" t="str">
        <f>_xlfn.XLOOKUP(_xlfn.CONCAT(A60,$E$1),PLANGRID!$A:$A,PLANGRID!$H:$H)</f>
        <v>closed</v>
      </c>
      <c r="F60" s="1" t="str">
        <f>_xlfn.XLOOKUP(_xlfn.CONCAT(A60,$F$1),PLANGRID!$A:$A,PLANGRID!$H:$H)</f>
        <v>closed</v>
      </c>
      <c r="G60" s="14" t="str">
        <f>_xlfn.XLOOKUP(_xlfn.CONCAT(A60,$G$1),PLANGRID!$A:$A,PLANGRID!$H:$H)</f>
        <v>closed</v>
      </c>
      <c r="H60" s="26"/>
    </row>
    <row r="61" spans="1:8" ht="22.5" customHeight="1" thickBot="1" x14ac:dyDescent="0.4">
      <c r="A61" s="12" t="s">
        <v>3526</v>
      </c>
      <c r="B61" s="1" t="str">
        <f>_xlfn.XLOOKUP(_xlfn.CONCAT(A61,$B$1),PLANGRID!$A:$A,PLANGRID!$H:$H)</f>
        <v>closed</v>
      </c>
      <c r="C61" s="1" t="str">
        <f>_xlfn.XLOOKUP(_xlfn.CONCAT(A61,$C$1),PLANGRID!$A:$A,PLANGRID!$H:$H)</f>
        <v>closed</v>
      </c>
      <c r="D61" s="1" t="str">
        <f>_xlfn.XLOOKUP(_xlfn.CONCAT(A61,$D$1),PLANGRID!$A:$A,PLANGRID!$H:$H)</f>
        <v>closed</v>
      </c>
      <c r="E61" s="1" t="str">
        <f>_xlfn.XLOOKUP(_xlfn.CONCAT(A61,$E$1),PLANGRID!$A:$A,PLANGRID!$H:$H)</f>
        <v>closed</v>
      </c>
      <c r="F61" s="1" t="str">
        <f>_xlfn.XLOOKUP(_xlfn.CONCAT(A61,$F$1),PLANGRID!$A:$A,PLANGRID!$H:$H)</f>
        <v>closed</v>
      </c>
      <c r="G61" s="14" t="str">
        <f>_xlfn.XLOOKUP(_xlfn.CONCAT(A61,$G$1),PLANGRID!$A:$A,PLANGRID!$H:$H)</f>
        <v>closed</v>
      </c>
      <c r="H61" s="26"/>
    </row>
    <row r="62" spans="1:8" ht="22.5" customHeight="1" thickBot="1" x14ac:dyDescent="0.4">
      <c r="A62" s="12" t="s">
        <v>3529</v>
      </c>
      <c r="B62" s="1" t="str">
        <f>_xlfn.XLOOKUP(_xlfn.CONCAT(A62,$B$1),PLANGRID!$A:$A,PLANGRID!$H:$H)</f>
        <v>closed</v>
      </c>
      <c r="C62" s="1" t="str">
        <f>_xlfn.XLOOKUP(_xlfn.CONCAT(A62,$C$1),PLANGRID!$A:$A,PLANGRID!$H:$H)</f>
        <v>closed</v>
      </c>
      <c r="D62" s="1" t="str">
        <f>_xlfn.XLOOKUP(_xlfn.CONCAT(A62,$D$1),PLANGRID!$A:$A,PLANGRID!$H:$H)</f>
        <v>closed</v>
      </c>
      <c r="E62" s="1" t="str">
        <f>_xlfn.XLOOKUP(_xlfn.CONCAT(A62,$E$1),PLANGRID!$A:$A,PLANGRID!$H:$H)</f>
        <v>closed</v>
      </c>
      <c r="F62" s="1" t="str">
        <f>_xlfn.XLOOKUP(_xlfn.CONCAT(A62,$F$1),PLANGRID!$A:$A,PLANGRID!$H:$H)</f>
        <v>closed</v>
      </c>
      <c r="G62" s="14" t="str">
        <f>_xlfn.XLOOKUP(_xlfn.CONCAT(A62,$G$1),PLANGRID!$A:$A,PLANGRID!$H:$H)</f>
        <v>closed</v>
      </c>
      <c r="H62" s="34"/>
    </row>
    <row r="63" spans="1:8" ht="22.5" customHeight="1" thickBot="1" x14ac:dyDescent="0.4">
      <c r="A63" s="12" t="s">
        <v>3547</v>
      </c>
      <c r="B63" s="1" t="str">
        <f>_xlfn.XLOOKUP(_xlfn.CONCAT(A63,$B$1),PLANGRID!$A:$A,PLANGRID!$H:$H)</f>
        <v>closed</v>
      </c>
      <c r="C63" s="1" t="str">
        <f>_xlfn.XLOOKUP(_xlfn.CONCAT(A63,$C$1),PLANGRID!$A:$A,PLANGRID!$H:$H)</f>
        <v>closed</v>
      </c>
      <c r="D63" s="1" t="str">
        <f>_xlfn.XLOOKUP(_xlfn.CONCAT(A63,$D$1),PLANGRID!$A:$A,PLANGRID!$H:$H)</f>
        <v>closed</v>
      </c>
      <c r="E63" s="1" t="str">
        <f>_xlfn.XLOOKUP(_xlfn.CONCAT(A63,$E$1),PLANGRID!$A:$A,PLANGRID!$H:$H)</f>
        <v>closed</v>
      </c>
      <c r="F63" s="1" t="str">
        <f>_xlfn.XLOOKUP(_xlfn.CONCAT(A63,$F$1),PLANGRID!$A:$A,PLANGRID!$H:$H)</f>
        <v>closed</v>
      </c>
      <c r="G63" s="14" t="str">
        <f>_xlfn.XLOOKUP(_xlfn.CONCAT(A63,$G$1),PLANGRID!$A:$A,PLANGRID!$H:$H)</f>
        <v>closed</v>
      </c>
      <c r="H63" s="26"/>
    </row>
    <row r="64" spans="1:8" ht="22.5" customHeight="1" thickBot="1" x14ac:dyDescent="0.4">
      <c r="A64" s="12" t="s">
        <v>3548</v>
      </c>
      <c r="B64" s="1" t="str">
        <f>_xlfn.XLOOKUP(_xlfn.CONCAT(A64,$B$1),PLANGRID!$A:$A,PLANGRID!$H:$H)</f>
        <v>closed</v>
      </c>
      <c r="C64" s="1" t="str">
        <f>_xlfn.XLOOKUP(_xlfn.CONCAT(A64,$C$1),PLANGRID!$A:$A,PLANGRID!$H:$H)</f>
        <v>closed</v>
      </c>
      <c r="D64" s="1" t="str">
        <f>_xlfn.XLOOKUP(_xlfn.CONCAT(A64,$D$1),PLANGRID!$A:$A,PLANGRID!$H:$H)</f>
        <v>closed</v>
      </c>
      <c r="E64" s="1" t="str">
        <f>_xlfn.XLOOKUP(_xlfn.CONCAT(A64,$E$1),PLANGRID!$A:$A,PLANGRID!$H:$H)</f>
        <v>closed</v>
      </c>
      <c r="F64" s="1" t="str">
        <f>_xlfn.XLOOKUP(_xlfn.CONCAT(A64,$F$1),PLANGRID!$A:$A,PLANGRID!$H:$H)</f>
        <v>closed</v>
      </c>
      <c r="G64" s="14" t="str">
        <f>_xlfn.XLOOKUP(_xlfn.CONCAT(A64,$G$1),PLANGRID!$A:$A,PLANGRID!$H:$H)</f>
        <v>closed</v>
      </c>
      <c r="H64" s="26"/>
    </row>
    <row r="65" spans="1:8" ht="22.5" customHeight="1" thickBot="1" x14ac:dyDescent="0.4">
      <c r="A65" s="12" t="s">
        <v>3549</v>
      </c>
      <c r="B65" s="1" t="str">
        <f>_xlfn.XLOOKUP(_xlfn.CONCAT(A65,$B$1),PLANGRID!$A:$A,PLANGRID!$H:$H)</f>
        <v>closed</v>
      </c>
      <c r="C65" s="1" t="str">
        <f>_xlfn.XLOOKUP(_xlfn.CONCAT(A65,$C$1),PLANGRID!$A:$A,PLANGRID!$H:$H)</f>
        <v>closed</v>
      </c>
      <c r="D65" s="1" t="str">
        <f>_xlfn.XLOOKUP(_xlfn.CONCAT(A65,$D$1),PLANGRID!$A:$A,PLANGRID!$H:$H)</f>
        <v>closed</v>
      </c>
      <c r="E65" s="1" t="str">
        <f>_xlfn.XLOOKUP(_xlfn.CONCAT(A65,$E$1),PLANGRID!$A:$A,PLANGRID!$H:$H)</f>
        <v>closed</v>
      </c>
      <c r="F65" s="1" t="str">
        <f>_xlfn.XLOOKUP(_xlfn.CONCAT(A65,$F$1),PLANGRID!$A:$A,PLANGRID!$H:$H)</f>
        <v>closed</v>
      </c>
      <c r="G65" s="14" t="str">
        <f>_xlfn.XLOOKUP(_xlfn.CONCAT(A65,$G$1),PLANGRID!$A:$A,PLANGRID!$H:$H)</f>
        <v>closed</v>
      </c>
      <c r="H65" s="26"/>
    </row>
    <row r="66" spans="1:8" ht="22.5" customHeight="1" thickBot="1" x14ac:dyDescent="0.4">
      <c r="A66" s="12" t="s">
        <v>3550</v>
      </c>
      <c r="B66" s="1" t="str">
        <f>_xlfn.XLOOKUP(_xlfn.CONCAT(A66,$B$1),PLANGRID!$A:$A,PLANGRID!$H:$H)</f>
        <v>closed</v>
      </c>
      <c r="C66" s="1" t="str">
        <f>_xlfn.XLOOKUP(_xlfn.CONCAT(A66,$C$1),PLANGRID!$A:$A,PLANGRID!$H:$H)</f>
        <v>closed</v>
      </c>
      <c r="D66" s="1" t="str">
        <f>_xlfn.XLOOKUP(_xlfn.CONCAT(A66,$D$1),PLANGRID!$A:$A,PLANGRID!$H:$H)</f>
        <v>closed</v>
      </c>
      <c r="E66" s="1" t="str">
        <f>_xlfn.XLOOKUP(_xlfn.CONCAT(A66,$E$1),PLANGRID!$A:$A,PLANGRID!$H:$H)</f>
        <v>closed</v>
      </c>
      <c r="F66" s="1" t="str">
        <f>_xlfn.XLOOKUP(_xlfn.CONCAT(A66,$F$1),PLANGRID!$A:$A,PLANGRID!$H:$H)</f>
        <v>closed</v>
      </c>
      <c r="G66" s="14" t="str">
        <f>_xlfn.XLOOKUP(_xlfn.CONCAT(A66,$G$1),PLANGRID!$A:$A,PLANGRID!$H:$H)</f>
        <v>closed</v>
      </c>
      <c r="H66" s="26"/>
    </row>
    <row r="67" spans="1:8" ht="22.5" customHeight="1" thickBot="1" x14ac:dyDescent="0.4">
      <c r="A67" s="12" t="s">
        <v>3555</v>
      </c>
      <c r="B67" s="1" t="str">
        <f>_xlfn.XLOOKUP(_xlfn.CONCAT(A67,$B$1),PLANGRID!$A:$A,PLANGRID!$H:$H)</f>
        <v>closed</v>
      </c>
      <c r="C67" s="1" t="str">
        <f>_xlfn.XLOOKUP(_xlfn.CONCAT(A67,$C$1),PLANGRID!$A:$A,PLANGRID!$H:$H)</f>
        <v>closed</v>
      </c>
      <c r="D67" s="1" t="str">
        <f>_xlfn.XLOOKUP(_xlfn.CONCAT(A67,$D$1),PLANGRID!$A:$A,PLANGRID!$H:$H)</f>
        <v>closed</v>
      </c>
      <c r="E67" s="1" t="str">
        <f>_xlfn.XLOOKUP(_xlfn.CONCAT(A67,$E$1),PLANGRID!$A:$A,PLANGRID!$H:$H)</f>
        <v>closed</v>
      </c>
      <c r="F67" s="1" t="str">
        <f>_xlfn.XLOOKUP(_xlfn.CONCAT(A67,$F$1),PLANGRID!$A:$A,PLANGRID!$H:$H)</f>
        <v>closed</v>
      </c>
      <c r="G67" s="14" t="str">
        <f>_xlfn.XLOOKUP(_xlfn.CONCAT(A67,$G$1),PLANGRID!$A:$A,PLANGRID!$H:$H)</f>
        <v>closed</v>
      </c>
      <c r="H67" s="26"/>
    </row>
    <row r="68" spans="1:8" ht="22.5" customHeight="1" thickBot="1" x14ac:dyDescent="0.4">
      <c r="A68" s="12" t="s">
        <v>3556</v>
      </c>
      <c r="B68" s="1" t="str">
        <f>_xlfn.XLOOKUP(_xlfn.CONCAT(A68,$B$1),PLANGRID!$A:$A,PLANGRID!$H:$H)</f>
        <v>closed</v>
      </c>
      <c r="C68" s="1" t="str">
        <f>_xlfn.XLOOKUP(_xlfn.CONCAT(A68,$C$1),PLANGRID!$A:$A,PLANGRID!$H:$H)</f>
        <v>closed</v>
      </c>
      <c r="D68" s="1" t="str">
        <f>_xlfn.XLOOKUP(_xlfn.CONCAT(A68,$D$1),PLANGRID!$A:$A,PLANGRID!$H:$H)</f>
        <v>closed</v>
      </c>
      <c r="E68" s="1" t="str">
        <f>_xlfn.XLOOKUP(_xlfn.CONCAT(A68,$E$1),PLANGRID!$A:$A,PLANGRID!$H:$H)</f>
        <v>closed</v>
      </c>
      <c r="F68" s="1" t="str">
        <f>_xlfn.XLOOKUP(_xlfn.CONCAT(A68,$F$1),PLANGRID!$A:$A,PLANGRID!$H:$H)</f>
        <v>closed</v>
      </c>
      <c r="G68" s="14" t="str">
        <f>_xlfn.XLOOKUP(_xlfn.CONCAT(A68,$G$1),PLANGRID!$A:$A,PLANGRID!$H:$H)</f>
        <v>closed</v>
      </c>
      <c r="H68" s="26"/>
    </row>
    <row r="69" spans="1:8" ht="22.5" customHeight="1" thickBot="1" x14ac:dyDescent="0.4">
      <c r="A69" s="12" t="s">
        <v>3557</v>
      </c>
      <c r="B69" s="1" t="str">
        <f>_xlfn.XLOOKUP(_xlfn.CONCAT(A69,$B$1),PLANGRID!$A:$A,PLANGRID!$H:$H)</f>
        <v>closed</v>
      </c>
      <c r="C69" s="1" t="str">
        <f>_xlfn.XLOOKUP(_xlfn.CONCAT(A69,$C$1),PLANGRID!$A:$A,PLANGRID!$H:$H)</f>
        <v>closed</v>
      </c>
      <c r="D69" s="1" t="str">
        <f>_xlfn.XLOOKUP(_xlfn.CONCAT(A69,$D$1),PLANGRID!$A:$A,PLANGRID!$H:$H)</f>
        <v>closed</v>
      </c>
      <c r="E69" s="1" t="str">
        <f>_xlfn.XLOOKUP(_xlfn.CONCAT(A69,$E$1),PLANGRID!$A:$A,PLANGRID!$H:$H)</f>
        <v>closed</v>
      </c>
      <c r="F69" s="1" t="str">
        <f>_xlfn.XLOOKUP(_xlfn.CONCAT(A69,$F$1),PLANGRID!$A:$A,PLANGRID!$H:$H)</f>
        <v>closed</v>
      </c>
      <c r="G69" s="14" t="str">
        <f>_xlfn.XLOOKUP(_xlfn.CONCAT(A69,$G$1),PLANGRID!$A:$A,PLANGRID!$H:$H)</f>
        <v>closed</v>
      </c>
      <c r="H69" s="26"/>
    </row>
    <row r="70" spans="1:8" ht="22.5" customHeight="1" thickBot="1" x14ac:dyDescent="0.4">
      <c r="A70" s="12" t="s">
        <v>3558</v>
      </c>
      <c r="B70" s="1" t="str">
        <f>_xlfn.XLOOKUP(_xlfn.CONCAT(A70,$B$1),PLANGRID!$A:$A,PLANGRID!$H:$H)</f>
        <v>closed</v>
      </c>
      <c r="C70" s="1" t="str">
        <f>_xlfn.XLOOKUP(_xlfn.CONCAT(A70,$C$1),PLANGRID!$A:$A,PLANGRID!$H:$H)</f>
        <v>closed</v>
      </c>
      <c r="D70" s="1" t="str">
        <f>_xlfn.XLOOKUP(_xlfn.CONCAT(A70,$D$1),PLANGRID!$A:$A,PLANGRID!$H:$H)</f>
        <v>closed</v>
      </c>
      <c r="E70" s="1" t="str">
        <f>_xlfn.XLOOKUP(_xlfn.CONCAT(A70,$E$1),PLANGRID!$A:$A,PLANGRID!$H:$H)</f>
        <v>closed</v>
      </c>
      <c r="F70" s="1" t="str">
        <f>_xlfn.XLOOKUP(_xlfn.CONCAT(A70,$F$1),PLANGRID!$A:$A,PLANGRID!$H:$H)</f>
        <v>closed</v>
      </c>
      <c r="G70" s="14" t="str">
        <f>_xlfn.XLOOKUP(_xlfn.CONCAT(A70,$G$1),PLANGRID!$A:$A,PLANGRID!$H:$H)</f>
        <v>closed</v>
      </c>
      <c r="H70" s="26"/>
    </row>
    <row r="71" spans="1:8" ht="22.5" customHeight="1" thickBot="1" x14ac:dyDescent="0.4">
      <c r="A71" s="12" t="s">
        <v>3559</v>
      </c>
      <c r="B71" s="1" t="str">
        <f>_xlfn.XLOOKUP(_xlfn.CONCAT(A71,$B$1),PLANGRID!$A:$A,PLANGRID!$H:$H)</f>
        <v>closed</v>
      </c>
      <c r="C71" s="1" t="str">
        <f>_xlfn.XLOOKUP(_xlfn.CONCAT(A71,$C$1),PLANGRID!$A:$A,PLANGRID!$H:$H)</f>
        <v>closed</v>
      </c>
      <c r="D71" s="1" t="str">
        <f>_xlfn.XLOOKUP(_xlfn.CONCAT(A71,$D$1),PLANGRID!$A:$A,PLANGRID!$H:$H)</f>
        <v>closed</v>
      </c>
      <c r="E71" s="1" t="str">
        <f>_xlfn.XLOOKUP(_xlfn.CONCAT(A71,$E$1),PLANGRID!$A:$A,PLANGRID!$H:$H)</f>
        <v>closed</v>
      </c>
      <c r="F71" s="1" t="str">
        <f>_xlfn.XLOOKUP(_xlfn.CONCAT(A71,$F$1),PLANGRID!$A:$A,PLANGRID!$H:$H)</f>
        <v>closed</v>
      </c>
      <c r="G71" s="14" t="str">
        <f>_xlfn.XLOOKUP(_xlfn.CONCAT(A71,$G$1),PLANGRID!$A:$A,PLANGRID!$H:$H)</f>
        <v>closed</v>
      </c>
      <c r="H71" s="26"/>
    </row>
    <row r="72" spans="1:8" ht="22.5" customHeight="1" thickBot="1" x14ac:dyDescent="0.4">
      <c r="A72" s="12" t="s">
        <v>3560</v>
      </c>
      <c r="B72" s="1" t="str">
        <f>_xlfn.XLOOKUP(_xlfn.CONCAT(A72,$B$1),PLANGRID!$A:$A,PLANGRID!$H:$H)</f>
        <v>closed</v>
      </c>
      <c r="C72" s="1" t="str">
        <f>_xlfn.XLOOKUP(_xlfn.CONCAT(A72,$C$1),PLANGRID!$A:$A,PLANGRID!$H:$H)</f>
        <v>closed</v>
      </c>
      <c r="D72" s="1" t="str">
        <f>_xlfn.XLOOKUP(_xlfn.CONCAT(A72,$D$1),PLANGRID!$A:$A,PLANGRID!$H:$H)</f>
        <v>closed</v>
      </c>
      <c r="E72" s="1" t="str">
        <f>_xlfn.XLOOKUP(_xlfn.CONCAT(A72,$E$1),PLANGRID!$A:$A,PLANGRID!$H:$H)</f>
        <v>closed</v>
      </c>
      <c r="F72" s="1" t="str">
        <f>_xlfn.XLOOKUP(_xlfn.CONCAT(A72,$F$1),PLANGRID!$A:$A,PLANGRID!$H:$H)</f>
        <v>closed</v>
      </c>
      <c r="G72" s="14" t="str">
        <f>_xlfn.XLOOKUP(_xlfn.CONCAT(A72,$G$1),PLANGRID!$A:$A,PLANGRID!$H:$H)</f>
        <v>closed</v>
      </c>
      <c r="H72" s="26"/>
    </row>
    <row r="73" spans="1:8" ht="22.5" customHeight="1" thickBot="1" x14ac:dyDescent="0.4">
      <c r="A73" s="12" t="s">
        <v>3561</v>
      </c>
      <c r="B73" s="1" t="str">
        <f>_xlfn.XLOOKUP(_xlfn.CONCAT(A73,$B$1),PLANGRID!$A:$A,PLANGRID!$H:$H)</f>
        <v>closed</v>
      </c>
      <c r="C73" s="1" t="str">
        <f>_xlfn.XLOOKUP(_xlfn.CONCAT(A73,$C$1),PLANGRID!$A:$A,PLANGRID!$H:$H)</f>
        <v>closed</v>
      </c>
      <c r="D73" s="1" t="str">
        <f>_xlfn.XLOOKUP(_xlfn.CONCAT(A73,$D$1),PLANGRID!$A:$A,PLANGRID!$H:$H)</f>
        <v>closed</v>
      </c>
      <c r="E73" s="1" t="str">
        <f>_xlfn.XLOOKUP(_xlfn.CONCAT(A73,$E$1),PLANGRID!$A:$A,PLANGRID!$H:$H)</f>
        <v>closed</v>
      </c>
      <c r="F73" s="1" t="str">
        <f>_xlfn.XLOOKUP(_xlfn.CONCAT(A73,$F$1),PLANGRID!$A:$A,PLANGRID!$H:$H)</f>
        <v>closed</v>
      </c>
      <c r="G73" s="14" t="str">
        <f>_xlfn.XLOOKUP(_xlfn.CONCAT(A73,$G$1),PLANGRID!$A:$A,PLANGRID!$H:$H)</f>
        <v>closed</v>
      </c>
      <c r="H73" s="26"/>
    </row>
    <row r="74" spans="1:8" ht="22.5" customHeight="1" thickBot="1" x14ac:dyDescent="0.4">
      <c r="A74" s="12" t="s">
        <v>3562</v>
      </c>
      <c r="B74" s="1" t="str">
        <f>_xlfn.XLOOKUP(_xlfn.CONCAT(A74,$B$1),PLANGRID!$A:$A,PLANGRID!$H:$H)</f>
        <v>closed</v>
      </c>
      <c r="C74" s="1" t="str">
        <f>_xlfn.XLOOKUP(_xlfn.CONCAT(A74,$C$1),PLANGRID!$A:$A,PLANGRID!$H:$H)</f>
        <v>closed</v>
      </c>
      <c r="D74" s="1" t="str">
        <f>_xlfn.XLOOKUP(_xlfn.CONCAT(A74,$D$1),PLANGRID!$A:$A,PLANGRID!$H:$H)</f>
        <v>closed</v>
      </c>
      <c r="E74" s="1" t="str">
        <f>_xlfn.XLOOKUP(_xlfn.CONCAT(A74,$E$1),PLANGRID!$A:$A,PLANGRID!$H:$H)</f>
        <v>closed</v>
      </c>
      <c r="F74" s="1" t="str">
        <f>_xlfn.XLOOKUP(_xlfn.CONCAT(A74,$F$1),PLANGRID!$A:$A,PLANGRID!$H:$H)</f>
        <v>closed</v>
      </c>
      <c r="G74" s="14" t="str">
        <f>_xlfn.XLOOKUP(_xlfn.CONCAT(A74,$G$1),PLANGRID!$A:$A,PLANGRID!$H:$H)</f>
        <v>closed</v>
      </c>
      <c r="H74" s="26"/>
    </row>
    <row r="75" spans="1:8" ht="22.5" customHeight="1" thickBot="1" x14ac:dyDescent="0.4">
      <c r="A75" s="12" t="s">
        <v>3563</v>
      </c>
      <c r="B75" s="1" t="str">
        <f>_xlfn.XLOOKUP(_xlfn.CONCAT(A75,$B$1),PLANGRID!$A:$A,PLANGRID!$H:$H)</f>
        <v>closed</v>
      </c>
      <c r="C75" s="1" t="str">
        <f>_xlfn.XLOOKUP(_xlfn.CONCAT(A75,$C$1),PLANGRID!$A:$A,PLANGRID!$H:$H)</f>
        <v>closed</v>
      </c>
      <c r="D75" s="1" t="str">
        <f>_xlfn.XLOOKUP(_xlfn.CONCAT(A75,$D$1),PLANGRID!$A:$A,PLANGRID!$H:$H)</f>
        <v>closed</v>
      </c>
      <c r="E75" s="1" t="str">
        <f>_xlfn.XLOOKUP(_xlfn.CONCAT(A75,$E$1),PLANGRID!$A:$A,PLANGRID!$H:$H)</f>
        <v>closed</v>
      </c>
      <c r="F75" s="1" t="str">
        <f>_xlfn.XLOOKUP(_xlfn.CONCAT(A75,$F$1),PLANGRID!$A:$A,PLANGRID!$H:$H)</f>
        <v>closed</v>
      </c>
      <c r="G75" s="14" t="str">
        <f>_xlfn.XLOOKUP(_xlfn.CONCAT(A75,$G$1),PLANGRID!$A:$A,PLANGRID!$H:$H)</f>
        <v>closed</v>
      </c>
      <c r="H75" s="26"/>
    </row>
    <row r="76" spans="1:8" ht="22.5" customHeight="1" thickBot="1" x14ac:dyDescent="0.4">
      <c r="A76" s="12" t="s">
        <v>3564</v>
      </c>
      <c r="B76" s="1" t="str">
        <f>_xlfn.XLOOKUP(_xlfn.CONCAT(A76,$B$1),PLANGRID!$A:$A,PLANGRID!$H:$H)</f>
        <v>closed</v>
      </c>
      <c r="C76" s="1" t="str">
        <f>_xlfn.XLOOKUP(_xlfn.CONCAT(A76,$C$1),PLANGRID!$A:$A,PLANGRID!$H:$H)</f>
        <v>closed</v>
      </c>
      <c r="D76" s="1" t="str">
        <f>_xlfn.XLOOKUP(_xlfn.CONCAT(A76,$D$1),PLANGRID!$A:$A,PLANGRID!$H:$H)</f>
        <v>closed</v>
      </c>
      <c r="E76" s="1" t="str">
        <f>_xlfn.XLOOKUP(_xlfn.CONCAT(A76,$E$1),PLANGRID!$A:$A,PLANGRID!$H:$H)</f>
        <v>closed</v>
      </c>
      <c r="F76" s="1" t="str">
        <f>_xlfn.XLOOKUP(_xlfn.CONCAT(A76,$F$1),PLANGRID!$A:$A,PLANGRID!$H:$H)</f>
        <v>closed</v>
      </c>
      <c r="G76" s="14" t="str">
        <f>_xlfn.XLOOKUP(_xlfn.CONCAT(A76,$G$1),PLANGRID!$A:$A,PLANGRID!$H:$H)</f>
        <v>closed</v>
      </c>
      <c r="H76" s="26"/>
    </row>
    <row r="77" spans="1:8" ht="22.5" customHeight="1" thickBot="1" x14ac:dyDescent="0.4">
      <c r="A77" s="12" t="s">
        <v>3565</v>
      </c>
      <c r="B77" s="1" t="str">
        <f>_xlfn.XLOOKUP(_xlfn.CONCAT(A77,$B$1),PLANGRID!$A:$A,PLANGRID!$H:$H)</f>
        <v>closed</v>
      </c>
      <c r="C77" s="1" t="str">
        <f>_xlfn.XLOOKUP(_xlfn.CONCAT(A77,$C$1),PLANGRID!$A:$A,PLANGRID!$H:$H)</f>
        <v>closed</v>
      </c>
      <c r="D77" s="1" t="str">
        <f>_xlfn.XLOOKUP(_xlfn.CONCAT(A77,$D$1),PLANGRID!$A:$A,PLANGRID!$H:$H)</f>
        <v>closed</v>
      </c>
      <c r="E77" s="1" t="str">
        <f>_xlfn.XLOOKUP(_xlfn.CONCAT(A77,$E$1),PLANGRID!$A:$A,PLANGRID!$H:$H)</f>
        <v>closed</v>
      </c>
      <c r="F77" s="1" t="str">
        <f>_xlfn.XLOOKUP(_xlfn.CONCAT(A77,$F$1),PLANGRID!$A:$A,PLANGRID!$H:$H)</f>
        <v>closed</v>
      </c>
      <c r="G77" s="14" t="str">
        <f>_xlfn.XLOOKUP(_xlfn.CONCAT(A77,$G$1),PLANGRID!$A:$A,PLANGRID!$H:$H)</f>
        <v>closed</v>
      </c>
      <c r="H77" s="26"/>
    </row>
    <row r="78" spans="1:8" ht="22.5" customHeight="1" thickBot="1" x14ac:dyDescent="0.4">
      <c r="A78" s="12" t="s">
        <v>3566</v>
      </c>
      <c r="B78" s="1" t="str">
        <f>_xlfn.XLOOKUP(_xlfn.CONCAT(A78,$B$1),PLANGRID!$A:$A,PLANGRID!$H:$H)</f>
        <v>closed</v>
      </c>
      <c r="C78" s="1" t="str">
        <f>_xlfn.XLOOKUP(_xlfn.CONCAT(A78,$C$1),PLANGRID!$A:$A,PLANGRID!$H:$H)</f>
        <v>closed</v>
      </c>
      <c r="D78" s="1" t="str">
        <f>_xlfn.XLOOKUP(_xlfn.CONCAT(A78,$D$1),PLANGRID!$A:$A,PLANGRID!$H:$H)</f>
        <v>closed</v>
      </c>
      <c r="E78" s="1" t="str">
        <f>_xlfn.XLOOKUP(_xlfn.CONCAT(A78,$E$1),PLANGRID!$A:$A,PLANGRID!$H:$H)</f>
        <v>closed</v>
      </c>
      <c r="F78" s="1" t="str">
        <f>_xlfn.XLOOKUP(_xlfn.CONCAT(A78,$F$1),PLANGRID!$A:$A,PLANGRID!$H:$H)</f>
        <v>closed</v>
      </c>
      <c r="G78" s="14" t="str">
        <f>_xlfn.XLOOKUP(_xlfn.CONCAT(A78,$G$1),PLANGRID!$A:$A,PLANGRID!$H:$H)</f>
        <v>closed</v>
      </c>
      <c r="H78" s="26"/>
    </row>
    <row r="79" spans="1:8" ht="22.5" customHeight="1" thickBot="1" x14ac:dyDescent="0.4">
      <c r="A79" s="12" t="s">
        <v>3567</v>
      </c>
      <c r="B79" s="1" t="str">
        <f>_xlfn.XLOOKUP(_xlfn.CONCAT(A79,$B$1),PLANGRID!$A:$A,PLANGRID!$H:$H)</f>
        <v>closed</v>
      </c>
      <c r="C79" s="1" t="str">
        <f>_xlfn.XLOOKUP(_xlfn.CONCAT(A79,$C$1),PLANGRID!$A:$A,PLANGRID!$H:$H)</f>
        <v>closed</v>
      </c>
      <c r="D79" s="1" t="str">
        <f>_xlfn.XLOOKUP(_xlfn.CONCAT(A79,$D$1),PLANGRID!$A:$A,PLANGRID!$H:$H)</f>
        <v>closed</v>
      </c>
      <c r="E79" s="1" t="str">
        <f>_xlfn.XLOOKUP(_xlfn.CONCAT(A79,$E$1),PLANGRID!$A:$A,PLANGRID!$H:$H)</f>
        <v>closed</v>
      </c>
      <c r="F79" s="1" t="str">
        <f>_xlfn.XLOOKUP(_xlfn.CONCAT(A79,$F$1),PLANGRID!$A:$A,PLANGRID!$H:$H)</f>
        <v>closed</v>
      </c>
      <c r="G79" s="14" t="str">
        <f>_xlfn.XLOOKUP(_xlfn.CONCAT(A79,$G$1),PLANGRID!$A:$A,PLANGRID!$H:$H)</f>
        <v>closed</v>
      </c>
      <c r="H79" s="26"/>
    </row>
    <row r="80" spans="1:8" ht="22.5" customHeight="1" thickBot="1" x14ac:dyDescent="0.4">
      <c r="A80" s="12" t="s">
        <v>3568</v>
      </c>
      <c r="B80" s="1" t="str">
        <f>_xlfn.XLOOKUP(_xlfn.CONCAT(A80,$B$1),PLANGRID!$A:$A,PLANGRID!$H:$H)</f>
        <v>closed</v>
      </c>
      <c r="C80" s="1" t="str">
        <f>_xlfn.XLOOKUP(_xlfn.CONCAT(A80,$C$1),PLANGRID!$A:$A,PLANGRID!$H:$H)</f>
        <v>closed</v>
      </c>
      <c r="D80" s="1" t="str">
        <f>_xlfn.XLOOKUP(_xlfn.CONCAT(A80,$D$1),PLANGRID!$A:$A,PLANGRID!$H:$H)</f>
        <v>closed</v>
      </c>
      <c r="E80" s="1" t="str">
        <f>_xlfn.XLOOKUP(_xlfn.CONCAT(A80,$E$1),PLANGRID!$A:$A,PLANGRID!$H:$H)</f>
        <v>closed</v>
      </c>
      <c r="F80" s="1" t="str">
        <f>_xlfn.XLOOKUP(_xlfn.CONCAT(A80,$F$1),PLANGRID!$A:$A,PLANGRID!$H:$H)</f>
        <v>closed</v>
      </c>
      <c r="G80" s="14" t="str">
        <f>_xlfn.XLOOKUP(_xlfn.CONCAT(A80,$G$1),PLANGRID!$A:$A,PLANGRID!$H:$H)</f>
        <v>closed</v>
      </c>
      <c r="H80" s="26"/>
    </row>
    <row r="81" spans="1:8" ht="22.5" customHeight="1" thickBot="1" x14ac:dyDescent="0.4">
      <c r="A81" s="12" t="s">
        <v>3569</v>
      </c>
      <c r="B81" s="1" t="str">
        <f>_xlfn.XLOOKUP(_xlfn.CONCAT(A81,$B$1),PLANGRID!$A:$A,PLANGRID!$H:$H)</f>
        <v>closed</v>
      </c>
      <c r="C81" s="1" t="str">
        <f>_xlfn.XLOOKUP(_xlfn.CONCAT(A81,$C$1),PLANGRID!$A:$A,PLANGRID!$H:$H)</f>
        <v>closed</v>
      </c>
      <c r="D81" s="1" t="str">
        <f>_xlfn.XLOOKUP(_xlfn.CONCAT(A81,$D$1),PLANGRID!$A:$A,PLANGRID!$H:$H)</f>
        <v>closed</v>
      </c>
      <c r="E81" s="1" t="str">
        <f>_xlfn.XLOOKUP(_xlfn.CONCAT(A81,$E$1),PLANGRID!$A:$A,PLANGRID!$H:$H)</f>
        <v>closed</v>
      </c>
      <c r="F81" s="1" t="str">
        <f>_xlfn.XLOOKUP(_xlfn.CONCAT(A81,$F$1),PLANGRID!$A:$A,PLANGRID!$H:$H)</f>
        <v>closed</v>
      </c>
      <c r="G81" s="14" t="str">
        <f>_xlfn.XLOOKUP(_xlfn.CONCAT(A81,$G$1),PLANGRID!$A:$A,PLANGRID!$H:$H)</f>
        <v>closed</v>
      </c>
      <c r="H81" s="26"/>
    </row>
    <row r="82" spans="1:8" ht="22.5" customHeight="1" thickBot="1" x14ac:dyDescent="0.4">
      <c r="A82" s="12" t="s">
        <v>3570</v>
      </c>
      <c r="B82" s="1" t="str">
        <f>_xlfn.XLOOKUP(_xlfn.CONCAT(A82,$B$1),PLANGRID!$A:$A,PLANGRID!$H:$H)</f>
        <v>closed</v>
      </c>
      <c r="C82" s="1" t="str">
        <f>_xlfn.XLOOKUP(_xlfn.CONCAT(A82,$C$1),PLANGRID!$A:$A,PLANGRID!$H:$H)</f>
        <v>closed</v>
      </c>
      <c r="D82" s="1" t="str">
        <f>_xlfn.XLOOKUP(_xlfn.CONCAT(A82,$D$1),PLANGRID!$A:$A,PLANGRID!$H:$H)</f>
        <v>closed</v>
      </c>
      <c r="E82" s="1" t="str">
        <f>_xlfn.XLOOKUP(_xlfn.CONCAT(A82,$E$1),PLANGRID!$A:$A,PLANGRID!$H:$H)</f>
        <v>closed</v>
      </c>
      <c r="F82" s="1" t="str">
        <f>_xlfn.XLOOKUP(_xlfn.CONCAT(A82,$F$1),PLANGRID!$A:$A,PLANGRID!$H:$H)</f>
        <v>closed</v>
      </c>
      <c r="G82" s="14" t="str">
        <f>_xlfn.XLOOKUP(_xlfn.CONCAT(A82,$G$1),PLANGRID!$A:$A,PLANGRID!$H:$H)</f>
        <v>closed</v>
      </c>
      <c r="H82" s="26"/>
    </row>
    <row r="83" spans="1:8" ht="22.5" customHeight="1" thickBot="1" x14ac:dyDescent="0.4">
      <c r="A83" s="12" t="s">
        <v>3571</v>
      </c>
      <c r="B83" s="1" t="str">
        <f>_xlfn.XLOOKUP(_xlfn.CONCAT(A83,$B$1),PLANGRID!$A:$A,PLANGRID!$H:$H)</f>
        <v>closed</v>
      </c>
      <c r="C83" s="1" t="str">
        <f>_xlfn.XLOOKUP(_xlfn.CONCAT(A83,$C$1),PLANGRID!$A:$A,PLANGRID!$H:$H)</f>
        <v>closed</v>
      </c>
      <c r="D83" s="1" t="str">
        <f>_xlfn.XLOOKUP(_xlfn.CONCAT(A83,$D$1),PLANGRID!$A:$A,PLANGRID!$H:$H)</f>
        <v>closed</v>
      </c>
      <c r="E83" s="1" t="str">
        <f>_xlfn.XLOOKUP(_xlfn.CONCAT(A83,$E$1),PLANGRID!$A:$A,PLANGRID!$H:$H)</f>
        <v>closed</v>
      </c>
      <c r="F83" s="1" t="str">
        <f>_xlfn.XLOOKUP(_xlfn.CONCAT(A83,$F$1),PLANGRID!$A:$A,PLANGRID!$H:$H)</f>
        <v>closed</v>
      </c>
      <c r="G83" s="14" t="str">
        <f>_xlfn.XLOOKUP(_xlfn.CONCAT(A83,$G$1),PLANGRID!$A:$A,PLANGRID!$H:$H)</f>
        <v>closed</v>
      </c>
      <c r="H83" s="26"/>
    </row>
    <row r="84" spans="1:8" ht="22.5" customHeight="1" thickBot="1" x14ac:dyDescent="0.4">
      <c r="A84" s="12" t="s">
        <v>3572</v>
      </c>
      <c r="B84" s="1" t="str">
        <f>_xlfn.XLOOKUP(_xlfn.CONCAT(A84,$B$1),PLANGRID!$A:$A,PLANGRID!$H:$H)</f>
        <v>closed</v>
      </c>
      <c r="C84" s="1" t="str">
        <f>_xlfn.XLOOKUP(_xlfn.CONCAT(A84,$C$1),PLANGRID!$A:$A,PLANGRID!$H:$H)</f>
        <v>closed</v>
      </c>
      <c r="D84" s="1" t="str">
        <f>_xlfn.XLOOKUP(_xlfn.CONCAT(A84,$D$1),PLANGRID!$A:$A,PLANGRID!$H:$H)</f>
        <v>closed</v>
      </c>
      <c r="E84" s="1" t="str">
        <f>_xlfn.XLOOKUP(_xlfn.CONCAT(A84,$E$1),PLANGRID!$A:$A,PLANGRID!$H:$H)</f>
        <v>closed</v>
      </c>
      <c r="F84" s="1" t="str">
        <f>_xlfn.XLOOKUP(_xlfn.CONCAT(A84,$F$1),PLANGRID!$A:$A,PLANGRID!$H:$H)</f>
        <v>closed</v>
      </c>
      <c r="G84" s="14" t="str">
        <f>_xlfn.XLOOKUP(_xlfn.CONCAT(A84,$G$1),PLANGRID!$A:$A,PLANGRID!$H:$H)</f>
        <v>closed</v>
      </c>
      <c r="H84" s="26"/>
    </row>
    <row r="85" spans="1:8" ht="22.5" customHeight="1" thickBot="1" x14ac:dyDescent="0.4">
      <c r="A85" s="12" t="s">
        <v>3574</v>
      </c>
      <c r="B85" s="1" t="str">
        <f>_xlfn.XLOOKUP(_xlfn.CONCAT(A85,$B$1),PLANGRID!$A:$A,PLANGRID!$H:$H)</f>
        <v>closed</v>
      </c>
      <c r="C85" s="1" t="str">
        <f>_xlfn.XLOOKUP(_xlfn.CONCAT(A85,$C$1),PLANGRID!$A:$A,PLANGRID!$H:$H)</f>
        <v>closed</v>
      </c>
      <c r="D85" s="1" t="str">
        <f>_xlfn.XLOOKUP(_xlfn.CONCAT(A85,$D$1),PLANGRID!$A:$A,PLANGRID!$H:$H)</f>
        <v>closed</v>
      </c>
      <c r="E85" s="1" t="str">
        <f>_xlfn.XLOOKUP(_xlfn.CONCAT(A85,$E$1),PLANGRID!$A:$A,PLANGRID!$H:$H)</f>
        <v>closed</v>
      </c>
      <c r="F85" s="1" t="str">
        <f>_xlfn.XLOOKUP(_xlfn.CONCAT(A85,$F$1),PLANGRID!$A:$A,PLANGRID!$H:$H)</f>
        <v>closed</v>
      </c>
      <c r="G85" s="14" t="str">
        <f>_xlfn.XLOOKUP(_xlfn.CONCAT(A85,$G$1),PLANGRID!$A:$A,PLANGRID!$H:$H)</f>
        <v>closed</v>
      </c>
      <c r="H85" s="26"/>
    </row>
    <row r="86" spans="1:8" ht="22.5" customHeight="1" thickBot="1" x14ac:dyDescent="0.4">
      <c r="A86" s="12" t="s">
        <v>3575</v>
      </c>
      <c r="B86" s="1" t="str">
        <f>_xlfn.XLOOKUP(_xlfn.CONCAT(A86,$B$1),PLANGRID!$A:$A,PLANGRID!$H:$H)</f>
        <v>closed</v>
      </c>
      <c r="C86" s="1" t="str">
        <f>_xlfn.XLOOKUP(_xlfn.CONCAT(A86,$C$1),PLANGRID!$A:$A,PLANGRID!$H:$H)</f>
        <v>closed</v>
      </c>
      <c r="D86" s="1" t="str">
        <f>_xlfn.XLOOKUP(_xlfn.CONCAT(A86,$D$1),PLANGRID!$A:$A,PLANGRID!$H:$H)</f>
        <v>closed</v>
      </c>
      <c r="E86" s="1" t="str">
        <f>_xlfn.XLOOKUP(_xlfn.CONCAT(A86,$E$1),PLANGRID!$A:$A,PLANGRID!$H:$H)</f>
        <v>closed</v>
      </c>
      <c r="F86" s="1" t="str">
        <f>_xlfn.XLOOKUP(_xlfn.CONCAT(A86,$F$1),PLANGRID!$A:$A,PLANGRID!$H:$H)</f>
        <v>closed</v>
      </c>
      <c r="G86" s="14" t="str">
        <f>_xlfn.XLOOKUP(_xlfn.CONCAT(A86,$G$1),PLANGRID!$A:$A,PLANGRID!$H:$H)</f>
        <v>closed</v>
      </c>
      <c r="H86" s="26"/>
    </row>
    <row r="87" spans="1:8" ht="22.5" customHeight="1" thickBot="1" x14ac:dyDescent="0.4">
      <c r="A87" s="12" t="s">
        <v>3576</v>
      </c>
      <c r="B87" s="1" t="str">
        <f>_xlfn.XLOOKUP(_xlfn.CONCAT(A87,$B$1),PLANGRID!$A:$A,PLANGRID!$H:$H)</f>
        <v>closed</v>
      </c>
      <c r="C87" s="1" t="str">
        <f>_xlfn.XLOOKUP(_xlfn.CONCAT(A87,$C$1),PLANGRID!$A:$A,PLANGRID!$H:$H)</f>
        <v>closed</v>
      </c>
      <c r="D87" s="1" t="str">
        <f>_xlfn.XLOOKUP(_xlfn.CONCAT(A87,$D$1),PLANGRID!$A:$A,PLANGRID!$H:$H)</f>
        <v>closed</v>
      </c>
      <c r="E87" s="1" t="str">
        <f>_xlfn.XLOOKUP(_xlfn.CONCAT(A87,$E$1),PLANGRID!$A:$A,PLANGRID!$H:$H)</f>
        <v>closed</v>
      </c>
      <c r="F87" s="1" t="str">
        <f>_xlfn.XLOOKUP(_xlfn.CONCAT(A87,$F$1),PLANGRID!$A:$A,PLANGRID!$H:$H)</f>
        <v>closed</v>
      </c>
      <c r="G87" s="14" t="str">
        <f>_xlfn.XLOOKUP(_xlfn.CONCAT(A87,$G$1),PLANGRID!$A:$A,PLANGRID!$H:$H)</f>
        <v>closed</v>
      </c>
      <c r="H87" s="26"/>
    </row>
    <row r="88" spans="1:8" ht="22.5" customHeight="1" thickBot="1" x14ac:dyDescent="0.4">
      <c r="A88" s="12" t="s">
        <v>3577</v>
      </c>
      <c r="B88" s="1" t="str">
        <f>_xlfn.XLOOKUP(_xlfn.CONCAT(A88,$B$1),PLANGRID!$A:$A,PLANGRID!$H:$H)</f>
        <v>closed</v>
      </c>
      <c r="C88" s="1" t="str">
        <f>_xlfn.XLOOKUP(_xlfn.CONCAT(A88,$C$1),PLANGRID!$A:$A,PLANGRID!$H:$H)</f>
        <v>closed</v>
      </c>
      <c r="D88" s="1" t="str">
        <f>_xlfn.XLOOKUP(_xlfn.CONCAT(A88,$D$1),PLANGRID!$A:$A,PLANGRID!$H:$H)</f>
        <v>closed</v>
      </c>
      <c r="E88" s="1" t="str">
        <f>_xlfn.XLOOKUP(_xlfn.CONCAT(A88,$E$1),PLANGRID!$A:$A,PLANGRID!$H:$H)</f>
        <v>closed</v>
      </c>
      <c r="F88" s="1" t="str">
        <f>_xlfn.XLOOKUP(_xlfn.CONCAT(A88,$F$1),PLANGRID!$A:$A,PLANGRID!$H:$H)</f>
        <v>closed</v>
      </c>
      <c r="G88" s="14" t="str">
        <f>_xlfn.XLOOKUP(_xlfn.CONCAT(A88,$G$1),PLANGRID!$A:$A,PLANGRID!$H:$H)</f>
        <v>closed</v>
      </c>
      <c r="H88" s="26"/>
    </row>
    <row r="89" spans="1:8" ht="22.5" customHeight="1" thickBot="1" x14ac:dyDescent="0.4">
      <c r="A89" s="12" t="s">
        <v>3578</v>
      </c>
      <c r="B89" s="1" t="str">
        <f>_xlfn.XLOOKUP(_xlfn.CONCAT(A89,$B$1),PLANGRID!$A:$A,PLANGRID!$H:$H)</f>
        <v>closed</v>
      </c>
      <c r="C89" s="1" t="str">
        <f>_xlfn.XLOOKUP(_xlfn.CONCAT(A89,$C$1),PLANGRID!$A:$A,PLANGRID!$H:$H)</f>
        <v>closed</v>
      </c>
      <c r="D89" s="1" t="str">
        <f>_xlfn.XLOOKUP(_xlfn.CONCAT(A89,$D$1),PLANGRID!$A:$A,PLANGRID!$H:$H)</f>
        <v>closed</v>
      </c>
      <c r="E89" s="1" t="str">
        <f>_xlfn.XLOOKUP(_xlfn.CONCAT(A89,$E$1),PLANGRID!$A:$A,PLANGRID!$H:$H)</f>
        <v>closed</v>
      </c>
      <c r="F89" s="1" t="str">
        <f>_xlfn.XLOOKUP(_xlfn.CONCAT(A89,$F$1),PLANGRID!$A:$A,PLANGRID!$H:$H)</f>
        <v>closed</v>
      </c>
      <c r="G89" s="14" t="str">
        <f>_xlfn.XLOOKUP(_xlfn.CONCAT(A89,$G$1),PLANGRID!$A:$A,PLANGRID!$H:$H)</f>
        <v>closed</v>
      </c>
      <c r="H89" s="26"/>
    </row>
    <row r="90" spans="1:8" ht="22.5" customHeight="1" thickBot="1" x14ac:dyDescent="0.4">
      <c r="A90" s="12" t="s">
        <v>3579</v>
      </c>
      <c r="B90" s="1" t="str">
        <f>_xlfn.XLOOKUP(_xlfn.CONCAT(A90,$B$1),PLANGRID!$A:$A,PLANGRID!$H:$H)</f>
        <v>closed</v>
      </c>
      <c r="C90" s="1" t="str">
        <f>_xlfn.XLOOKUP(_xlfn.CONCAT(A90,$C$1),PLANGRID!$A:$A,PLANGRID!$H:$H)</f>
        <v>closed</v>
      </c>
      <c r="D90" s="1" t="str">
        <f>_xlfn.XLOOKUP(_xlfn.CONCAT(A90,$D$1),PLANGRID!$A:$A,PLANGRID!$H:$H)</f>
        <v>closed</v>
      </c>
      <c r="E90" s="1" t="str">
        <f>_xlfn.XLOOKUP(_xlfn.CONCAT(A90,$E$1),PLANGRID!$A:$A,PLANGRID!$H:$H)</f>
        <v>closed</v>
      </c>
      <c r="F90" s="1" t="str">
        <f>_xlfn.XLOOKUP(_xlfn.CONCAT(A90,$F$1),PLANGRID!$A:$A,PLANGRID!$H:$H)</f>
        <v>closed</v>
      </c>
      <c r="G90" s="14" t="str">
        <f>_xlfn.XLOOKUP(_xlfn.CONCAT(A90,$G$1),PLANGRID!$A:$A,PLANGRID!$H:$H)</f>
        <v>closed</v>
      </c>
      <c r="H90" s="26"/>
    </row>
    <row r="91" spans="1:8" ht="22.5" customHeight="1" thickBot="1" x14ac:dyDescent="0.4">
      <c r="A91" s="12" t="s">
        <v>3580</v>
      </c>
      <c r="B91" s="1" t="str">
        <f>_xlfn.XLOOKUP(_xlfn.CONCAT(A91,$B$1),PLANGRID!$A:$A,PLANGRID!$H:$H)</f>
        <v>closed</v>
      </c>
      <c r="C91" s="1" t="str">
        <f>_xlfn.XLOOKUP(_xlfn.CONCAT(A91,$C$1),PLANGRID!$A:$A,PLANGRID!$H:$H)</f>
        <v>closed</v>
      </c>
      <c r="D91" s="1" t="str">
        <f>_xlfn.XLOOKUP(_xlfn.CONCAT(A91,$D$1),PLANGRID!$A:$A,PLANGRID!$H:$H)</f>
        <v>closed</v>
      </c>
      <c r="E91" s="1" t="str">
        <f>_xlfn.XLOOKUP(_xlfn.CONCAT(A91,$E$1),PLANGRID!$A:$A,PLANGRID!$H:$H)</f>
        <v>closed</v>
      </c>
      <c r="F91" s="1" t="str">
        <f>_xlfn.XLOOKUP(_xlfn.CONCAT(A91,$F$1),PLANGRID!$A:$A,PLANGRID!$H:$H)</f>
        <v>closed</v>
      </c>
      <c r="G91" s="14" t="str">
        <f>_xlfn.XLOOKUP(_xlfn.CONCAT(A91,$G$1),PLANGRID!$A:$A,PLANGRID!$H:$H)</f>
        <v>closed</v>
      </c>
      <c r="H91" s="26"/>
    </row>
    <row r="92" spans="1:8" ht="22.5" customHeight="1" thickBot="1" x14ac:dyDescent="0.4">
      <c r="A92" s="12" t="s">
        <v>3581</v>
      </c>
      <c r="B92" s="1" t="str">
        <f>_xlfn.XLOOKUP(_xlfn.CONCAT(A92,$B$1),PLANGRID!$A:$A,PLANGRID!$H:$H)</f>
        <v>closed</v>
      </c>
      <c r="C92" s="1" t="str">
        <f>_xlfn.XLOOKUP(_xlfn.CONCAT(A92,$C$1),PLANGRID!$A:$A,PLANGRID!$H:$H)</f>
        <v>closed</v>
      </c>
      <c r="D92" s="1" t="str">
        <f>_xlfn.XLOOKUP(_xlfn.CONCAT(A92,$D$1),PLANGRID!$A:$A,PLANGRID!$H:$H)</f>
        <v>closed</v>
      </c>
      <c r="E92" s="1" t="str">
        <f>_xlfn.XLOOKUP(_xlfn.CONCAT(A92,$E$1),PLANGRID!$A:$A,PLANGRID!$H:$H)</f>
        <v>closed</v>
      </c>
      <c r="F92" s="1" t="str">
        <f>_xlfn.XLOOKUP(_xlfn.CONCAT(A92,$F$1),PLANGRID!$A:$A,PLANGRID!$H:$H)</f>
        <v>closed</v>
      </c>
      <c r="G92" s="14" t="str">
        <f>_xlfn.XLOOKUP(_xlfn.CONCAT(A92,$G$1),PLANGRID!$A:$A,PLANGRID!$H:$H)</f>
        <v>closed</v>
      </c>
      <c r="H92" s="26"/>
    </row>
    <row r="93" spans="1:8" ht="22.5" customHeight="1" thickBot="1" x14ac:dyDescent="0.4">
      <c r="A93" s="12" t="s">
        <v>3582</v>
      </c>
      <c r="B93" s="1" t="str">
        <f>_xlfn.XLOOKUP(_xlfn.CONCAT(A93,$B$1),PLANGRID!$A:$A,PLANGRID!$H:$H)</f>
        <v>closed</v>
      </c>
      <c r="C93" s="1" t="str">
        <f>_xlfn.XLOOKUP(_xlfn.CONCAT(A93,$C$1),PLANGRID!$A:$A,PLANGRID!$H:$H)</f>
        <v>closed</v>
      </c>
      <c r="D93" s="1" t="str">
        <f>_xlfn.XLOOKUP(_xlfn.CONCAT(A93,$D$1),PLANGRID!$A:$A,PLANGRID!$H:$H)</f>
        <v>closed</v>
      </c>
      <c r="E93" s="1" t="str">
        <f>_xlfn.XLOOKUP(_xlfn.CONCAT(A93,$E$1),PLANGRID!$A:$A,PLANGRID!$H:$H)</f>
        <v>closed</v>
      </c>
      <c r="F93" s="1" t="str">
        <f>_xlfn.XLOOKUP(_xlfn.CONCAT(A93,$F$1),PLANGRID!$A:$A,PLANGRID!$H:$H)</f>
        <v>closed</v>
      </c>
      <c r="G93" s="14" t="str">
        <f>_xlfn.XLOOKUP(_xlfn.CONCAT(A93,$G$1),PLANGRID!$A:$A,PLANGRID!$H:$H)</f>
        <v>closed</v>
      </c>
      <c r="H93" s="26"/>
    </row>
    <row r="94" spans="1:8" ht="22.5" customHeight="1" thickBot="1" x14ac:dyDescent="0.4">
      <c r="A94" s="12" t="s">
        <v>3583</v>
      </c>
      <c r="B94" s="1" t="str">
        <f>_xlfn.XLOOKUP(_xlfn.CONCAT(A94,$B$1),PLANGRID!$A:$A,PLANGRID!$H:$H)</f>
        <v>closed</v>
      </c>
      <c r="C94" s="1" t="str">
        <f>_xlfn.XLOOKUP(_xlfn.CONCAT(A94,$C$1),PLANGRID!$A:$A,PLANGRID!$H:$H)</f>
        <v>closed</v>
      </c>
      <c r="D94" s="1" t="str">
        <f>_xlfn.XLOOKUP(_xlfn.CONCAT(A94,$D$1),PLANGRID!$A:$A,PLANGRID!$H:$H)</f>
        <v>closed</v>
      </c>
      <c r="E94" s="1" t="str">
        <f>_xlfn.XLOOKUP(_xlfn.CONCAT(A94,$E$1),PLANGRID!$A:$A,PLANGRID!$H:$H)</f>
        <v>closed</v>
      </c>
      <c r="F94" s="1" t="str">
        <f>_xlfn.XLOOKUP(_xlfn.CONCAT(A94,$F$1),PLANGRID!$A:$A,PLANGRID!$H:$H)</f>
        <v>closed</v>
      </c>
      <c r="G94" s="14" t="str">
        <f>_xlfn.XLOOKUP(_xlfn.CONCAT(A94,$G$1),PLANGRID!$A:$A,PLANGRID!$H:$H)</f>
        <v>closed</v>
      </c>
      <c r="H94" s="26"/>
    </row>
    <row r="95" spans="1:8" ht="22.5" customHeight="1" thickBot="1" x14ac:dyDescent="0.4">
      <c r="A95" s="8">
        <v>1001</v>
      </c>
      <c r="B95" s="1" t="str">
        <f>_xlfn.XLOOKUP(_xlfn.CONCAT(A95,$B$1),PLANGRID!$A:$A,PLANGRID!$H:$H)</f>
        <v>closed</v>
      </c>
      <c r="C95" s="1" t="str">
        <f>_xlfn.XLOOKUP(_xlfn.CONCAT(A95,$C$1),PLANGRID!$A:$A,PLANGRID!$H:$H)</f>
        <v>closed</v>
      </c>
      <c r="D95" s="1" t="str">
        <f>_xlfn.XLOOKUP(_xlfn.CONCAT(A95,$D$1),PLANGRID!$A:$A,PLANGRID!$H:$H)</f>
        <v>closed</v>
      </c>
      <c r="E95" s="1" t="str">
        <f>_xlfn.XLOOKUP(_xlfn.CONCAT(A95,$E$1),PLANGRID!$A:$A,PLANGRID!$H:$H)</f>
        <v>closed</v>
      </c>
      <c r="F95" s="1" t="str">
        <f>_xlfn.XLOOKUP(_xlfn.CONCAT(A95,$F$1),PLANGRID!$A:$A,PLANGRID!$H:$H)</f>
        <v>closed</v>
      </c>
      <c r="G95" s="14" t="str">
        <f>_xlfn.XLOOKUP(_xlfn.CONCAT(A95,$G$1),PLANGRID!$A:$A,PLANGRID!$H:$H)</f>
        <v>closed</v>
      </c>
      <c r="H95" s="26"/>
    </row>
    <row r="96" spans="1:8" ht="22.5" customHeight="1" thickBot="1" x14ac:dyDescent="0.4">
      <c r="A96" s="8">
        <v>1002</v>
      </c>
      <c r="B96" s="1" t="str">
        <f>_xlfn.XLOOKUP(_xlfn.CONCAT(A96,$B$1),PLANGRID!$A:$A,PLANGRID!$H:$H)</f>
        <v>closed</v>
      </c>
      <c r="C96" s="1" t="str">
        <f>_xlfn.XLOOKUP(_xlfn.CONCAT(A96,$C$1),PLANGRID!$A:$A,PLANGRID!$H:$H)</f>
        <v>closed</v>
      </c>
      <c r="D96" s="1" t="str">
        <f>_xlfn.XLOOKUP(_xlfn.CONCAT(A96,$D$1),PLANGRID!$A:$A,PLANGRID!$H:$H)</f>
        <v>closed</v>
      </c>
      <c r="E96" s="1" t="str">
        <f>_xlfn.XLOOKUP(_xlfn.CONCAT(A96,$E$1),PLANGRID!$A:$A,PLANGRID!$H:$H)</f>
        <v>closed</v>
      </c>
      <c r="F96" s="1" t="str">
        <f>_xlfn.XLOOKUP(_xlfn.CONCAT(A96,$F$1),PLANGRID!$A:$A,PLANGRID!$H:$H)</f>
        <v>closed</v>
      </c>
      <c r="G96" s="14" t="str">
        <f>_xlfn.XLOOKUP(_xlfn.CONCAT(A96,$G$1),PLANGRID!$A:$A,PLANGRID!$H:$H)</f>
        <v>closed</v>
      </c>
      <c r="H96" s="26"/>
    </row>
    <row r="97" spans="1:8" ht="22.5" customHeight="1" thickBot="1" x14ac:dyDescent="0.4">
      <c r="A97" s="8">
        <v>1003</v>
      </c>
      <c r="B97" s="1" t="str">
        <f>_xlfn.XLOOKUP(_xlfn.CONCAT(A97,$B$1),PLANGRID!$A:$A,PLANGRID!$H:$H)</f>
        <v>closed</v>
      </c>
      <c r="C97" s="1" t="str">
        <f>_xlfn.XLOOKUP(_xlfn.CONCAT(A97,$C$1),PLANGRID!$A:$A,PLANGRID!$H:$H)</f>
        <v>closed</v>
      </c>
      <c r="D97" s="1" t="str">
        <f>_xlfn.XLOOKUP(_xlfn.CONCAT(A97,$D$1),PLANGRID!$A:$A,PLANGRID!$H:$H)</f>
        <v>closed</v>
      </c>
      <c r="E97" s="1" t="str">
        <f>_xlfn.XLOOKUP(_xlfn.CONCAT(A97,$E$1),PLANGRID!$A:$A,PLANGRID!$H:$H)</f>
        <v>closed</v>
      </c>
      <c r="F97" s="1" t="str">
        <f>_xlfn.XLOOKUP(_xlfn.CONCAT(A97,$F$1),PLANGRID!$A:$A,PLANGRID!$H:$H)</f>
        <v>closed</v>
      </c>
      <c r="G97" s="14" t="str">
        <f>_xlfn.XLOOKUP(_xlfn.CONCAT(A97,$G$1),PLANGRID!$A:$A,PLANGRID!$H:$H)</f>
        <v>closed</v>
      </c>
      <c r="H97" s="26"/>
    </row>
    <row r="98" spans="1:8" ht="22.5" customHeight="1" thickBot="1" x14ac:dyDescent="0.4">
      <c r="A98" s="8">
        <v>1004</v>
      </c>
      <c r="B98" s="1" t="str">
        <f>_xlfn.XLOOKUP(_xlfn.CONCAT(A98,$B$1),PLANGRID!$A:$A,PLANGRID!$H:$H)</f>
        <v>closed</v>
      </c>
      <c r="C98" s="1" t="str">
        <f>_xlfn.XLOOKUP(_xlfn.CONCAT(A98,$C$1),PLANGRID!$A:$A,PLANGRID!$H:$H)</f>
        <v>closed</v>
      </c>
      <c r="D98" s="1" t="str">
        <f>_xlfn.XLOOKUP(_xlfn.CONCAT(A98,$D$1),PLANGRID!$A:$A,PLANGRID!$H:$H)</f>
        <v>closed</v>
      </c>
      <c r="E98" s="1" t="str">
        <f>_xlfn.XLOOKUP(_xlfn.CONCAT(A98,$E$1),PLANGRID!$A:$A,PLANGRID!$H:$H)</f>
        <v>closed</v>
      </c>
      <c r="F98" s="1" t="str">
        <f>_xlfn.XLOOKUP(_xlfn.CONCAT(A98,$F$1),PLANGRID!$A:$A,PLANGRID!$H:$H)</f>
        <v>closed</v>
      </c>
      <c r="G98" s="14" t="str">
        <f>_xlfn.XLOOKUP(_xlfn.CONCAT(A98,$G$1),PLANGRID!$A:$A,PLANGRID!$H:$H)</f>
        <v>closed</v>
      </c>
      <c r="H98" s="26"/>
    </row>
    <row r="99" spans="1:8" ht="22.5" customHeight="1" thickBot="1" x14ac:dyDescent="0.4">
      <c r="A99" s="8">
        <v>1005</v>
      </c>
      <c r="B99" s="1" t="str">
        <f>_xlfn.XLOOKUP(_xlfn.CONCAT(A99,$B$1),PLANGRID!$A:$A,PLANGRID!$H:$H)</f>
        <v>closed</v>
      </c>
      <c r="C99" s="1" t="str">
        <f>_xlfn.XLOOKUP(_xlfn.CONCAT(A99,$C$1),PLANGRID!$A:$A,PLANGRID!$H:$H)</f>
        <v>closed</v>
      </c>
      <c r="D99" s="1" t="str">
        <f>_xlfn.XLOOKUP(_xlfn.CONCAT(A99,$D$1),PLANGRID!$A:$A,PLANGRID!$H:$H)</f>
        <v>closed</v>
      </c>
      <c r="E99" s="1" t="str">
        <f>_xlfn.XLOOKUP(_xlfn.CONCAT(A99,$E$1),PLANGRID!$A:$A,PLANGRID!$H:$H)</f>
        <v>closed</v>
      </c>
      <c r="F99" s="1" t="str">
        <f>_xlfn.XLOOKUP(_xlfn.CONCAT(A99,$F$1),PLANGRID!$A:$A,PLANGRID!$H:$H)</f>
        <v>closed</v>
      </c>
      <c r="G99" s="14" t="str">
        <f>_xlfn.XLOOKUP(_xlfn.CONCAT(A99,$G$1),PLANGRID!$A:$A,PLANGRID!$H:$H)</f>
        <v>closed</v>
      </c>
      <c r="H99" s="26"/>
    </row>
    <row r="100" spans="1:8" ht="22.5" customHeight="1" thickBot="1" x14ac:dyDescent="0.4">
      <c r="A100" s="8">
        <v>1006</v>
      </c>
      <c r="B100" s="1" t="str">
        <f>_xlfn.XLOOKUP(_xlfn.CONCAT(A100,$B$1),PLANGRID!$A:$A,PLANGRID!$H:$H)</f>
        <v>closed</v>
      </c>
      <c r="C100" s="1" t="str">
        <f>_xlfn.XLOOKUP(_xlfn.CONCAT(A100,$C$1),PLANGRID!$A:$A,PLANGRID!$H:$H)</f>
        <v>closed</v>
      </c>
      <c r="D100" s="1" t="str">
        <f>_xlfn.XLOOKUP(_xlfn.CONCAT(A100,$D$1),PLANGRID!$A:$A,PLANGRID!$H:$H)</f>
        <v>closed</v>
      </c>
      <c r="E100" s="1" t="str">
        <f>_xlfn.XLOOKUP(_xlfn.CONCAT(A100,$E$1),PLANGRID!$A:$A,PLANGRID!$H:$H)</f>
        <v>closed</v>
      </c>
      <c r="F100" s="1" t="str">
        <f>_xlfn.XLOOKUP(_xlfn.CONCAT(A100,$F$1),PLANGRID!$A:$A,PLANGRID!$H:$H)</f>
        <v>closed</v>
      </c>
      <c r="G100" s="14" t="str">
        <f>_xlfn.XLOOKUP(_xlfn.CONCAT(A100,$G$1),PLANGRID!$A:$A,PLANGRID!$H:$H)</f>
        <v>closed</v>
      </c>
      <c r="H100" s="26"/>
    </row>
    <row r="101" spans="1:8" ht="22.5" customHeight="1" thickBot="1" x14ac:dyDescent="0.4">
      <c r="A101" s="8">
        <v>1007</v>
      </c>
      <c r="B101" s="1" t="str">
        <f>_xlfn.XLOOKUP(_xlfn.CONCAT(A101,$B$1),PLANGRID!$A:$A,PLANGRID!$H:$H)</f>
        <v>closed</v>
      </c>
      <c r="C101" s="1" t="str">
        <f>_xlfn.XLOOKUP(_xlfn.CONCAT(A101,$C$1),PLANGRID!$A:$A,PLANGRID!$H:$H)</f>
        <v>closed</v>
      </c>
      <c r="D101" s="1" t="str">
        <f>_xlfn.XLOOKUP(_xlfn.CONCAT(A101,$D$1),PLANGRID!$A:$A,PLANGRID!$H:$H)</f>
        <v>closed</v>
      </c>
      <c r="E101" s="1" t="str">
        <f>_xlfn.XLOOKUP(_xlfn.CONCAT(A101,$E$1),PLANGRID!$A:$A,PLANGRID!$H:$H)</f>
        <v>closed</v>
      </c>
      <c r="F101" s="1" t="str">
        <f>_xlfn.XLOOKUP(_xlfn.CONCAT(A101,$F$1),PLANGRID!$A:$A,PLANGRID!$H:$H)</f>
        <v>closed</v>
      </c>
      <c r="G101" s="14" t="str">
        <f>_xlfn.XLOOKUP(_xlfn.CONCAT(A101,$G$1),PLANGRID!$A:$A,PLANGRID!$H:$H)</f>
        <v>closed</v>
      </c>
      <c r="H101" s="26"/>
    </row>
    <row r="102" spans="1:8" ht="22.5" customHeight="1" thickBot="1" x14ac:dyDescent="0.4">
      <c r="A102" s="8">
        <v>1008</v>
      </c>
      <c r="B102" s="1" t="str">
        <f>_xlfn.XLOOKUP(_xlfn.CONCAT(A102,$B$1),PLANGRID!$A:$A,PLANGRID!$H:$H)</f>
        <v>closed</v>
      </c>
      <c r="C102" s="1" t="str">
        <f>_xlfn.XLOOKUP(_xlfn.CONCAT(A102,$C$1),PLANGRID!$A:$A,PLANGRID!$H:$H)</f>
        <v>closed</v>
      </c>
      <c r="D102" s="1" t="str">
        <f>_xlfn.XLOOKUP(_xlfn.CONCAT(A102,$D$1),PLANGRID!$A:$A,PLANGRID!$H:$H)</f>
        <v>closed</v>
      </c>
      <c r="E102" s="1" t="str">
        <f>_xlfn.XLOOKUP(_xlfn.CONCAT(A102,$E$1),PLANGRID!$A:$A,PLANGRID!$H:$H)</f>
        <v>closed</v>
      </c>
      <c r="F102" s="1" t="str">
        <f>_xlfn.XLOOKUP(_xlfn.CONCAT(A102,$F$1),PLANGRID!$A:$A,PLANGRID!$H:$H)</f>
        <v>closed</v>
      </c>
      <c r="G102" s="14" t="str">
        <f>_xlfn.XLOOKUP(_xlfn.CONCAT(A102,$G$1),PLANGRID!$A:$A,PLANGRID!$H:$H)</f>
        <v>closed</v>
      </c>
      <c r="H102" s="26"/>
    </row>
    <row r="103" spans="1:8" ht="22.5" customHeight="1" thickBot="1" x14ac:dyDescent="0.4">
      <c r="A103" s="8">
        <v>1010</v>
      </c>
      <c r="B103" s="1" t="str">
        <f>_xlfn.XLOOKUP(_xlfn.CONCAT(A103,$B$1),PLANGRID!$A:$A,PLANGRID!$H:$H)</f>
        <v>closed</v>
      </c>
      <c r="C103" s="1" t="str">
        <f>_xlfn.XLOOKUP(_xlfn.CONCAT(A103,$C$1),PLANGRID!$A:$A,PLANGRID!$H:$H)</f>
        <v>closed</v>
      </c>
      <c r="D103" s="1" t="str">
        <f>_xlfn.XLOOKUP(_xlfn.CONCAT(A103,$D$1),PLANGRID!$A:$A,PLANGRID!$H:$H)</f>
        <v>closed</v>
      </c>
      <c r="E103" s="1" t="str">
        <f>_xlfn.XLOOKUP(_xlfn.CONCAT(A103,$E$1),PLANGRID!$A:$A,PLANGRID!$H:$H)</f>
        <v>closed</v>
      </c>
      <c r="F103" s="1" t="str">
        <f>_xlfn.XLOOKUP(_xlfn.CONCAT(A103,$F$1),PLANGRID!$A:$A,PLANGRID!$H:$H)</f>
        <v>closed</v>
      </c>
      <c r="G103" s="14" t="str">
        <f>_xlfn.XLOOKUP(_xlfn.CONCAT(A103,$G$1),PLANGRID!$A:$A,PLANGRID!$H:$H)</f>
        <v>closed</v>
      </c>
      <c r="H103" s="26"/>
    </row>
    <row r="104" spans="1:8" ht="22.5" customHeight="1" thickBot="1" x14ac:dyDescent="0.4">
      <c r="A104" s="8">
        <v>1101</v>
      </c>
      <c r="B104" s="1" t="str">
        <f>_xlfn.XLOOKUP(_xlfn.CONCAT(A104,$B$1),PLANGRID!$A:$A,PLANGRID!$H:$H)</f>
        <v>closed</v>
      </c>
      <c r="C104" s="1" t="str">
        <f>_xlfn.XLOOKUP(_xlfn.CONCAT(A104,$C$1),PLANGRID!$A:$A,PLANGRID!$H:$H)</f>
        <v>closed</v>
      </c>
      <c r="D104" s="1" t="str">
        <f>_xlfn.XLOOKUP(_xlfn.CONCAT(A104,$D$1),PLANGRID!$A:$A,PLANGRID!$H:$H)</f>
        <v>closed</v>
      </c>
      <c r="E104" s="1" t="str">
        <f>_xlfn.XLOOKUP(_xlfn.CONCAT(A104,$E$1),PLANGRID!$A:$A,PLANGRID!$H:$H)</f>
        <v>closed</v>
      </c>
      <c r="F104" s="1" t="str">
        <f>_xlfn.XLOOKUP(_xlfn.CONCAT(A104,$F$1),PLANGRID!$A:$A,PLANGRID!$H:$H)</f>
        <v>closed</v>
      </c>
      <c r="G104" s="14" t="str">
        <f>_xlfn.XLOOKUP(_xlfn.CONCAT(A104,$G$1),PLANGRID!$A:$A,PLANGRID!$H:$H)</f>
        <v>closed</v>
      </c>
      <c r="H104" s="26"/>
    </row>
    <row r="105" spans="1:8" ht="22.5" customHeight="1" thickBot="1" x14ac:dyDescent="0.4">
      <c r="A105" s="8">
        <v>1102</v>
      </c>
      <c r="B105" s="1" t="str">
        <f>_xlfn.XLOOKUP(_xlfn.CONCAT(A105,$B$1),PLANGRID!$A:$A,PLANGRID!$H:$H)</f>
        <v>closed</v>
      </c>
      <c r="C105" s="1" t="str">
        <f>_xlfn.XLOOKUP(_xlfn.CONCAT(A105,$C$1),PLANGRID!$A:$A,PLANGRID!$H:$H)</f>
        <v>closed</v>
      </c>
      <c r="D105" s="1" t="str">
        <f>_xlfn.XLOOKUP(_xlfn.CONCAT(A105,$D$1),PLANGRID!$A:$A,PLANGRID!$H:$H)</f>
        <v>closed</v>
      </c>
      <c r="E105" s="1" t="str">
        <f>_xlfn.XLOOKUP(_xlfn.CONCAT(A105,$E$1),PLANGRID!$A:$A,PLANGRID!$H:$H)</f>
        <v>closed</v>
      </c>
      <c r="F105" s="1" t="str">
        <f>_xlfn.XLOOKUP(_xlfn.CONCAT(A105,$F$1),PLANGRID!$A:$A,PLANGRID!$H:$H)</f>
        <v>closed</v>
      </c>
      <c r="G105" s="14" t="str">
        <f>_xlfn.XLOOKUP(_xlfn.CONCAT(A105,$G$1),PLANGRID!$A:$A,PLANGRID!$H:$H)</f>
        <v>closed</v>
      </c>
      <c r="H105" s="26"/>
    </row>
    <row r="106" spans="1:8" ht="22.5" customHeight="1" thickBot="1" x14ac:dyDescent="0.4">
      <c r="A106" s="8">
        <v>1103</v>
      </c>
      <c r="B106" s="1" t="str">
        <f>_xlfn.XLOOKUP(_xlfn.CONCAT(A106,$B$1),PLANGRID!$A:$A,PLANGRID!$H:$H)</f>
        <v>closed</v>
      </c>
      <c r="C106" s="1" t="str">
        <f>_xlfn.XLOOKUP(_xlfn.CONCAT(A106,$C$1),PLANGRID!$A:$A,PLANGRID!$H:$H)</f>
        <v>closed</v>
      </c>
      <c r="D106" s="1" t="str">
        <f>_xlfn.XLOOKUP(_xlfn.CONCAT(A106,$D$1),PLANGRID!$A:$A,PLANGRID!$H:$H)</f>
        <v>closed</v>
      </c>
      <c r="E106" s="1" t="str">
        <f>_xlfn.XLOOKUP(_xlfn.CONCAT(A106,$E$1),PLANGRID!$A:$A,PLANGRID!$H:$H)</f>
        <v>closed</v>
      </c>
      <c r="F106" s="1" t="str">
        <f>_xlfn.XLOOKUP(_xlfn.CONCAT(A106,$F$1),PLANGRID!$A:$A,PLANGRID!$H:$H)</f>
        <v>closed</v>
      </c>
      <c r="G106" s="14" t="str">
        <f>_xlfn.XLOOKUP(_xlfn.CONCAT(A106,$G$1),PLANGRID!$A:$A,PLANGRID!$H:$H)</f>
        <v>closed</v>
      </c>
      <c r="H106" s="26"/>
    </row>
    <row r="107" spans="1:8" ht="22.5" customHeight="1" thickBot="1" x14ac:dyDescent="0.4">
      <c r="A107" s="8">
        <v>1104</v>
      </c>
      <c r="B107" s="1" t="str">
        <f>_xlfn.XLOOKUP(_xlfn.CONCAT(A107,$B$1),PLANGRID!$A:$A,PLANGRID!$H:$H)</f>
        <v>closed</v>
      </c>
      <c r="C107" s="1" t="str">
        <f>_xlfn.XLOOKUP(_xlfn.CONCAT(A107,$C$1),PLANGRID!$A:$A,PLANGRID!$H:$H)</f>
        <v>closed</v>
      </c>
      <c r="D107" s="1" t="str">
        <f>_xlfn.XLOOKUP(_xlfn.CONCAT(A107,$D$1),PLANGRID!$A:$A,PLANGRID!$H:$H)</f>
        <v>closed</v>
      </c>
      <c r="E107" s="1" t="str">
        <f>_xlfn.XLOOKUP(_xlfn.CONCAT(A107,$E$1),PLANGRID!$A:$A,PLANGRID!$H:$H)</f>
        <v>closed</v>
      </c>
      <c r="F107" s="1" t="str">
        <f>_xlfn.XLOOKUP(_xlfn.CONCAT(A107,$F$1),PLANGRID!$A:$A,PLANGRID!$H:$H)</f>
        <v>closed</v>
      </c>
      <c r="G107" s="14" t="str">
        <f>_xlfn.XLOOKUP(_xlfn.CONCAT(A107,$G$1),PLANGRID!$A:$A,PLANGRID!$H:$H)</f>
        <v>closed</v>
      </c>
      <c r="H107" s="26"/>
    </row>
    <row r="108" spans="1:8" ht="22.5" customHeight="1" thickBot="1" x14ac:dyDescent="0.4">
      <c r="A108" s="8">
        <v>1105</v>
      </c>
      <c r="B108" s="1" t="str">
        <f>_xlfn.XLOOKUP(_xlfn.CONCAT(A108,$B$1),PLANGRID!$A:$A,PLANGRID!$H:$H)</f>
        <v>closed</v>
      </c>
      <c r="C108" s="1" t="str">
        <f>_xlfn.XLOOKUP(_xlfn.CONCAT(A108,$C$1),PLANGRID!$A:$A,PLANGRID!$H:$H)</f>
        <v>closed</v>
      </c>
      <c r="D108" s="1" t="str">
        <f>_xlfn.XLOOKUP(_xlfn.CONCAT(A108,$D$1),PLANGRID!$A:$A,PLANGRID!$H:$H)</f>
        <v>closed</v>
      </c>
      <c r="E108" s="1" t="str">
        <f>_xlfn.XLOOKUP(_xlfn.CONCAT(A108,$E$1),PLANGRID!$A:$A,PLANGRID!$H:$H)</f>
        <v>closed</v>
      </c>
      <c r="F108" s="1" t="str">
        <f>_xlfn.XLOOKUP(_xlfn.CONCAT(A108,$F$1),PLANGRID!$A:$A,PLANGRID!$H:$H)</f>
        <v>closed</v>
      </c>
      <c r="G108" s="14" t="str">
        <f>_xlfn.XLOOKUP(_xlfn.CONCAT(A108,$G$1),PLANGRID!$A:$A,PLANGRID!$H:$H)</f>
        <v>closed</v>
      </c>
      <c r="H108" s="26"/>
    </row>
    <row r="109" spans="1:8" ht="22.5" customHeight="1" thickBot="1" x14ac:dyDescent="0.4">
      <c r="A109" s="8">
        <v>1106</v>
      </c>
      <c r="B109" s="1" t="str">
        <f>_xlfn.XLOOKUP(_xlfn.CONCAT(A109,$B$1),PLANGRID!$A:$A,PLANGRID!$H:$H)</f>
        <v>closed</v>
      </c>
      <c r="C109" s="1" t="str">
        <f>_xlfn.XLOOKUP(_xlfn.CONCAT(A109,$C$1),PLANGRID!$A:$A,PLANGRID!$H:$H)</f>
        <v>closed</v>
      </c>
      <c r="D109" s="1" t="str">
        <f>_xlfn.XLOOKUP(_xlfn.CONCAT(A109,$D$1),PLANGRID!$A:$A,PLANGRID!$H:$H)</f>
        <v>closed</v>
      </c>
      <c r="E109" s="1" t="str">
        <f>_xlfn.XLOOKUP(_xlfn.CONCAT(A109,$E$1),PLANGRID!$A:$A,PLANGRID!$H:$H)</f>
        <v>closed</v>
      </c>
      <c r="F109" s="1" t="str">
        <f>_xlfn.XLOOKUP(_xlfn.CONCAT(A109,$F$1),PLANGRID!$A:$A,PLANGRID!$H:$H)</f>
        <v>closed</v>
      </c>
      <c r="G109" s="14" t="str">
        <f>_xlfn.XLOOKUP(_xlfn.CONCAT(A109,$G$1),PLANGRID!$A:$A,PLANGRID!$H:$H)</f>
        <v>closed</v>
      </c>
      <c r="H109" s="26"/>
    </row>
    <row r="110" spans="1:8" ht="22.5" customHeight="1" thickBot="1" x14ac:dyDescent="0.4">
      <c r="A110" s="8">
        <v>1107</v>
      </c>
      <c r="B110" s="1" t="str">
        <f>_xlfn.XLOOKUP(_xlfn.CONCAT(A110,$B$1),PLANGRID!$A:$A,PLANGRID!$H:$H)</f>
        <v>closed</v>
      </c>
      <c r="C110" s="1" t="str">
        <f>_xlfn.XLOOKUP(_xlfn.CONCAT(A110,$C$1),PLANGRID!$A:$A,PLANGRID!$H:$H)</f>
        <v>closed</v>
      </c>
      <c r="D110" s="1" t="str">
        <f>_xlfn.XLOOKUP(_xlfn.CONCAT(A110,$D$1),PLANGRID!$A:$A,PLANGRID!$H:$H)</f>
        <v>closed</v>
      </c>
      <c r="E110" s="1" t="str">
        <f>_xlfn.XLOOKUP(_xlfn.CONCAT(A110,$E$1),PLANGRID!$A:$A,PLANGRID!$H:$H)</f>
        <v>closed</v>
      </c>
      <c r="F110" s="1" t="str">
        <f>_xlfn.XLOOKUP(_xlfn.CONCAT(A110,$F$1),PLANGRID!$A:$A,PLANGRID!$H:$H)</f>
        <v>closed</v>
      </c>
      <c r="G110" s="14" t="str">
        <f>_xlfn.XLOOKUP(_xlfn.CONCAT(A110,$G$1),PLANGRID!$A:$A,PLANGRID!$H:$H)</f>
        <v>closed</v>
      </c>
      <c r="H110" s="26"/>
    </row>
    <row r="111" spans="1:8" ht="22.5" customHeight="1" thickBot="1" x14ac:dyDescent="0.4">
      <c r="A111" s="8">
        <v>1108</v>
      </c>
      <c r="B111" s="1" t="str">
        <f>_xlfn.XLOOKUP(_xlfn.CONCAT(A111,$B$1),PLANGRID!$A:$A,PLANGRID!$H:$H)</f>
        <v>closed</v>
      </c>
      <c r="C111" s="1" t="str">
        <f>_xlfn.XLOOKUP(_xlfn.CONCAT(A111,$C$1),PLANGRID!$A:$A,PLANGRID!$H:$H)</f>
        <v>closed</v>
      </c>
      <c r="D111" s="1" t="str">
        <f>_xlfn.XLOOKUP(_xlfn.CONCAT(A111,$D$1),PLANGRID!$A:$A,PLANGRID!$H:$H)</f>
        <v>closed</v>
      </c>
      <c r="E111" s="1" t="str">
        <f>_xlfn.XLOOKUP(_xlfn.CONCAT(A111,$E$1),PLANGRID!$A:$A,PLANGRID!$H:$H)</f>
        <v>closed</v>
      </c>
      <c r="F111" s="1" t="str">
        <f>_xlfn.XLOOKUP(_xlfn.CONCAT(A111,$F$1),PLANGRID!$A:$A,PLANGRID!$H:$H)</f>
        <v>closed</v>
      </c>
      <c r="G111" s="14" t="str">
        <f>_xlfn.XLOOKUP(_xlfn.CONCAT(A111,$G$1),PLANGRID!$A:$A,PLANGRID!$H:$H)</f>
        <v>closed</v>
      </c>
      <c r="H111" s="26"/>
    </row>
    <row r="112" spans="1:8" ht="22.5" customHeight="1" thickBot="1" x14ac:dyDescent="0.4">
      <c r="A112" s="8">
        <v>1109</v>
      </c>
      <c r="B112" s="1" t="str">
        <f>_xlfn.XLOOKUP(_xlfn.CONCAT(A112,$B$1),PLANGRID!$A:$A,PLANGRID!$H:$H)</f>
        <v>closed</v>
      </c>
      <c r="C112" s="1" t="str">
        <f>_xlfn.XLOOKUP(_xlfn.CONCAT(A112,$C$1),PLANGRID!$A:$A,PLANGRID!$H:$H)</f>
        <v>closed</v>
      </c>
      <c r="D112" s="1" t="str">
        <f>_xlfn.XLOOKUP(_xlfn.CONCAT(A112,$D$1),PLANGRID!$A:$A,PLANGRID!$H:$H)</f>
        <v>closed</v>
      </c>
      <c r="E112" s="1" t="str">
        <f>_xlfn.XLOOKUP(_xlfn.CONCAT(A112,$E$1),PLANGRID!$A:$A,PLANGRID!$H:$H)</f>
        <v>closed</v>
      </c>
      <c r="F112" s="1" t="str">
        <f>_xlfn.XLOOKUP(_xlfn.CONCAT(A112,$F$1),PLANGRID!$A:$A,PLANGRID!$H:$H)</f>
        <v>closed</v>
      </c>
      <c r="G112" s="14" t="str">
        <f>_xlfn.XLOOKUP(_xlfn.CONCAT(A112,$G$1),PLANGRID!$A:$A,PLANGRID!$H:$H)</f>
        <v>closed</v>
      </c>
      <c r="H112" s="26"/>
    </row>
    <row r="113" spans="1:8" ht="22.5" customHeight="1" thickBot="1" x14ac:dyDescent="0.4">
      <c r="A113" s="8">
        <v>1201</v>
      </c>
      <c r="B113" s="1" t="str">
        <f>_xlfn.XLOOKUP(_xlfn.CONCAT(A113,$B$1),PLANGRID!$A:$A,PLANGRID!$H:$H)</f>
        <v>closed</v>
      </c>
      <c r="C113" s="1" t="str">
        <f>_xlfn.XLOOKUP(_xlfn.CONCAT(A113,$C$1),PLANGRID!$A:$A,PLANGRID!$H:$H)</f>
        <v>closed</v>
      </c>
      <c r="D113" s="1" t="str">
        <f>_xlfn.XLOOKUP(_xlfn.CONCAT(A113,$D$1),PLANGRID!$A:$A,PLANGRID!$H:$H)</f>
        <v>closed</v>
      </c>
      <c r="E113" s="1" t="str">
        <f>_xlfn.XLOOKUP(_xlfn.CONCAT(A113,$E$1),PLANGRID!$A:$A,PLANGRID!$H:$H)</f>
        <v>closed</v>
      </c>
      <c r="F113" s="1" t="str">
        <f>_xlfn.XLOOKUP(_xlfn.CONCAT(A113,$F$1),PLANGRID!$A:$A,PLANGRID!$H:$H)</f>
        <v>closed</v>
      </c>
      <c r="G113" s="14" t="str">
        <f>_xlfn.XLOOKUP(_xlfn.CONCAT(A113,$G$1),PLANGRID!$A:$A,PLANGRID!$H:$H)</f>
        <v>closed</v>
      </c>
      <c r="H113" s="26"/>
    </row>
    <row r="114" spans="1:8" ht="22.5" customHeight="1" thickBot="1" x14ac:dyDescent="0.4">
      <c r="A114" s="8">
        <v>1202</v>
      </c>
      <c r="B114" s="1" t="str">
        <f>_xlfn.XLOOKUP(_xlfn.CONCAT(A114,$B$1),PLANGRID!$A:$A,PLANGRID!$H:$H)</f>
        <v>closed</v>
      </c>
      <c r="C114" s="1" t="str">
        <f>_xlfn.XLOOKUP(_xlfn.CONCAT(A114,$C$1),PLANGRID!$A:$A,PLANGRID!$H:$H)</f>
        <v>closed</v>
      </c>
      <c r="D114" s="1" t="str">
        <f>_xlfn.XLOOKUP(_xlfn.CONCAT(A114,$D$1),PLANGRID!$A:$A,PLANGRID!$H:$H)</f>
        <v>closed</v>
      </c>
      <c r="E114" s="1" t="str">
        <f>_xlfn.XLOOKUP(_xlfn.CONCAT(A114,$E$1),PLANGRID!$A:$A,PLANGRID!$H:$H)</f>
        <v>closed</v>
      </c>
      <c r="F114" s="1" t="str">
        <f>_xlfn.XLOOKUP(_xlfn.CONCAT(A114,$F$1),PLANGRID!$A:$A,PLANGRID!$H:$H)</f>
        <v>closed</v>
      </c>
      <c r="G114" s="14" t="str">
        <f>_xlfn.XLOOKUP(_xlfn.CONCAT(A114,$G$1),PLANGRID!$A:$A,PLANGRID!$H:$H)</f>
        <v>closed</v>
      </c>
      <c r="H114" s="26"/>
    </row>
    <row r="115" spans="1:8" ht="22.5" customHeight="1" thickBot="1" x14ac:dyDescent="0.4">
      <c r="A115" s="8">
        <v>1203</v>
      </c>
      <c r="B115" s="1" t="str">
        <f>_xlfn.XLOOKUP(_xlfn.CONCAT(A115,$B$1),PLANGRID!$A:$A,PLANGRID!$H:$H)</f>
        <v>closed</v>
      </c>
      <c r="C115" s="1" t="str">
        <f>_xlfn.XLOOKUP(_xlfn.CONCAT(A115,$C$1),PLANGRID!$A:$A,PLANGRID!$H:$H)</f>
        <v>closed</v>
      </c>
      <c r="D115" s="1" t="str">
        <f>_xlfn.XLOOKUP(_xlfn.CONCAT(A115,$D$1),PLANGRID!$A:$A,PLANGRID!$H:$H)</f>
        <v>closed</v>
      </c>
      <c r="E115" s="1" t="str">
        <f>_xlfn.XLOOKUP(_xlfn.CONCAT(A115,$E$1),PLANGRID!$A:$A,PLANGRID!$H:$H)</f>
        <v>closed</v>
      </c>
      <c r="F115" s="1" t="str">
        <f>_xlfn.XLOOKUP(_xlfn.CONCAT(A115,$F$1),PLANGRID!$A:$A,PLANGRID!$H:$H)</f>
        <v>closed</v>
      </c>
      <c r="G115" s="14" t="str">
        <f>_xlfn.XLOOKUP(_xlfn.CONCAT(A115,$G$1),PLANGRID!$A:$A,PLANGRID!$H:$H)</f>
        <v>closed</v>
      </c>
      <c r="H115" s="26"/>
    </row>
    <row r="116" spans="1:8" ht="22.5" customHeight="1" thickBot="1" x14ac:dyDescent="0.4">
      <c r="A116" s="8">
        <v>1204</v>
      </c>
      <c r="B116" s="1" t="str">
        <f>_xlfn.XLOOKUP(_xlfn.CONCAT(A116,$B$1),PLANGRID!$A:$A,PLANGRID!$H:$H)</f>
        <v>closed</v>
      </c>
      <c r="C116" s="1" t="str">
        <f>_xlfn.XLOOKUP(_xlfn.CONCAT(A116,$C$1),PLANGRID!$A:$A,PLANGRID!$H:$H)</f>
        <v>closed</v>
      </c>
      <c r="D116" s="1" t="str">
        <f>_xlfn.XLOOKUP(_xlfn.CONCAT(A116,$D$1),PLANGRID!$A:$A,PLANGRID!$H:$H)</f>
        <v>closed</v>
      </c>
      <c r="E116" s="1" t="str">
        <f>_xlfn.XLOOKUP(_xlfn.CONCAT(A116,$E$1),PLANGRID!$A:$A,PLANGRID!$H:$H)</f>
        <v>closed</v>
      </c>
      <c r="F116" s="1" t="str">
        <f>_xlfn.XLOOKUP(_xlfn.CONCAT(A116,$F$1),PLANGRID!$A:$A,PLANGRID!$H:$H)</f>
        <v>closed</v>
      </c>
      <c r="G116" s="14" t="str">
        <f>_xlfn.XLOOKUP(_xlfn.CONCAT(A116,$G$1),PLANGRID!$A:$A,PLANGRID!$H:$H)</f>
        <v>closed</v>
      </c>
      <c r="H116" s="26"/>
    </row>
    <row r="117" spans="1:8" ht="22.5" customHeight="1" thickBot="1" x14ac:dyDescent="0.4">
      <c r="A117" s="8">
        <v>1205</v>
      </c>
      <c r="B117" s="1" t="str">
        <f>_xlfn.XLOOKUP(_xlfn.CONCAT(A117,$B$1),PLANGRID!$A:$A,PLANGRID!$H:$H)</f>
        <v>closed</v>
      </c>
      <c r="C117" s="1" t="str">
        <f>_xlfn.XLOOKUP(_xlfn.CONCAT(A117,$C$1),PLANGRID!$A:$A,PLANGRID!$H:$H)</f>
        <v>closed</v>
      </c>
      <c r="D117" s="1" t="str">
        <f>_xlfn.XLOOKUP(_xlfn.CONCAT(A117,$D$1),PLANGRID!$A:$A,PLANGRID!$H:$H)</f>
        <v>closed</v>
      </c>
      <c r="E117" s="1" t="str">
        <f>_xlfn.XLOOKUP(_xlfn.CONCAT(A117,$E$1),PLANGRID!$A:$A,PLANGRID!$H:$H)</f>
        <v>closed</v>
      </c>
      <c r="F117" s="1" t="str">
        <f>_xlfn.XLOOKUP(_xlfn.CONCAT(A117,$F$1),PLANGRID!$A:$A,PLANGRID!$H:$H)</f>
        <v>closed</v>
      </c>
      <c r="G117" s="14" t="str">
        <f>_xlfn.XLOOKUP(_xlfn.CONCAT(A117,$G$1),PLANGRID!$A:$A,PLANGRID!$H:$H)</f>
        <v>closed</v>
      </c>
      <c r="H117" s="26"/>
    </row>
    <row r="118" spans="1:8" ht="22.5" customHeight="1" thickBot="1" x14ac:dyDescent="0.4">
      <c r="A118" s="8">
        <v>1206</v>
      </c>
      <c r="B118" s="1" t="str">
        <f>_xlfn.XLOOKUP(_xlfn.CONCAT(A118,$B$1),PLANGRID!$A:$A,PLANGRID!$H:$H)</f>
        <v>closed</v>
      </c>
      <c r="C118" s="1" t="str">
        <f>_xlfn.XLOOKUP(_xlfn.CONCAT(A118,$C$1),PLANGRID!$A:$A,PLANGRID!$H:$H)</f>
        <v>closed</v>
      </c>
      <c r="D118" s="1" t="str">
        <f>_xlfn.XLOOKUP(_xlfn.CONCAT(A118,$D$1),PLANGRID!$A:$A,PLANGRID!$H:$H)</f>
        <v>closed</v>
      </c>
      <c r="E118" s="1" t="str">
        <f>_xlfn.XLOOKUP(_xlfn.CONCAT(A118,$E$1),PLANGRID!$A:$A,PLANGRID!$H:$H)</f>
        <v>closed</v>
      </c>
      <c r="F118" s="1" t="str">
        <f>_xlfn.XLOOKUP(_xlfn.CONCAT(A118,$F$1),PLANGRID!$A:$A,PLANGRID!$H:$H)</f>
        <v>closed</v>
      </c>
      <c r="G118" s="14" t="str">
        <f>_xlfn.XLOOKUP(_xlfn.CONCAT(A118,$G$1),PLANGRID!$A:$A,PLANGRID!$H:$H)</f>
        <v>closed</v>
      </c>
      <c r="H118" s="26"/>
    </row>
    <row r="119" spans="1:8" ht="22.5" customHeight="1" thickBot="1" x14ac:dyDescent="0.4">
      <c r="A119" s="8">
        <v>1207</v>
      </c>
      <c r="B119" s="1" t="str">
        <f>_xlfn.XLOOKUP(_xlfn.CONCAT(A119,$B$1),PLANGRID!$A:$A,PLANGRID!$H:$H)</f>
        <v>closed</v>
      </c>
      <c r="C119" s="1" t="str">
        <f>_xlfn.XLOOKUP(_xlfn.CONCAT(A119,$C$1),PLANGRID!$A:$A,PLANGRID!$H:$H)</f>
        <v>closed</v>
      </c>
      <c r="D119" s="1" t="str">
        <f>_xlfn.XLOOKUP(_xlfn.CONCAT(A119,$D$1),PLANGRID!$A:$A,PLANGRID!$H:$H)</f>
        <v>closed</v>
      </c>
      <c r="E119" s="1" t="str">
        <f>_xlfn.XLOOKUP(_xlfn.CONCAT(A119,$E$1),PLANGRID!$A:$A,PLANGRID!$H:$H)</f>
        <v>closed</v>
      </c>
      <c r="F119" s="1" t="str">
        <f>_xlfn.XLOOKUP(_xlfn.CONCAT(A119,$F$1),PLANGRID!$A:$A,PLANGRID!$H:$H)</f>
        <v>closed</v>
      </c>
      <c r="G119" s="14" t="str">
        <f>_xlfn.XLOOKUP(_xlfn.CONCAT(A119,$G$1),PLANGRID!$A:$A,PLANGRID!$H:$H)</f>
        <v>closed</v>
      </c>
      <c r="H119" s="26"/>
    </row>
    <row r="120" spans="1:8" ht="22.5" customHeight="1" thickBot="1" x14ac:dyDescent="0.4">
      <c r="A120" s="8">
        <v>1208</v>
      </c>
      <c r="B120" s="1" t="str">
        <f>_xlfn.XLOOKUP(_xlfn.CONCAT(A120,$B$1),PLANGRID!$A:$A,PLANGRID!$H:$H)</f>
        <v>closed</v>
      </c>
      <c r="C120" s="1" t="str">
        <f>_xlfn.XLOOKUP(_xlfn.CONCAT(A120,$C$1),PLANGRID!$A:$A,PLANGRID!$H:$H)</f>
        <v>closed</v>
      </c>
      <c r="D120" s="1" t="str">
        <f>_xlfn.XLOOKUP(_xlfn.CONCAT(A120,$D$1),PLANGRID!$A:$A,PLANGRID!$H:$H)</f>
        <v>closed</v>
      </c>
      <c r="E120" s="1" t="str">
        <f>_xlfn.XLOOKUP(_xlfn.CONCAT(A120,$E$1),PLANGRID!$A:$A,PLANGRID!$H:$H)</f>
        <v>closed</v>
      </c>
      <c r="F120" s="1" t="str">
        <f>_xlfn.XLOOKUP(_xlfn.CONCAT(A120,$F$1),PLANGRID!$A:$A,PLANGRID!$H:$H)</f>
        <v>closed</v>
      </c>
      <c r="G120" s="14" t="str">
        <f>_xlfn.XLOOKUP(_xlfn.CONCAT(A120,$G$1),PLANGRID!$A:$A,PLANGRID!$H:$H)</f>
        <v>closed</v>
      </c>
      <c r="H120" s="26"/>
    </row>
    <row r="121" spans="1:8" ht="22.5" customHeight="1" thickBot="1" x14ac:dyDescent="0.4">
      <c r="A121" s="8">
        <v>1209</v>
      </c>
      <c r="B121" s="1" t="str">
        <f>_xlfn.XLOOKUP(_xlfn.CONCAT(A121,$B$1),PLANGRID!$A:$A,PLANGRID!$H:$H)</f>
        <v>closed</v>
      </c>
      <c r="C121" s="1" t="str">
        <f>_xlfn.XLOOKUP(_xlfn.CONCAT(A121,$C$1),PLANGRID!$A:$A,PLANGRID!$H:$H)</f>
        <v>closed</v>
      </c>
      <c r="D121" s="1" t="str">
        <f>_xlfn.XLOOKUP(_xlfn.CONCAT(A121,$D$1),PLANGRID!$A:$A,PLANGRID!$H:$H)</f>
        <v>closed</v>
      </c>
      <c r="E121" s="1" t="str">
        <f>_xlfn.XLOOKUP(_xlfn.CONCAT(A121,$E$1),PLANGRID!$A:$A,PLANGRID!$H:$H)</f>
        <v>closed</v>
      </c>
      <c r="F121" s="1" t="str">
        <f>_xlfn.XLOOKUP(_xlfn.CONCAT(A121,$F$1),PLANGRID!$A:$A,PLANGRID!$H:$H)</f>
        <v>closed</v>
      </c>
      <c r="G121" s="14" t="str">
        <f>_xlfn.XLOOKUP(_xlfn.CONCAT(A121,$G$1),PLANGRID!$A:$A,PLANGRID!$H:$H)</f>
        <v>closed</v>
      </c>
      <c r="H121" s="26"/>
    </row>
    <row r="122" spans="1:8" ht="22.5" customHeight="1" thickBot="1" x14ac:dyDescent="0.4">
      <c r="A122" s="8">
        <v>1210</v>
      </c>
      <c r="B122" s="1" t="str">
        <f>_xlfn.XLOOKUP(_xlfn.CONCAT(A122,$B$1),PLANGRID!$A:$A,PLANGRID!$H:$H)</f>
        <v>closed</v>
      </c>
      <c r="C122" s="1" t="str">
        <f>_xlfn.XLOOKUP(_xlfn.CONCAT(A122,$C$1),PLANGRID!$A:$A,PLANGRID!$H:$H)</f>
        <v>closed</v>
      </c>
      <c r="D122" s="1" t="str">
        <f>_xlfn.XLOOKUP(_xlfn.CONCAT(A122,$D$1),PLANGRID!$A:$A,PLANGRID!$H:$H)</f>
        <v>closed</v>
      </c>
      <c r="E122" s="1" t="str">
        <f>_xlfn.XLOOKUP(_xlfn.CONCAT(A122,$E$1),PLANGRID!$A:$A,PLANGRID!$H:$H)</f>
        <v>closed</v>
      </c>
      <c r="F122" s="1" t="str">
        <f>_xlfn.XLOOKUP(_xlfn.CONCAT(A122,$F$1),PLANGRID!$A:$A,PLANGRID!$H:$H)</f>
        <v>closed</v>
      </c>
      <c r="G122" s="14" t="str">
        <f>_xlfn.XLOOKUP(_xlfn.CONCAT(A122,$G$1),PLANGRID!$A:$A,PLANGRID!$H:$H)</f>
        <v>closed</v>
      </c>
      <c r="H122" s="26"/>
    </row>
    <row r="123" spans="1:8" ht="22.5" customHeight="1" thickBot="1" x14ac:dyDescent="0.4">
      <c r="A123" s="8">
        <v>1301</v>
      </c>
      <c r="B123" s="1" t="str">
        <f>_xlfn.XLOOKUP(_xlfn.CONCAT(A123,$B$1),PLANGRID!$A:$A,PLANGRID!$H:$H)</f>
        <v>closed</v>
      </c>
      <c r="C123" s="1" t="str">
        <f>_xlfn.XLOOKUP(_xlfn.CONCAT(A123,$C$1),PLANGRID!$A:$A,PLANGRID!$H:$H)</f>
        <v>closed</v>
      </c>
      <c r="D123" s="1" t="str">
        <f>_xlfn.XLOOKUP(_xlfn.CONCAT(A123,$D$1),PLANGRID!$A:$A,PLANGRID!$H:$H)</f>
        <v>closed</v>
      </c>
      <c r="E123" s="1" t="str">
        <f>_xlfn.XLOOKUP(_xlfn.CONCAT(A123,$E$1),PLANGRID!$A:$A,PLANGRID!$H:$H)</f>
        <v>closed</v>
      </c>
      <c r="F123" s="1" t="str">
        <f>_xlfn.XLOOKUP(_xlfn.CONCAT(A123,$F$1),PLANGRID!$A:$A,PLANGRID!$H:$H)</f>
        <v>closed</v>
      </c>
      <c r="G123" s="14" t="str">
        <f>_xlfn.XLOOKUP(_xlfn.CONCAT(A123,$G$1),PLANGRID!$A:$A,PLANGRID!$H:$H)</f>
        <v>closed</v>
      </c>
      <c r="H123" s="26"/>
    </row>
    <row r="124" spans="1:8" ht="22.5" customHeight="1" thickBot="1" x14ac:dyDescent="0.4">
      <c r="A124" s="13">
        <v>1302</v>
      </c>
      <c r="B124" s="1" t="str">
        <f>_xlfn.XLOOKUP(_xlfn.CONCAT(A124,$B$1),PLANGRID!$A:$A,PLANGRID!$H:$H)</f>
        <v>closed</v>
      </c>
      <c r="C124" s="1" t="str">
        <f>_xlfn.XLOOKUP(_xlfn.CONCAT(A124,$C$1),PLANGRID!$A:$A,PLANGRID!$H:$H)</f>
        <v>closed</v>
      </c>
      <c r="D124" s="1" t="str">
        <f>_xlfn.XLOOKUP(_xlfn.CONCAT(A124,$D$1),PLANGRID!$A:$A,PLANGRID!$H:$H)</f>
        <v>closed</v>
      </c>
      <c r="E124" s="1" t="str">
        <f>_xlfn.XLOOKUP(_xlfn.CONCAT(A124,$E$1),PLANGRID!$A:$A,PLANGRID!$H:$H)</f>
        <v>closed</v>
      </c>
      <c r="F124" s="1" t="str">
        <f>_xlfn.XLOOKUP(_xlfn.CONCAT(A124,$F$1),PLANGRID!$A:$A,PLANGRID!$H:$H)</f>
        <v>closed</v>
      </c>
      <c r="G124" s="14" t="str">
        <f>_xlfn.XLOOKUP(_xlfn.CONCAT(A124,$G$1),PLANGRID!$A:$A,PLANGRID!$H:$H)</f>
        <v>closed</v>
      </c>
      <c r="H124" s="26"/>
    </row>
    <row r="125" spans="1:8" ht="22.5" customHeight="1" thickBot="1" x14ac:dyDescent="0.4">
      <c r="A125" s="13">
        <v>1303</v>
      </c>
      <c r="B125" s="1" t="str">
        <f>_xlfn.XLOOKUP(_xlfn.CONCAT(A125,$B$1),PLANGRID!$A:$A,PLANGRID!$H:$H)</f>
        <v>closed</v>
      </c>
      <c r="C125" s="1" t="str">
        <f>_xlfn.XLOOKUP(_xlfn.CONCAT(A125,$C$1),PLANGRID!$A:$A,PLANGRID!$H:$H)</f>
        <v>closed</v>
      </c>
      <c r="D125" s="1" t="str">
        <f>_xlfn.XLOOKUP(_xlfn.CONCAT(A125,$D$1),PLANGRID!$A:$A,PLANGRID!$H:$H)</f>
        <v>closed</v>
      </c>
      <c r="E125" s="1" t="str">
        <f>_xlfn.XLOOKUP(_xlfn.CONCAT(A125,$E$1),PLANGRID!$A:$A,PLANGRID!$H:$H)</f>
        <v>closed</v>
      </c>
      <c r="F125" s="1" t="str">
        <f>_xlfn.XLOOKUP(_xlfn.CONCAT(A125,$F$1),PLANGRID!$A:$A,PLANGRID!$H:$H)</f>
        <v>closed</v>
      </c>
      <c r="G125" s="14" t="str">
        <f>_xlfn.XLOOKUP(_xlfn.CONCAT(A125,$G$1),PLANGRID!$A:$A,PLANGRID!$H:$H)</f>
        <v>closed</v>
      </c>
      <c r="H125" s="26"/>
    </row>
    <row r="126" spans="1:8" ht="22.5" customHeight="1" thickBot="1" x14ac:dyDescent="0.4">
      <c r="A126" s="13">
        <v>1304</v>
      </c>
      <c r="B126" s="1" t="str">
        <f>_xlfn.XLOOKUP(_xlfn.CONCAT(A126,$B$1),PLANGRID!$A:$A,PLANGRID!$H:$H)</f>
        <v>closed</v>
      </c>
      <c r="C126" s="1" t="str">
        <f>_xlfn.XLOOKUP(_xlfn.CONCAT(A126,$C$1),PLANGRID!$A:$A,PLANGRID!$H:$H)</f>
        <v>closed</v>
      </c>
      <c r="D126" s="1" t="str">
        <f>_xlfn.XLOOKUP(_xlfn.CONCAT(A126,$D$1),PLANGRID!$A:$A,PLANGRID!$H:$H)</f>
        <v>closed</v>
      </c>
      <c r="E126" s="1" t="str">
        <f>_xlfn.XLOOKUP(_xlfn.CONCAT(A126,$E$1),PLANGRID!$A:$A,PLANGRID!$H:$H)</f>
        <v>closed</v>
      </c>
      <c r="F126" s="1" t="str">
        <f>_xlfn.XLOOKUP(_xlfn.CONCAT(A126,$F$1),PLANGRID!$A:$A,PLANGRID!$H:$H)</f>
        <v>closed</v>
      </c>
      <c r="G126" s="14" t="str">
        <f>_xlfn.XLOOKUP(_xlfn.CONCAT(A126,$G$1),PLANGRID!$A:$A,PLANGRID!$H:$H)</f>
        <v>closed</v>
      </c>
      <c r="H126" s="26"/>
    </row>
    <row r="127" spans="1:8" ht="22.5" customHeight="1" thickBot="1" x14ac:dyDescent="0.4">
      <c r="A127" s="13">
        <v>1305</v>
      </c>
      <c r="B127" s="1" t="str">
        <f>_xlfn.XLOOKUP(_xlfn.CONCAT(A127,$B$1),PLANGRID!$A:$A,PLANGRID!$H:$H)</f>
        <v>closed</v>
      </c>
      <c r="C127" s="1" t="str">
        <f>_xlfn.XLOOKUP(_xlfn.CONCAT(A127,$C$1),PLANGRID!$A:$A,PLANGRID!$H:$H)</f>
        <v>closed</v>
      </c>
      <c r="D127" s="1" t="str">
        <f>_xlfn.XLOOKUP(_xlfn.CONCAT(A127,$D$1),PLANGRID!$A:$A,PLANGRID!$H:$H)</f>
        <v>closed</v>
      </c>
      <c r="E127" s="1" t="str">
        <f>_xlfn.XLOOKUP(_xlfn.CONCAT(A127,$E$1),PLANGRID!$A:$A,PLANGRID!$H:$H)</f>
        <v>closed</v>
      </c>
      <c r="F127" s="1" t="str">
        <f>_xlfn.XLOOKUP(_xlfn.CONCAT(A127,$F$1),PLANGRID!$A:$A,PLANGRID!$H:$H)</f>
        <v>closed</v>
      </c>
      <c r="G127" s="14" t="str">
        <f>_xlfn.XLOOKUP(_xlfn.CONCAT(A127,$G$1),PLANGRID!$A:$A,PLANGRID!$H:$H)</f>
        <v>closed</v>
      </c>
      <c r="H127" s="26"/>
    </row>
    <row r="128" spans="1:8" ht="22.5" customHeight="1" thickBot="1" x14ac:dyDescent="0.4">
      <c r="A128" s="13">
        <v>1306</v>
      </c>
      <c r="B128" s="1" t="str">
        <f>_xlfn.XLOOKUP(_xlfn.CONCAT(A128,$B$1),PLANGRID!$A:$A,PLANGRID!$H:$H)</f>
        <v>closed</v>
      </c>
      <c r="C128" s="1" t="str">
        <f>_xlfn.XLOOKUP(_xlfn.CONCAT(A128,$C$1),PLANGRID!$A:$A,PLANGRID!$H:$H)</f>
        <v>closed</v>
      </c>
      <c r="D128" s="1" t="str">
        <f>_xlfn.XLOOKUP(_xlfn.CONCAT(A128,$D$1),PLANGRID!$A:$A,PLANGRID!$H:$H)</f>
        <v>closed</v>
      </c>
      <c r="E128" s="1" t="str">
        <f>_xlfn.XLOOKUP(_xlfn.CONCAT(A128,$E$1),PLANGRID!$A:$A,PLANGRID!$H:$H)</f>
        <v>closed</v>
      </c>
      <c r="F128" s="1" t="str">
        <f>_xlfn.XLOOKUP(_xlfn.CONCAT(A128,$F$1),PLANGRID!$A:$A,PLANGRID!$H:$H)</f>
        <v>closed</v>
      </c>
      <c r="G128" s="14" t="str">
        <f>_xlfn.XLOOKUP(_xlfn.CONCAT(A128,$G$1),PLANGRID!$A:$A,PLANGRID!$H:$H)</f>
        <v>closed</v>
      </c>
      <c r="H128" s="26"/>
    </row>
    <row r="129" spans="1:8" ht="22.5" customHeight="1" thickBot="1" x14ac:dyDescent="0.4">
      <c r="A129" s="13">
        <v>1307</v>
      </c>
      <c r="B129" s="1" t="str">
        <f>_xlfn.XLOOKUP(_xlfn.CONCAT(A129,$B$1),PLANGRID!$A:$A,PLANGRID!$H:$H)</f>
        <v>closed</v>
      </c>
      <c r="C129" s="1" t="str">
        <f>_xlfn.XLOOKUP(_xlfn.CONCAT(A129,$C$1),PLANGRID!$A:$A,PLANGRID!$H:$H)</f>
        <v>closed</v>
      </c>
      <c r="D129" s="1" t="str">
        <f>_xlfn.XLOOKUP(_xlfn.CONCAT(A129,$D$1),PLANGRID!$A:$A,PLANGRID!$H:$H)</f>
        <v>closed</v>
      </c>
      <c r="E129" s="1" t="str">
        <f>_xlfn.XLOOKUP(_xlfn.CONCAT(A129,$E$1),PLANGRID!$A:$A,PLANGRID!$H:$H)</f>
        <v>closed</v>
      </c>
      <c r="F129" s="1" t="str">
        <f>_xlfn.XLOOKUP(_xlfn.CONCAT(A129,$F$1),PLANGRID!$A:$A,PLANGRID!$H:$H)</f>
        <v>closed</v>
      </c>
      <c r="G129" s="14" t="str">
        <f>_xlfn.XLOOKUP(_xlfn.CONCAT(A129,$G$1),PLANGRID!$A:$A,PLANGRID!$H:$H)</f>
        <v>closed</v>
      </c>
      <c r="H129" s="26"/>
    </row>
    <row r="130" spans="1:8" ht="22.5" customHeight="1" thickBot="1" x14ac:dyDescent="0.4">
      <c r="A130" s="13">
        <v>1308</v>
      </c>
      <c r="B130" s="1" t="str">
        <f>_xlfn.XLOOKUP(_xlfn.CONCAT(A130,$B$1),PLANGRID!$A:$A,PLANGRID!$H:$H)</f>
        <v>closed</v>
      </c>
      <c r="C130" s="1" t="str">
        <f>_xlfn.XLOOKUP(_xlfn.CONCAT(A130,$C$1),PLANGRID!$A:$A,PLANGRID!$H:$H)</f>
        <v>closed</v>
      </c>
      <c r="D130" s="1" t="str">
        <f>_xlfn.XLOOKUP(_xlfn.CONCAT(A130,$D$1),PLANGRID!$A:$A,PLANGRID!$H:$H)</f>
        <v>closed</v>
      </c>
      <c r="E130" s="1" t="str">
        <f>_xlfn.XLOOKUP(_xlfn.CONCAT(A130,$E$1),PLANGRID!$A:$A,PLANGRID!$H:$H)</f>
        <v>closed</v>
      </c>
      <c r="F130" s="1" t="str">
        <f>_xlfn.XLOOKUP(_xlfn.CONCAT(A130,$F$1),PLANGRID!$A:$A,PLANGRID!$H:$H)</f>
        <v>closed</v>
      </c>
      <c r="G130" s="14" t="str">
        <f>_xlfn.XLOOKUP(_xlfn.CONCAT(A130,$G$1),PLANGRID!$A:$A,PLANGRID!$H:$H)</f>
        <v>closed</v>
      </c>
      <c r="H130" s="26"/>
    </row>
    <row r="131" spans="1:8" ht="22.5" customHeight="1" thickBot="1" x14ac:dyDescent="0.4">
      <c r="A131" s="13">
        <v>1309</v>
      </c>
      <c r="B131" s="1" t="str">
        <f>_xlfn.XLOOKUP(_xlfn.CONCAT(A131,$B$1),PLANGRID!$A:$A,PLANGRID!$H:$H)</f>
        <v>closed</v>
      </c>
      <c r="C131" s="1" t="str">
        <f>_xlfn.XLOOKUP(_xlfn.CONCAT(A131,$C$1),PLANGRID!$A:$A,PLANGRID!$H:$H)</f>
        <v>closed</v>
      </c>
      <c r="D131" s="1" t="str">
        <f>_xlfn.XLOOKUP(_xlfn.CONCAT(A131,$D$1),PLANGRID!$A:$A,PLANGRID!$H:$H)</f>
        <v>closed</v>
      </c>
      <c r="E131" s="1" t="str">
        <f>_xlfn.XLOOKUP(_xlfn.CONCAT(A131,$E$1),PLANGRID!$A:$A,PLANGRID!$H:$H)</f>
        <v>closed</v>
      </c>
      <c r="F131" s="1" t="str">
        <f>_xlfn.XLOOKUP(_xlfn.CONCAT(A131,$F$1),PLANGRID!$A:$A,PLANGRID!$H:$H)</f>
        <v>closed</v>
      </c>
      <c r="G131" s="14" t="str">
        <f>_xlfn.XLOOKUP(_xlfn.CONCAT(A131,$G$1),PLANGRID!$A:$A,PLANGRID!$H:$H)</f>
        <v>closed</v>
      </c>
      <c r="H131" s="26"/>
    </row>
    <row r="132" spans="1:8" ht="22.5" customHeight="1" thickBot="1" x14ac:dyDescent="0.4">
      <c r="A132" s="13">
        <v>1401</v>
      </c>
      <c r="B132" s="1" t="str">
        <f>_xlfn.XLOOKUP(_xlfn.CONCAT(A132,$B$1),PLANGRID!$A:$A,PLANGRID!$H:$H)</f>
        <v>closed</v>
      </c>
      <c r="C132" s="1" t="str">
        <f>_xlfn.XLOOKUP(_xlfn.CONCAT(A132,$C$1),PLANGRID!$A:$A,PLANGRID!$H:$H)</f>
        <v>closed</v>
      </c>
      <c r="D132" s="1" t="str">
        <f>_xlfn.XLOOKUP(_xlfn.CONCAT(A132,$D$1),PLANGRID!$A:$A,PLANGRID!$H:$H)</f>
        <v>closed</v>
      </c>
      <c r="E132" s="1" t="str">
        <f>_xlfn.XLOOKUP(_xlfn.CONCAT(A132,$E$1),PLANGRID!$A:$A,PLANGRID!$H:$H)</f>
        <v>closed</v>
      </c>
      <c r="F132" s="1" t="str">
        <f>_xlfn.XLOOKUP(_xlfn.CONCAT(A132,$F$1),PLANGRID!$A:$A,PLANGRID!$H:$H)</f>
        <v>closed</v>
      </c>
      <c r="G132" s="14" t="str">
        <f>_xlfn.XLOOKUP(_xlfn.CONCAT(A132,$G$1),PLANGRID!$A:$A,PLANGRID!$H:$H)</f>
        <v>closed</v>
      </c>
      <c r="H132" s="26"/>
    </row>
    <row r="133" spans="1:8" ht="22.5" customHeight="1" thickBot="1" x14ac:dyDescent="0.4">
      <c r="A133" s="13">
        <v>1402</v>
      </c>
      <c r="B133" s="1" t="str">
        <f>_xlfn.XLOOKUP(_xlfn.CONCAT(A133,$B$1),PLANGRID!$A:$A,PLANGRID!$H:$H)</f>
        <v>closed</v>
      </c>
      <c r="C133" s="1" t="str">
        <f>_xlfn.XLOOKUP(_xlfn.CONCAT(A133,$C$1),PLANGRID!$A:$A,PLANGRID!$H:$H)</f>
        <v>closed</v>
      </c>
      <c r="D133" s="1" t="str">
        <f>_xlfn.XLOOKUP(_xlfn.CONCAT(A133,$D$1),PLANGRID!$A:$A,PLANGRID!$H:$H)</f>
        <v>closed</v>
      </c>
      <c r="E133" s="1" t="str">
        <f>_xlfn.XLOOKUP(_xlfn.CONCAT(A133,$E$1),PLANGRID!$A:$A,PLANGRID!$H:$H)</f>
        <v>closed</v>
      </c>
      <c r="F133" s="1" t="str">
        <f>_xlfn.XLOOKUP(_xlfn.CONCAT(A133,$F$1),PLANGRID!$A:$A,PLANGRID!$H:$H)</f>
        <v>closed</v>
      </c>
      <c r="G133" s="14" t="str">
        <f>_xlfn.XLOOKUP(_xlfn.CONCAT(A133,$G$1),PLANGRID!$A:$A,PLANGRID!$H:$H)</f>
        <v>closed</v>
      </c>
      <c r="H133" s="26"/>
    </row>
    <row r="134" spans="1:8" ht="22.5" customHeight="1" thickBot="1" x14ac:dyDescent="0.4">
      <c r="A134" s="13">
        <v>1403</v>
      </c>
      <c r="B134" s="1" t="str">
        <f>_xlfn.XLOOKUP(_xlfn.CONCAT(A134,$B$1),PLANGRID!$A:$A,PLANGRID!$H:$H)</f>
        <v>closed</v>
      </c>
      <c r="C134" s="1" t="str">
        <f>_xlfn.XLOOKUP(_xlfn.CONCAT(A134,$C$1),PLANGRID!$A:$A,PLANGRID!$H:$H)</f>
        <v>closed</v>
      </c>
      <c r="D134" s="1" t="str">
        <f>_xlfn.XLOOKUP(_xlfn.CONCAT(A134,$D$1),PLANGRID!$A:$A,PLANGRID!$H:$H)</f>
        <v>closed</v>
      </c>
      <c r="E134" s="1" t="str">
        <f>_xlfn.XLOOKUP(_xlfn.CONCAT(A134,$E$1),PLANGRID!$A:$A,PLANGRID!$H:$H)</f>
        <v>closed</v>
      </c>
      <c r="F134" s="1" t="str">
        <f>_xlfn.XLOOKUP(_xlfn.CONCAT(A134,$F$1),PLANGRID!$A:$A,PLANGRID!$H:$H)</f>
        <v>closed</v>
      </c>
      <c r="G134" s="14" t="str">
        <f>_xlfn.XLOOKUP(_xlfn.CONCAT(A134,$G$1),PLANGRID!$A:$A,PLANGRID!$H:$H)</f>
        <v>closed</v>
      </c>
      <c r="H134" s="26"/>
    </row>
    <row r="135" spans="1:8" ht="22.5" customHeight="1" thickBot="1" x14ac:dyDescent="0.4">
      <c r="A135" s="13">
        <v>1404</v>
      </c>
      <c r="B135" s="1" t="str">
        <f>_xlfn.XLOOKUP(_xlfn.CONCAT(A135,$B$1),PLANGRID!$A:$A,PLANGRID!$H:$H)</f>
        <v>closed</v>
      </c>
      <c r="C135" s="1" t="str">
        <f>_xlfn.XLOOKUP(_xlfn.CONCAT(A135,$C$1),PLANGRID!$A:$A,PLANGRID!$H:$H)</f>
        <v>closed</v>
      </c>
      <c r="D135" s="1" t="str">
        <f>_xlfn.XLOOKUP(_xlfn.CONCAT(A135,$D$1),PLANGRID!$A:$A,PLANGRID!$H:$H)</f>
        <v>closed</v>
      </c>
      <c r="E135" s="1" t="str">
        <f>_xlfn.XLOOKUP(_xlfn.CONCAT(A135,$E$1),PLANGRID!$A:$A,PLANGRID!$H:$H)</f>
        <v>closed</v>
      </c>
      <c r="F135" s="1" t="str">
        <f>_xlfn.XLOOKUP(_xlfn.CONCAT(A135,$F$1),PLANGRID!$A:$A,PLANGRID!$H:$H)</f>
        <v>closed</v>
      </c>
      <c r="G135" s="14" t="str">
        <f>_xlfn.XLOOKUP(_xlfn.CONCAT(A135,$G$1),PLANGRID!$A:$A,PLANGRID!$H:$H)</f>
        <v>closed</v>
      </c>
      <c r="H135" s="26"/>
    </row>
    <row r="136" spans="1:8" ht="22.5" customHeight="1" thickBot="1" x14ac:dyDescent="0.4">
      <c r="A136" s="13">
        <v>1405</v>
      </c>
      <c r="B136" s="1" t="str">
        <f>_xlfn.XLOOKUP(_xlfn.CONCAT(A136,$B$1),PLANGRID!$A:$A,PLANGRID!$H:$H)</f>
        <v>closed</v>
      </c>
      <c r="C136" s="1" t="str">
        <f>_xlfn.XLOOKUP(_xlfn.CONCAT(A136,$C$1),PLANGRID!$A:$A,PLANGRID!$H:$H)</f>
        <v>closed</v>
      </c>
      <c r="D136" s="1" t="str">
        <f>_xlfn.XLOOKUP(_xlfn.CONCAT(A136,$D$1),PLANGRID!$A:$A,PLANGRID!$H:$H)</f>
        <v>closed</v>
      </c>
      <c r="E136" s="1" t="str">
        <f>_xlfn.XLOOKUP(_xlfn.CONCAT(A136,$E$1),PLANGRID!$A:$A,PLANGRID!$H:$H)</f>
        <v>closed</v>
      </c>
      <c r="F136" s="1" t="str">
        <f>_xlfn.XLOOKUP(_xlfn.CONCAT(A136,$F$1),PLANGRID!$A:$A,PLANGRID!$H:$H)</f>
        <v>closed</v>
      </c>
      <c r="G136" s="14" t="str">
        <f>_xlfn.XLOOKUP(_xlfn.CONCAT(A136,$G$1),PLANGRID!$A:$A,PLANGRID!$H:$H)</f>
        <v>closed</v>
      </c>
      <c r="H136" s="26"/>
    </row>
    <row r="137" spans="1:8" ht="22.5" customHeight="1" thickBot="1" x14ac:dyDescent="0.4">
      <c r="A137" s="13">
        <v>1406</v>
      </c>
      <c r="B137" s="1" t="str">
        <f>_xlfn.XLOOKUP(_xlfn.CONCAT(A137,$B$1),PLANGRID!$A:$A,PLANGRID!$H:$H)</f>
        <v>closed</v>
      </c>
      <c r="C137" s="1" t="str">
        <f>_xlfn.XLOOKUP(_xlfn.CONCAT(A137,$C$1),PLANGRID!$A:$A,PLANGRID!$H:$H)</f>
        <v>closed</v>
      </c>
      <c r="D137" s="1" t="str">
        <f>_xlfn.XLOOKUP(_xlfn.CONCAT(A137,$D$1),PLANGRID!$A:$A,PLANGRID!$H:$H)</f>
        <v>closed</v>
      </c>
      <c r="E137" s="1" t="str">
        <f>_xlfn.XLOOKUP(_xlfn.CONCAT(A137,$E$1),PLANGRID!$A:$A,PLANGRID!$H:$H)</f>
        <v>closed</v>
      </c>
      <c r="F137" s="1" t="str">
        <f>_xlfn.XLOOKUP(_xlfn.CONCAT(A137,$F$1),PLANGRID!$A:$A,PLANGRID!$H:$H)</f>
        <v>closed</v>
      </c>
      <c r="G137" s="14" t="str">
        <f>_xlfn.XLOOKUP(_xlfn.CONCAT(A137,$G$1),PLANGRID!$A:$A,PLANGRID!$H:$H)</f>
        <v>closed</v>
      </c>
      <c r="H137" s="26"/>
    </row>
    <row r="138" spans="1:8" ht="22.5" customHeight="1" thickBot="1" x14ac:dyDescent="0.4">
      <c r="A138" s="13">
        <v>1407</v>
      </c>
      <c r="B138" s="1" t="str">
        <f>_xlfn.XLOOKUP(_xlfn.CONCAT(A138,$B$1),PLANGRID!$A:$A,PLANGRID!$H:$H)</f>
        <v>closed</v>
      </c>
      <c r="C138" s="1" t="str">
        <f>_xlfn.XLOOKUP(_xlfn.CONCAT(A138,$C$1),PLANGRID!$A:$A,PLANGRID!$H:$H)</f>
        <v>closed</v>
      </c>
      <c r="D138" s="1" t="str">
        <f>_xlfn.XLOOKUP(_xlfn.CONCAT(A138,$D$1),PLANGRID!$A:$A,PLANGRID!$H:$H)</f>
        <v>closed</v>
      </c>
      <c r="E138" s="1" t="str">
        <f>_xlfn.XLOOKUP(_xlfn.CONCAT(A138,$E$1),PLANGRID!$A:$A,PLANGRID!$H:$H)</f>
        <v>closed</v>
      </c>
      <c r="F138" s="1" t="str">
        <f>_xlfn.XLOOKUP(_xlfn.CONCAT(A138,$F$1),PLANGRID!$A:$A,PLANGRID!$H:$H)</f>
        <v>closed</v>
      </c>
      <c r="G138" s="14" t="str">
        <f>_xlfn.XLOOKUP(_xlfn.CONCAT(A138,$G$1),PLANGRID!$A:$A,PLANGRID!$H:$H)</f>
        <v>closed</v>
      </c>
      <c r="H138" s="26"/>
    </row>
    <row r="139" spans="1:8" ht="22.5" customHeight="1" thickBot="1" x14ac:dyDescent="0.4">
      <c r="A139" s="13">
        <v>1408</v>
      </c>
      <c r="B139" s="1" t="str">
        <f>_xlfn.XLOOKUP(_xlfn.CONCAT(A139,$B$1),PLANGRID!$A:$A,PLANGRID!$H:$H)</f>
        <v>closed</v>
      </c>
      <c r="C139" s="1" t="str">
        <f>_xlfn.XLOOKUP(_xlfn.CONCAT(A139,$C$1),PLANGRID!$A:$A,PLANGRID!$H:$H)</f>
        <v>closed</v>
      </c>
      <c r="D139" s="1" t="str">
        <f>_xlfn.XLOOKUP(_xlfn.CONCAT(A139,$D$1),PLANGRID!$A:$A,PLANGRID!$H:$H)</f>
        <v>closed</v>
      </c>
      <c r="E139" s="1" t="str">
        <f>_xlfn.XLOOKUP(_xlfn.CONCAT(A139,$E$1),PLANGRID!$A:$A,PLANGRID!$H:$H)</f>
        <v>closed</v>
      </c>
      <c r="F139" s="1" t="str">
        <f>_xlfn.XLOOKUP(_xlfn.CONCAT(A139,$F$1),PLANGRID!$A:$A,PLANGRID!$H:$H)</f>
        <v>closed</v>
      </c>
      <c r="G139" s="14" t="str">
        <f>_xlfn.XLOOKUP(_xlfn.CONCAT(A139,$G$1),PLANGRID!$A:$A,PLANGRID!$H:$H)</f>
        <v>closed</v>
      </c>
      <c r="H139" s="26"/>
    </row>
    <row r="140" spans="1:8" ht="22.5" customHeight="1" thickBot="1" x14ac:dyDescent="0.4">
      <c r="A140" s="13">
        <v>1410</v>
      </c>
      <c r="B140" s="1" t="str">
        <f>_xlfn.XLOOKUP(_xlfn.CONCAT(A140,$B$1),PLANGRID!$A:$A,PLANGRID!$H:$H)</f>
        <v>closed</v>
      </c>
      <c r="C140" s="1" t="str">
        <f>_xlfn.XLOOKUP(_xlfn.CONCAT(A140,$C$1),PLANGRID!$A:$A,PLANGRID!$H:$H)</f>
        <v>closed</v>
      </c>
      <c r="D140" s="1" t="str">
        <f>_xlfn.XLOOKUP(_xlfn.CONCAT(A140,$D$1),PLANGRID!$A:$A,PLANGRID!$H:$H)</f>
        <v>closed</v>
      </c>
      <c r="E140" s="1" t="str">
        <f>_xlfn.XLOOKUP(_xlfn.CONCAT(A140,$E$1),PLANGRID!$A:$A,PLANGRID!$H:$H)</f>
        <v>closed</v>
      </c>
      <c r="F140" s="1" t="str">
        <f>_xlfn.XLOOKUP(_xlfn.CONCAT(A140,$F$1),PLANGRID!$A:$A,PLANGRID!$H:$H)</f>
        <v>closed</v>
      </c>
      <c r="G140" s="14" t="str">
        <f>_xlfn.XLOOKUP(_xlfn.CONCAT(A140,$G$1),PLANGRID!$A:$A,PLANGRID!$H:$H)</f>
        <v>closed</v>
      </c>
      <c r="H140" s="26"/>
    </row>
    <row r="141" spans="1:8" ht="22.5" customHeight="1" thickBot="1" x14ac:dyDescent="0.4">
      <c r="A141" s="13">
        <v>1501</v>
      </c>
      <c r="B141" s="1" t="str">
        <f>_xlfn.XLOOKUP(_xlfn.CONCAT(A141,$B$1),PLANGRID!$A:$A,PLANGRID!$H:$H)</f>
        <v>closed</v>
      </c>
      <c r="C141" s="1" t="str">
        <f>_xlfn.XLOOKUP(_xlfn.CONCAT(A141,$C$1),PLANGRID!$A:$A,PLANGRID!$H:$H)</f>
        <v>closed</v>
      </c>
      <c r="D141" s="1" t="str">
        <f>_xlfn.XLOOKUP(_xlfn.CONCAT(A141,$D$1),PLANGRID!$A:$A,PLANGRID!$H:$H)</f>
        <v>closed</v>
      </c>
      <c r="E141" s="1" t="str">
        <f>_xlfn.XLOOKUP(_xlfn.CONCAT(A141,$E$1),PLANGRID!$A:$A,PLANGRID!$H:$H)</f>
        <v>closed</v>
      </c>
      <c r="F141" s="1" t="str">
        <f>_xlfn.XLOOKUP(_xlfn.CONCAT(A141,$F$1),PLANGRID!$A:$A,PLANGRID!$H:$H)</f>
        <v>closed</v>
      </c>
      <c r="G141" s="14" t="str">
        <f>_xlfn.XLOOKUP(_xlfn.CONCAT(A141,$G$1),PLANGRID!$A:$A,PLANGRID!$H:$H)</f>
        <v>closed</v>
      </c>
      <c r="H141" s="26"/>
    </row>
    <row r="142" spans="1:8" ht="22.5" customHeight="1" thickBot="1" x14ac:dyDescent="0.4">
      <c r="A142" s="13">
        <v>1502</v>
      </c>
      <c r="B142" s="1" t="str">
        <f>_xlfn.XLOOKUP(_xlfn.CONCAT(A142,$B$1),PLANGRID!$A:$A,PLANGRID!$H:$H)</f>
        <v>closed</v>
      </c>
      <c r="C142" s="1" t="str">
        <f>_xlfn.XLOOKUP(_xlfn.CONCAT(A142,$C$1),PLANGRID!$A:$A,PLANGRID!$H:$H)</f>
        <v>closed</v>
      </c>
      <c r="D142" s="1" t="str">
        <f>_xlfn.XLOOKUP(_xlfn.CONCAT(A142,$D$1),PLANGRID!$A:$A,PLANGRID!$H:$H)</f>
        <v>closed</v>
      </c>
      <c r="E142" s="1" t="str">
        <f>_xlfn.XLOOKUP(_xlfn.CONCAT(A142,$E$1),PLANGRID!$A:$A,PLANGRID!$H:$H)</f>
        <v>closed</v>
      </c>
      <c r="F142" s="1" t="str">
        <f>_xlfn.XLOOKUP(_xlfn.CONCAT(A142,$F$1),PLANGRID!$A:$A,PLANGRID!$H:$H)</f>
        <v>closed</v>
      </c>
      <c r="G142" s="14" t="str">
        <f>_xlfn.XLOOKUP(_xlfn.CONCAT(A142,$G$1),PLANGRID!$A:$A,PLANGRID!$H:$H)</f>
        <v>closed</v>
      </c>
      <c r="H142" s="26"/>
    </row>
    <row r="143" spans="1:8" ht="22.5" customHeight="1" thickBot="1" x14ac:dyDescent="0.4">
      <c r="A143" s="13">
        <v>1503</v>
      </c>
      <c r="B143" s="1" t="str">
        <f>_xlfn.XLOOKUP(_xlfn.CONCAT(A143,$B$1),PLANGRID!$A:$A,PLANGRID!$H:$H)</f>
        <v>closed</v>
      </c>
      <c r="C143" s="1" t="str">
        <f>_xlfn.XLOOKUP(_xlfn.CONCAT(A143,$C$1),PLANGRID!$A:$A,PLANGRID!$H:$H)</f>
        <v>closed</v>
      </c>
      <c r="D143" s="1" t="str">
        <f>_xlfn.XLOOKUP(_xlfn.CONCAT(A143,$D$1),PLANGRID!$A:$A,PLANGRID!$H:$H)</f>
        <v>closed</v>
      </c>
      <c r="E143" s="1" t="str">
        <f>_xlfn.XLOOKUP(_xlfn.CONCAT(A143,$E$1),PLANGRID!$A:$A,PLANGRID!$H:$H)</f>
        <v>closed</v>
      </c>
      <c r="F143" s="1" t="str">
        <f>_xlfn.XLOOKUP(_xlfn.CONCAT(A143,$F$1),PLANGRID!$A:$A,PLANGRID!$H:$H)</f>
        <v>closed</v>
      </c>
      <c r="G143" s="14" t="str">
        <f>_xlfn.XLOOKUP(_xlfn.CONCAT(A143,$G$1),PLANGRID!$A:$A,PLANGRID!$H:$H)</f>
        <v>closed</v>
      </c>
      <c r="H143" s="26"/>
    </row>
    <row r="144" spans="1:8" ht="22.5" customHeight="1" thickBot="1" x14ac:dyDescent="0.4">
      <c r="A144" s="13">
        <v>1504</v>
      </c>
      <c r="B144" s="1" t="str">
        <f>_xlfn.XLOOKUP(_xlfn.CONCAT(A144,$B$1),PLANGRID!$A:$A,PLANGRID!$H:$H)</f>
        <v>closed</v>
      </c>
      <c r="C144" s="1" t="str">
        <f>_xlfn.XLOOKUP(_xlfn.CONCAT(A144,$C$1),PLANGRID!$A:$A,PLANGRID!$H:$H)</f>
        <v>closed</v>
      </c>
      <c r="D144" s="1" t="str">
        <f>_xlfn.XLOOKUP(_xlfn.CONCAT(A144,$D$1),PLANGRID!$A:$A,PLANGRID!$H:$H)</f>
        <v>closed</v>
      </c>
      <c r="E144" s="1" t="str">
        <f>_xlfn.XLOOKUP(_xlfn.CONCAT(A144,$E$1),PLANGRID!$A:$A,PLANGRID!$H:$H)</f>
        <v>closed</v>
      </c>
      <c r="F144" s="1" t="str">
        <f>_xlfn.XLOOKUP(_xlfn.CONCAT(A144,$F$1),PLANGRID!$A:$A,PLANGRID!$H:$H)</f>
        <v>closed</v>
      </c>
      <c r="G144" s="14" t="str">
        <f>_xlfn.XLOOKUP(_xlfn.CONCAT(A144,$G$1),PLANGRID!$A:$A,PLANGRID!$H:$H)</f>
        <v>closed</v>
      </c>
      <c r="H144" s="26"/>
    </row>
    <row r="145" spans="1:8" ht="22.5" customHeight="1" thickBot="1" x14ac:dyDescent="0.4">
      <c r="A145" s="13">
        <v>1505</v>
      </c>
      <c r="B145" s="1" t="str">
        <f>_xlfn.XLOOKUP(_xlfn.CONCAT(A145,$B$1),PLANGRID!$A:$A,PLANGRID!$H:$H)</f>
        <v>closed</v>
      </c>
      <c r="C145" s="1" t="str">
        <f>_xlfn.XLOOKUP(_xlfn.CONCAT(A145,$C$1),PLANGRID!$A:$A,PLANGRID!$H:$H)</f>
        <v>closed</v>
      </c>
      <c r="D145" s="1" t="str">
        <f>_xlfn.XLOOKUP(_xlfn.CONCAT(A145,$D$1),PLANGRID!$A:$A,PLANGRID!$H:$H)</f>
        <v>closed</v>
      </c>
      <c r="E145" s="1" t="str">
        <f>_xlfn.XLOOKUP(_xlfn.CONCAT(A145,$E$1),PLANGRID!$A:$A,PLANGRID!$H:$H)</f>
        <v>closed</v>
      </c>
      <c r="F145" s="1" t="str">
        <f>_xlfn.XLOOKUP(_xlfn.CONCAT(A145,$F$1),PLANGRID!$A:$A,PLANGRID!$H:$H)</f>
        <v>closed</v>
      </c>
      <c r="G145" s="14" t="str">
        <f>_xlfn.XLOOKUP(_xlfn.CONCAT(A145,$G$1),PLANGRID!$A:$A,PLANGRID!$H:$H)</f>
        <v>closed</v>
      </c>
      <c r="H145" s="26"/>
    </row>
    <row r="146" spans="1:8" ht="22.5" customHeight="1" thickBot="1" x14ac:dyDescent="0.4">
      <c r="A146" s="13">
        <v>1506</v>
      </c>
      <c r="B146" s="1" t="str">
        <f>_xlfn.XLOOKUP(_xlfn.CONCAT(A146,$B$1),PLANGRID!$A:$A,PLANGRID!$H:$H)</f>
        <v>closed</v>
      </c>
      <c r="C146" s="1" t="str">
        <f>_xlfn.XLOOKUP(_xlfn.CONCAT(A146,$C$1),PLANGRID!$A:$A,PLANGRID!$H:$H)</f>
        <v>closed</v>
      </c>
      <c r="D146" s="1" t="str">
        <f>_xlfn.XLOOKUP(_xlfn.CONCAT(A146,$D$1),PLANGRID!$A:$A,PLANGRID!$H:$H)</f>
        <v>closed</v>
      </c>
      <c r="E146" s="1" t="str">
        <f>_xlfn.XLOOKUP(_xlfn.CONCAT(A146,$E$1),PLANGRID!$A:$A,PLANGRID!$H:$H)</f>
        <v>closed</v>
      </c>
      <c r="F146" s="1" t="str">
        <f>_xlfn.XLOOKUP(_xlfn.CONCAT(A146,$F$1),PLANGRID!$A:$A,PLANGRID!$H:$H)</f>
        <v>closed</v>
      </c>
      <c r="G146" s="14" t="str">
        <f>_xlfn.XLOOKUP(_xlfn.CONCAT(A146,$G$1),PLANGRID!$A:$A,PLANGRID!$H:$H)</f>
        <v>closed</v>
      </c>
      <c r="H146" s="26"/>
    </row>
    <row r="147" spans="1:8" ht="22.5" customHeight="1" thickBot="1" x14ac:dyDescent="0.4">
      <c r="A147" s="13">
        <v>1507</v>
      </c>
      <c r="B147" s="1" t="str">
        <f>_xlfn.XLOOKUP(_xlfn.CONCAT(A147,$B$1),PLANGRID!$A:$A,PLANGRID!$H:$H)</f>
        <v>closed</v>
      </c>
      <c r="C147" s="1" t="str">
        <f>_xlfn.XLOOKUP(_xlfn.CONCAT(A147,$C$1),PLANGRID!$A:$A,PLANGRID!$H:$H)</f>
        <v>closed</v>
      </c>
      <c r="D147" s="1" t="str">
        <f>_xlfn.XLOOKUP(_xlfn.CONCAT(A147,$D$1),PLANGRID!$A:$A,PLANGRID!$H:$H)</f>
        <v>closed</v>
      </c>
      <c r="E147" s="1" t="str">
        <f>_xlfn.XLOOKUP(_xlfn.CONCAT(A147,$E$1),PLANGRID!$A:$A,PLANGRID!$H:$H)</f>
        <v>closed</v>
      </c>
      <c r="F147" s="1" t="str">
        <f>_xlfn.XLOOKUP(_xlfn.CONCAT(A147,$F$1),PLANGRID!$A:$A,PLANGRID!$H:$H)</f>
        <v>closed</v>
      </c>
      <c r="G147" s="14" t="str">
        <f>_xlfn.XLOOKUP(_xlfn.CONCAT(A147,$G$1),PLANGRID!$A:$A,PLANGRID!$H:$H)</f>
        <v>closed</v>
      </c>
      <c r="H147" s="26"/>
    </row>
    <row r="148" spans="1:8" ht="22.5" customHeight="1" thickBot="1" x14ac:dyDescent="0.4">
      <c r="A148" s="13">
        <v>1508</v>
      </c>
      <c r="B148" s="1" t="str">
        <f>_xlfn.XLOOKUP(_xlfn.CONCAT(A148,$B$1),PLANGRID!$A:$A,PLANGRID!$H:$H)</f>
        <v>closed</v>
      </c>
      <c r="C148" s="1" t="str">
        <f>_xlfn.XLOOKUP(_xlfn.CONCAT(A148,$C$1),PLANGRID!$A:$A,PLANGRID!$H:$H)</f>
        <v>closed</v>
      </c>
      <c r="D148" s="1" t="str">
        <f>_xlfn.XLOOKUP(_xlfn.CONCAT(A148,$D$1),PLANGRID!$A:$A,PLANGRID!$H:$H)</f>
        <v>closed</v>
      </c>
      <c r="E148" s="1" t="str">
        <f>_xlfn.XLOOKUP(_xlfn.CONCAT(A148,$E$1),PLANGRID!$A:$A,PLANGRID!$H:$H)</f>
        <v>closed</v>
      </c>
      <c r="F148" s="1" t="str">
        <f>_xlfn.XLOOKUP(_xlfn.CONCAT(A148,$F$1),PLANGRID!$A:$A,PLANGRID!$H:$H)</f>
        <v>closed</v>
      </c>
      <c r="G148" s="14" t="str">
        <f>_xlfn.XLOOKUP(_xlfn.CONCAT(A148,$G$1),PLANGRID!$A:$A,PLANGRID!$H:$H)</f>
        <v>closed</v>
      </c>
      <c r="H148" s="26"/>
    </row>
    <row r="149" spans="1:8" ht="22.5" customHeight="1" thickBot="1" x14ac:dyDescent="0.4">
      <c r="A149" s="13">
        <v>1509</v>
      </c>
      <c r="B149" s="1" t="str">
        <f>_xlfn.XLOOKUP(_xlfn.CONCAT(A149,$B$1),PLANGRID!$A:$A,PLANGRID!$H:$H)</f>
        <v>closed</v>
      </c>
      <c r="C149" s="1" t="str">
        <f>_xlfn.XLOOKUP(_xlfn.CONCAT(A149,$C$1),PLANGRID!$A:$A,PLANGRID!$H:$H)</f>
        <v>closed</v>
      </c>
      <c r="D149" s="1" t="str">
        <f>_xlfn.XLOOKUP(_xlfn.CONCAT(A149,$D$1),PLANGRID!$A:$A,PLANGRID!$H:$H)</f>
        <v>closed</v>
      </c>
      <c r="E149" s="1" t="str">
        <f>_xlfn.XLOOKUP(_xlfn.CONCAT(A149,$E$1),PLANGRID!$A:$A,PLANGRID!$H:$H)</f>
        <v>closed</v>
      </c>
      <c r="F149" s="1" t="str">
        <f>_xlfn.XLOOKUP(_xlfn.CONCAT(A149,$F$1),PLANGRID!$A:$A,PLANGRID!$H:$H)</f>
        <v>closed</v>
      </c>
      <c r="G149" s="14" t="str">
        <f>_xlfn.XLOOKUP(_xlfn.CONCAT(A149,$G$1),PLANGRID!$A:$A,PLANGRID!$H:$H)</f>
        <v>closed</v>
      </c>
      <c r="H149" s="26"/>
    </row>
    <row r="150" spans="1:8" ht="22.5" customHeight="1" thickBot="1" x14ac:dyDescent="0.4">
      <c r="A150" s="13">
        <v>1601</v>
      </c>
      <c r="B150" s="1" t="str">
        <f>_xlfn.XLOOKUP(_xlfn.CONCAT(A150,$B$1),PLANGRID!$A:$A,PLANGRID!$H:$H)</f>
        <v>closed</v>
      </c>
      <c r="C150" s="1" t="str">
        <f>_xlfn.XLOOKUP(_xlfn.CONCAT(A150,$C$1),PLANGRID!$A:$A,PLANGRID!$H:$H)</f>
        <v>closed</v>
      </c>
      <c r="D150" s="1" t="str">
        <f>_xlfn.XLOOKUP(_xlfn.CONCAT(A150,$D$1),PLANGRID!$A:$A,PLANGRID!$H:$H)</f>
        <v>closed</v>
      </c>
      <c r="E150" s="1" t="str">
        <f>_xlfn.XLOOKUP(_xlfn.CONCAT(A150,$E$1),PLANGRID!$A:$A,PLANGRID!$H:$H)</f>
        <v>closed</v>
      </c>
      <c r="F150" s="1" t="str">
        <f>_xlfn.XLOOKUP(_xlfn.CONCAT(A150,$F$1),PLANGRID!$A:$A,PLANGRID!$H:$H)</f>
        <v>closed</v>
      </c>
      <c r="G150" s="14" t="str">
        <f>_xlfn.XLOOKUP(_xlfn.CONCAT(A150,$G$1),PLANGRID!$A:$A,PLANGRID!$H:$H)</f>
        <v>closed</v>
      </c>
      <c r="H150" s="26"/>
    </row>
    <row r="151" spans="1:8" ht="22.5" customHeight="1" thickBot="1" x14ac:dyDescent="0.4">
      <c r="A151" s="13">
        <v>1602</v>
      </c>
      <c r="B151" s="1" t="str">
        <f>_xlfn.XLOOKUP(_xlfn.CONCAT(A151,$B$1),PLANGRID!$A:$A,PLANGRID!$H:$H)</f>
        <v>closed</v>
      </c>
      <c r="C151" s="1" t="str">
        <f>_xlfn.XLOOKUP(_xlfn.CONCAT(A151,$C$1),PLANGRID!$A:$A,PLANGRID!$H:$H)</f>
        <v>closed</v>
      </c>
      <c r="D151" s="1" t="str">
        <f>_xlfn.XLOOKUP(_xlfn.CONCAT(A151,$D$1),PLANGRID!$A:$A,PLANGRID!$H:$H)</f>
        <v>closed</v>
      </c>
      <c r="E151" s="1" t="str">
        <f>_xlfn.XLOOKUP(_xlfn.CONCAT(A151,$E$1),PLANGRID!$A:$A,PLANGRID!$H:$H)</f>
        <v>closed</v>
      </c>
      <c r="F151" s="1" t="str">
        <f>_xlfn.XLOOKUP(_xlfn.CONCAT(A151,$F$1),PLANGRID!$A:$A,PLANGRID!$H:$H)</f>
        <v>closed</v>
      </c>
      <c r="G151" s="14" t="str">
        <f>_xlfn.XLOOKUP(_xlfn.CONCAT(A151,$G$1),PLANGRID!$A:$A,PLANGRID!$H:$H)</f>
        <v>closed</v>
      </c>
      <c r="H151" s="26"/>
    </row>
    <row r="152" spans="1:8" ht="22.5" customHeight="1" thickBot="1" x14ac:dyDescent="0.4">
      <c r="A152" s="13">
        <v>1603</v>
      </c>
      <c r="B152" s="1" t="str">
        <f>_xlfn.XLOOKUP(_xlfn.CONCAT(A152,$B$1),PLANGRID!$A:$A,PLANGRID!$H:$H)</f>
        <v>closed</v>
      </c>
      <c r="C152" s="1" t="str">
        <f>_xlfn.XLOOKUP(_xlfn.CONCAT(A152,$C$1),PLANGRID!$A:$A,PLANGRID!$H:$H)</f>
        <v>closed</v>
      </c>
      <c r="D152" s="1" t="str">
        <f>_xlfn.XLOOKUP(_xlfn.CONCAT(A152,$D$1),PLANGRID!$A:$A,PLANGRID!$H:$H)</f>
        <v>closed</v>
      </c>
      <c r="E152" s="1" t="str">
        <f>_xlfn.XLOOKUP(_xlfn.CONCAT(A152,$E$1),PLANGRID!$A:$A,PLANGRID!$H:$H)</f>
        <v>closed</v>
      </c>
      <c r="F152" s="1" t="str">
        <f>_xlfn.XLOOKUP(_xlfn.CONCAT(A152,$F$1),PLANGRID!$A:$A,PLANGRID!$H:$H)</f>
        <v>closed</v>
      </c>
      <c r="G152" s="14" t="str">
        <f>_xlfn.XLOOKUP(_xlfn.CONCAT(A152,$G$1),PLANGRID!$A:$A,PLANGRID!$H:$H)</f>
        <v>closed</v>
      </c>
      <c r="H152" s="26"/>
    </row>
    <row r="153" spans="1:8" ht="22.5" customHeight="1" thickBot="1" x14ac:dyDescent="0.4">
      <c r="A153" s="13">
        <v>1604</v>
      </c>
      <c r="B153" s="1" t="str">
        <f>_xlfn.XLOOKUP(_xlfn.CONCAT(A153,$B$1),PLANGRID!$A:$A,PLANGRID!$H:$H)</f>
        <v>closed</v>
      </c>
      <c r="C153" s="1" t="str">
        <f>_xlfn.XLOOKUP(_xlfn.CONCAT(A153,$C$1),PLANGRID!$A:$A,PLANGRID!$H:$H)</f>
        <v>closed</v>
      </c>
      <c r="D153" s="1" t="str">
        <f>_xlfn.XLOOKUP(_xlfn.CONCAT(A153,$D$1),PLANGRID!$A:$A,PLANGRID!$H:$H)</f>
        <v>closed</v>
      </c>
      <c r="E153" s="1" t="str">
        <f>_xlfn.XLOOKUP(_xlfn.CONCAT(A153,$E$1),PLANGRID!$A:$A,PLANGRID!$H:$H)</f>
        <v>closed</v>
      </c>
      <c r="F153" s="1" t="str">
        <f>_xlfn.XLOOKUP(_xlfn.CONCAT(A153,$F$1),PLANGRID!$A:$A,PLANGRID!$H:$H)</f>
        <v>closed</v>
      </c>
      <c r="G153" s="14" t="str">
        <f>_xlfn.XLOOKUP(_xlfn.CONCAT(A153,$G$1),PLANGRID!$A:$A,PLANGRID!$H:$H)</f>
        <v>closed</v>
      </c>
      <c r="H153" s="26"/>
    </row>
    <row r="154" spans="1:8" ht="22.5" customHeight="1" thickBot="1" x14ac:dyDescent="0.4">
      <c r="A154" s="13">
        <v>1605</v>
      </c>
      <c r="B154" s="1" t="str">
        <f>_xlfn.XLOOKUP(_xlfn.CONCAT(A154,$B$1),PLANGRID!$A:$A,PLANGRID!$H:$H)</f>
        <v>closed</v>
      </c>
      <c r="C154" s="1" t="str">
        <f>_xlfn.XLOOKUP(_xlfn.CONCAT(A154,$C$1),PLANGRID!$A:$A,PLANGRID!$H:$H)</f>
        <v>closed</v>
      </c>
      <c r="D154" s="1" t="str">
        <f>_xlfn.XLOOKUP(_xlfn.CONCAT(A154,$D$1),PLANGRID!$A:$A,PLANGRID!$H:$H)</f>
        <v>closed</v>
      </c>
      <c r="E154" s="1" t="str">
        <f>_xlfn.XLOOKUP(_xlfn.CONCAT(A154,$E$1),PLANGRID!$A:$A,PLANGRID!$H:$H)</f>
        <v>closed</v>
      </c>
      <c r="F154" s="1" t="str">
        <f>_xlfn.XLOOKUP(_xlfn.CONCAT(A154,$F$1),PLANGRID!$A:$A,PLANGRID!$H:$H)</f>
        <v>closed</v>
      </c>
      <c r="G154" s="14" t="str">
        <f>_xlfn.XLOOKUP(_xlfn.CONCAT(A154,$G$1),PLANGRID!$A:$A,PLANGRID!$H:$H)</f>
        <v>closed</v>
      </c>
      <c r="H154" s="26"/>
    </row>
    <row r="155" spans="1:8" ht="22.5" customHeight="1" thickBot="1" x14ac:dyDescent="0.4">
      <c r="A155" s="13">
        <v>1606</v>
      </c>
      <c r="B155" s="1" t="str">
        <f>_xlfn.XLOOKUP(_xlfn.CONCAT(A155,$B$1),PLANGRID!$A:$A,PLANGRID!$H:$H)</f>
        <v>closed</v>
      </c>
      <c r="C155" s="1" t="str">
        <f>_xlfn.XLOOKUP(_xlfn.CONCAT(A155,$C$1),PLANGRID!$A:$A,PLANGRID!$H:$H)</f>
        <v>closed</v>
      </c>
      <c r="D155" s="1" t="str">
        <f>_xlfn.XLOOKUP(_xlfn.CONCAT(A155,$D$1),PLANGRID!$A:$A,PLANGRID!$H:$H)</f>
        <v>closed</v>
      </c>
      <c r="E155" s="1" t="str">
        <f>_xlfn.XLOOKUP(_xlfn.CONCAT(A155,$E$1),PLANGRID!$A:$A,PLANGRID!$H:$H)</f>
        <v>closed</v>
      </c>
      <c r="F155" s="1" t="str">
        <f>_xlfn.XLOOKUP(_xlfn.CONCAT(A155,$F$1),PLANGRID!$A:$A,PLANGRID!$H:$H)</f>
        <v>closed</v>
      </c>
      <c r="G155" s="14" t="str">
        <f>_xlfn.XLOOKUP(_xlfn.CONCAT(A155,$G$1),PLANGRID!$A:$A,PLANGRID!$H:$H)</f>
        <v>closed</v>
      </c>
      <c r="H155" s="26"/>
    </row>
    <row r="156" spans="1:8" ht="22.5" customHeight="1" thickBot="1" x14ac:dyDescent="0.4">
      <c r="A156" s="13">
        <v>1607</v>
      </c>
      <c r="B156" s="1" t="str">
        <f>_xlfn.XLOOKUP(_xlfn.CONCAT(A156,$B$1),PLANGRID!$A:$A,PLANGRID!$H:$H)</f>
        <v>closed</v>
      </c>
      <c r="C156" s="1" t="str">
        <f>_xlfn.XLOOKUP(_xlfn.CONCAT(A156,$C$1),PLANGRID!$A:$A,PLANGRID!$H:$H)</f>
        <v>closed</v>
      </c>
      <c r="D156" s="1" t="str">
        <f>_xlfn.XLOOKUP(_xlfn.CONCAT(A156,$D$1),PLANGRID!$A:$A,PLANGRID!$H:$H)</f>
        <v>closed</v>
      </c>
      <c r="E156" s="1" t="str">
        <f>_xlfn.XLOOKUP(_xlfn.CONCAT(A156,$E$1),PLANGRID!$A:$A,PLANGRID!$H:$H)</f>
        <v>closed</v>
      </c>
      <c r="F156" s="1" t="str">
        <f>_xlfn.XLOOKUP(_xlfn.CONCAT(A156,$F$1),PLANGRID!$A:$A,PLANGRID!$H:$H)</f>
        <v>closed</v>
      </c>
      <c r="G156" s="14" t="str">
        <f>_xlfn.XLOOKUP(_xlfn.CONCAT(A156,$G$1),PLANGRID!$A:$A,PLANGRID!$H:$H)</f>
        <v>closed</v>
      </c>
      <c r="H156" s="26"/>
    </row>
    <row r="157" spans="1:8" ht="22.5" customHeight="1" thickBot="1" x14ac:dyDescent="0.4">
      <c r="A157" s="13">
        <v>1608</v>
      </c>
      <c r="B157" s="1" t="str">
        <f>_xlfn.XLOOKUP(_xlfn.CONCAT(A157,$B$1),PLANGRID!$A:$A,PLANGRID!$H:$H)</f>
        <v>closed</v>
      </c>
      <c r="C157" s="1" t="str">
        <f>_xlfn.XLOOKUP(_xlfn.CONCAT(A157,$C$1),PLANGRID!$A:$A,PLANGRID!$H:$H)</f>
        <v>closed</v>
      </c>
      <c r="D157" s="1" t="str">
        <f>_xlfn.XLOOKUP(_xlfn.CONCAT(A157,$D$1),PLANGRID!$A:$A,PLANGRID!$H:$H)</f>
        <v>closed</v>
      </c>
      <c r="E157" s="1" t="str">
        <f>_xlfn.XLOOKUP(_xlfn.CONCAT(A157,$E$1),PLANGRID!$A:$A,PLANGRID!$H:$H)</f>
        <v>closed</v>
      </c>
      <c r="F157" s="1" t="str">
        <f>_xlfn.XLOOKUP(_xlfn.CONCAT(A157,$F$1),PLANGRID!$A:$A,PLANGRID!$H:$H)</f>
        <v>closed</v>
      </c>
      <c r="G157" s="14" t="str">
        <f>_xlfn.XLOOKUP(_xlfn.CONCAT(A157,$G$1),PLANGRID!$A:$A,PLANGRID!$H:$H)</f>
        <v>closed</v>
      </c>
      <c r="H157" s="26"/>
    </row>
    <row r="158" spans="1:8" ht="22.5" customHeight="1" thickBot="1" x14ac:dyDescent="0.4">
      <c r="A158" s="13">
        <v>1610</v>
      </c>
      <c r="B158" s="1" t="str">
        <f>_xlfn.XLOOKUP(_xlfn.CONCAT(A158,$B$1),PLANGRID!$A:$A,PLANGRID!$H:$H)</f>
        <v>closed</v>
      </c>
      <c r="C158" s="1" t="str">
        <f>_xlfn.XLOOKUP(_xlfn.CONCAT(A158,$C$1),PLANGRID!$A:$A,PLANGRID!$H:$H)</f>
        <v>closed</v>
      </c>
      <c r="D158" s="1" t="str">
        <f>_xlfn.XLOOKUP(_xlfn.CONCAT(A158,$D$1),PLANGRID!$A:$A,PLANGRID!$H:$H)</f>
        <v>closed</v>
      </c>
      <c r="E158" s="1" t="str">
        <f>_xlfn.XLOOKUP(_xlfn.CONCAT(A158,$E$1),PLANGRID!$A:$A,PLANGRID!$H:$H)</f>
        <v>closed</v>
      </c>
      <c r="F158" s="1" t="str">
        <f>_xlfn.XLOOKUP(_xlfn.CONCAT(A158,$F$1),PLANGRID!$A:$A,PLANGRID!$H:$H)</f>
        <v>closed</v>
      </c>
      <c r="G158" s="14" t="str">
        <f>_xlfn.XLOOKUP(_xlfn.CONCAT(A158,$G$1),PLANGRID!$A:$A,PLANGRID!$H:$H)</f>
        <v>closed</v>
      </c>
      <c r="H158" s="26"/>
    </row>
    <row r="159" spans="1:8" ht="22.5" customHeight="1" thickBot="1" x14ac:dyDescent="0.4">
      <c r="A159" s="13">
        <v>1701</v>
      </c>
      <c r="B159" s="1" t="str">
        <f>_xlfn.XLOOKUP(_xlfn.CONCAT(A159,$B$1),PLANGRID!$A:$A,PLANGRID!$H:$H)</f>
        <v>closed</v>
      </c>
      <c r="C159" s="1" t="str">
        <f>_xlfn.XLOOKUP(_xlfn.CONCAT(A159,$C$1),PLANGRID!$A:$A,PLANGRID!$H:$H)</f>
        <v>closed</v>
      </c>
      <c r="D159" s="1" t="str">
        <f>_xlfn.XLOOKUP(_xlfn.CONCAT(A159,$D$1),PLANGRID!$A:$A,PLANGRID!$H:$H)</f>
        <v>closed</v>
      </c>
      <c r="E159" s="1" t="str">
        <f>_xlfn.XLOOKUP(_xlfn.CONCAT(A159,$E$1),PLANGRID!$A:$A,PLANGRID!$H:$H)</f>
        <v>closed</v>
      </c>
      <c r="F159" s="1" t="str">
        <f>_xlfn.XLOOKUP(_xlfn.CONCAT(A159,$F$1),PLANGRID!$A:$A,PLANGRID!$H:$H)</f>
        <v>closed</v>
      </c>
      <c r="G159" s="14" t="str">
        <f>_xlfn.XLOOKUP(_xlfn.CONCAT(A159,$G$1),PLANGRID!$A:$A,PLANGRID!$H:$H)</f>
        <v>closed</v>
      </c>
      <c r="H159" s="26"/>
    </row>
    <row r="160" spans="1:8" ht="22.5" customHeight="1" thickBot="1" x14ac:dyDescent="0.4">
      <c r="A160" s="13">
        <v>1702</v>
      </c>
      <c r="B160" s="1" t="str">
        <f>_xlfn.XLOOKUP(_xlfn.CONCAT(A160,$B$1),PLANGRID!$A:$A,PLANGRID!$H:$H)</f>
        <v>closed</v>
      </c>
      <c r="C160" s="1" t="str">
        <f>_xlfn.XLOOKUP(_xlfn.CONCAT(A160,$C$1),PLANGRID!$A:$A,PLANGRID!$H:$H)</f>
        <v>closed</v>
      </c>
      <c r="D160" s="1" t="str">
        <f>_xlfn.XLOOKUP(_xlfn.CONCAT(A160,$D$1),PLANGRID!$A:$A,PLANGRID!$H:$H)</f>
        <v>closed</v>
      </c>
      <c r="E160" s="1" t="str">
        <f>_xlfn.XLOOKUP(_xlfn.CONCAT(A160,$E$1),PLANGRID!$A:$A,PLANGRID!$H:$H)</f>
        <v>closed</v>
      </c>
      <c r="F160" s="1" t="str">
        <f>_xlfn.XLOOKUP(_xlfn.CONCAT(A160,$F$1),PLANGRID!$A:$A,PLANGRID!$H:$H)</f>
        <v>closed</v>
      </c>
      <c r="G160" s="14" t="str">
        <f>_xlfn.XLOOKUP(_xlfn.CONCAT(A160,$G$1),PLANGRID!$A:$A,PLANGRID!$H:$H)</f>
        <v>closed</v>
      </c>
      <c r="H160" s="26"/>
    </row>
    <row r="161" spans="1:8" ht="22.5" customHeight="1" thickBot="1" x14ac:dyDescent="0.4">
      <c r="A161" s="13">
        <v>1703</v>
      </c>
      <c r="B161" s="1" t="str">
        <f>_xlfn.XLOOKUP(_xlfn.CONCAT(A161,$B$1),PLANGRID!$A:$A,PLANGRID!$H:$H)</f>
        <v>closed</v>
      </c>
      <c r="C161" s="1" t="str">
        <f>_xlfn.XLOOKUP(_xlfn.CONCAT(A161,$C$1),PLANGRID!$A:$A,PLANGRID!$H:$H)</f>
        <v>closed</v>
      </c>
      <c r="D161" s="1" t="str">
        <f>_xlfn.XLOOKUP(_xlfn.CONCAT(A161,$D$1),PLANGRID!$A:$A,PLANGRID!$H:$H)</f>
        <v>closed</v>
      </c>
      <c r="E161" s="1" t="str">
        <f>_xlfn.XLOOKUP(_xlfn.CONCAT(A161,$E$1),PLANGRID!$A:$A,PLANGRID!$H:$H)</f>
        <v>closed</v>
      </c>
      <c r="F161" s="1" t="str">
        <f>_xlfn.XLOOKUP(_xlfn.CONCAT(A161,$F$1),PLANGRID!$A:$A,PLANGRID!$H:$H)</f>
        <v>closed</v>
      </c>
      <c r="G161" s="14" t="str">
        <f>_xlfn.XLOOKUP(_xlfn.CONCAT(A161,$G$1),PLANGRID!$A:$A,PLANGRID!$H:$H)</f>
        <v>closed</v>
      </c>
      <c r="H161" s="26"/>
    </row>
    <row r="162" spans="1:8" ht="22.5" customHeight="1" thickBot="1" x14ac:dyDescent="0.4">
      <c r="A162" s="13">
        <v>1704</v>
      </c>
      <c r="B162" s="1" t="str">
        <f>_xlfn.XLOOKUP(_xlfn.CONCAT(A162,$B$1),PLANGRID!$A:$A,PLANGRID!$H:$H)</f>
        <v>closed</v>
      </c>
      <c r="C162" s="1" t="str">
        <f>_xlfn.XLOOKUP(_xlfn.CONCAT(A162,$C$1),PLANGRID!$A:$A,PLANGRID!$H:$H)</f>
        <v>closed</v>
      </c>
      <c r="D162" s="1" t="str">
        <f>_xlfn.XLOOKUP(_xlfn.CONCAT(A162,$D$1),PLANGRID!$A:$A,PLANGRID!$H:$H)</f>
        <v>closed</v>
      </c>
      <c r="E162" s="1" t="str">
        <f>_xlfn.XLOOKUP(_xlfn.CONCAT(A162,$E$1),PLANGRID!$A:$A,PLANGRID!$H:$H)</f>
        <v>closed</v>
      </c>
      <c r="F162" s="1" t="str">
        <f>_xlfn.XLOOKUP(_xlfn.CONCAT(A162,$F$1),PLANGRID!$A:$A,PLANGRID!$H:$H)</f>
        <v>closed</v>
      </c>
      <c r="G162" s="14" t="str">
        <f>_xlfn.XLOOKUP(_xlfn.CONCAT(A162,$G$1),PLANGRID!$A:$A,PLANGRID!$H:$H)</f>
        <v>closed</v>
      </c>
      <c r="H162" s="26"/>
    </row>
    <row r="163" spans="1:8" ht="22.5" customHeight="1" thickBot="1" x14ac:dyDescent="0.4">
      <c r="A163" s="13">
        <v>1705</v>
      </c>
      <c r="B163" s="1" t="str">
        <f>_xlfn.XLOOKUP(_xlfn.CONCAT(A163,$B$1),PLANGRID!$A:$A,PLANGRID!$H:$H)</f>
        <v>closed</v>
      </c>
      <c r="C163" s="1" t="str">
        <f>_xlfn.XLOOKUP(_xlfn.CONCAT(A163,$C$1),PLANGRID!$A:$A,PLANGRID!$H:$H)</f>
        <v>closed</v>
      </c>
      <c r="D163" s="1" t="str">
        <f>_xlfn.XLOOKUP(_xlfn.CONCAT(A163,$D$1),PLANGRID!$A:$A,PLANGRID!$H:$H)</f>
        <v>closed</v>
      </c>
      <c r="E163" s="1" t="str">
        <f>_xlfn.XLOOKUP(_xlfn.CONCAT(A163,$E$1),PLANGRID!$A:$A,PLANGRID!$H:$H)</f>
        <v>closed</v>
      </c>
      <c r="F163" s="1" t="str">
        <f>_xlfn.XLOOKUP(_xlfn.CONCAT(A163,$F$1),PLANGRID!$A:$A,PLANGRID!$H:$H)</f>
        <v>closed</v>
      </c>
      <c r="G163" s="14" t="str">
        <f>_xlfn.XLOOKUP(_xlfn.CONCAT(A163,$G$1),PLANGRID!$A:$A,PLANGRID!$H:$H)</f>
        <v>closed</v>
      </c>
      <c r="H163" s="26"/>
    </row>
    <row r="164" spans="1:8" ht="22.5" customHeight="1" thickBot="1" x14ac:dyDescent="0.4">
      <c r="A164" s="13">
        <v>1706</v>
      </c>
      <c r="B164" s="1" t="str">
        <f>_xlfn.XLOOKUP(_xlfn.CONCAT(A164,$B$1),PLANGRID!$A:$A,PLANGRID!$H:$H)</f>
        <v>closed</v>
      </c>
      <c r="C164" s="1" t="str">
        <f>_xlfn.XLOOKUP(_xlfn.CONCAT(A164,$C$1),PLANGRID!$A:$A,PLANGRID!$H:$H)</f>
        <v>closed</v>
      </c>
      <c r="D164" s="1" t="str">
        <f>_xlfn.XLOOKUP(_xlfn.CONCAT(A164,$D$1),PLANGRID!$A:$A,PLANGRID!$H:$H)</f>
        <v>closed</v>
      </c>
      <c r="E164" s="1" t="str">
        <f>_xlfn.XLOOKUP(_xlfn.CONCAT(A164,$E$1),PLANGRID!$A:$A,PLANGRID!$H:$H)</f>
        <v>closed</v>
      </c>
      <c r="F164" s="1" t="str">
        <f>_xlfn.XLOOKUP(_xlfn.CONCAT(A164,$F$1),PLANGRID!$A:$A,PLANGRID!$H:$H)</f>
        <v>closed</v>
      </c>
      <c r="G164" s="14" t="str">
        <f>_xlfn.XLOOKUP(_xlfn.CONCAT(A164,$G$1),PLANGRID!$A:$A,PLANGRID!$H:$H)</f>
        <v>closed</v>
      </c>
      <c r="H164" s="26"/>
    </row>
    <row r="165" spans="1:8" ht="22.5" customHeight="1" thickBot="1" x14ac:dyDescent="0.4">
      <c r="A165" s="13">
        <v>1707</v>
      </c>
      <c r="B165" s="1" t="str">
        <f>_xlfn.XLOOKUP(_xlfn.CONCAT(A165,$B$1),PLANGRID!$A:$A,PLANGRID!$H:$H)</f>
        <v>closed</v>
      </c>
      <c r="C165" s="1" t="str">
        <f>_xlfn.XLOOKUP(_xlfn.CONCAT(A165,$C$1),PLANGRID!$A:$A,PLANGRID!$H:$H)</f>
        <v>closed</v>
      </c>
      <c r="D165" s="1" t="str">
        <f>_xlfn.XLOOKUP(_xlfn.CONCAT(A165,$D$1),PLANGRID!$A:$A,PLANGRID!$H:$H)</f>
        <v>closed</v>
      </c>
      <c r="E165" s="1" t="str">
        <f>_xlfn.XLOOKUP(_xlfn.CONCAT(A165,$E$1),PLANGRID!$A:$A,PLANGRID!$H:$H)</f>
        <v>closed</v>
      </c>
      <c r="F165" s="1" t="str">
        <f>_xlfn.XLOOKUP(_xlfn.CONCAT(A165,$F$1),PLANGRID!$A:$A,PLANGRID!$H:$H)</f>
        <v>closed</v>
      </c>
      <c r="G165" s="14" t="str">
        <f>_xlfn.XLOOKUP(_xlfn.CONCAT(A165,$G$1),PLANGRID!$A:$A,PLANGRID!$H:$H)</f>
        <v>closed</v>
      </c>
      <c r="H165" s="26"/>
    </row>
    <row r="166" spans="1:8" ht="22.5" customHeight="1" thickBot="1" x14ac:dyDescent="0.4">
      <c r="A166" s="13">
        <v>1708</v>
      </c>
      <c r="B166" s="1" t="str">
        <f>_xlfn.XLOOKUP(_xlfn.CONCAT(A166,$B$1),PLANGRID!$A:$A,PLANGRID!$H:$H)</f>
        <v>closed</v>
      </c>
      <c r="C166" s="1" t="str">
        <f>_xlfn.XLOOKUP(_xlfn.CONCAT(A166,$C$1),PLANGRID!$A:$A,PLANGRID!$H:$H)</f>
        <v>closed</v>
      </c>
      <c r="D166" s="1" t="str">
        <f>_xlfn.XLOOKUP(_xlfn.CONCAT(A166,$D$1),PLANGRID!$A:$A,PLANGRID!$H:$H)</f>
        <v>closed</v>
      </c>
      <c r="E166" s="1" t="str">
        <f>_xlfn.XLOOKUP(_xlfn.CONCAT(A166,$E$1),PLANGRID!$A:$A,PLANGRID!$H:$H)</f>
        <v>closed</v>
      </c>
      <c r="F166" s="1" t="str">
        <f>_xlfn.XLOOKUP(_xlfn.CONCAT(A166,$F$1),PLANGRID!$A:$A,PLANGRID!$H:$H)</f>
        <v>closed</v>
      </c>
      <c r="G166" s="14" t="str">
        <f>_xlfn.XLOOKUP(_xlfn.CONCAT(A166,$G$1),PLANGRID!$A:$A,PLANGRID!$H:$H)</f>
        <v>closed</v>
      </c>
      <c r="H166" s="26"/>
    </row>
    <row r="167" spans="1:8" ht="22.5" customHeight="1" thickBot="1" x14ac:dyDescent="0.4">
      <c r="A167" s="13">
        <v>1709</v>
      </c>
      <c r="B167" s="1" t="str">
        <f>_xlfn.XLOOKUP(_xlfn.CONCAT(A167,$B$1),PLANGRID!$A:$A,PLANGRID!$H:$H)</f>
        <v>closed</v>
      </c>
      <c r="C167" s="1" t="str">
        <f>_xlfn.XLOOKUP(_xlfn.CONCAT(A167,$C$1),PLANGRID!$A:$A,PLANGRID!$H:$H)</f>
        <v>closed</v>
      </c>
      <c r="D167" s="1" t="str">
        <f>_xlfn.XLOOKUP(_xlfn.CONCAT(A167,$D$1),PLANGRID!$A:$A,PLANGRID!$H:$H)</f>
        <v>closed</v>
      </c>
      <c r="E167" s="1" t="str">
        <f>_xlfn.XLOOKUP(_xlfn.CONCAT(A167,$E$1),PLANGRID!$A:$A,PLANGRID!$H:$H)</f>
        <v>closed</v>
      </c>
      <c r="F167" s="1" t="str">
        <f>_xlfn.XLOOKUP(_xlfn.CONCAT(A167,$F$1),PLANGRID!$A:$A,PLANGRID!$H:$H)</f>
        <v>closed</v>
      </c>
      <c r="G167" s="14" t="str">
        <f>_xlfn.XLOOKUP(_xlfn.CONCAT(A167,$G$1),PLANGRID!$A:$A,PLANGRID!$H:$H)</f>
        <v>closed</v>
      </c>
      <c r="H167" s="26"/>
    </row>
    <row r="168" spans="1:8" ht="22.5" customHeight="1" thickBot="1" x14ac:dyDescent="0.4">
      <c r="A168" s="13">
        <v>1801</v>
      </c>
      <c r="B168" s="1" t="str">
        <f>_xlfn.XLOOKUP(_xlfn.CONCAT(A168,$B$1),PLANGRID!$A:$A,PLANGRID!$H:$H)</f>
        <v>closed</v>
      </c>
      <c r="C168" s="1" t="str">
        <f>_xlfn.XLOOKUP(_xlfn.CONCAT(A168,$C$1),PLANGRID!$A:$A,PLANGRID!$H:$H)</f>
        <v>closed</v>
      </c>
      <c r="D168" s="1" t="str">
        <f>_xlfn.XLOOKUP(_xlfn.CONCAT(A168,$D$1),PLANGRID!$A:$A,PLANGRID!$H:$H)</f>
        <v>closed</v>
      </c>
      <c r="E168" s="1" t="str">
        <f>_xlfn.XLOOKUP(_xlfn.CONCAT(A168,$E$1),PLANGRID!$A:$A,PLANGRID!$H:$H)</f>
        <v>closed</v>
      </c>
      <c r="F168" s="1" t="str">
        <f>_xlfn.XLOOKUP(_xlfn.CONCAT(A168,$F$1),PLANGRID!$A:$A,PLANGRID!$H:$H)</f>
        <v>closed</v>
      </c>
      <c r="G168" s="14" t="str">
        <f>_xlfn.XLOOKUP(_xlfn.CONCAT(A168,$G$1),PLANGRID!$A:$A,PLANGRID!$H:$H)</f>
        <v>closed</v>
      </c>
      <c r="H168" s="26"/>
    </row>
    <row r="169" spans="1:8" ht="22.5" customHeight="1" thickBot="1" x14ac:dyDescent="0.4">
      <c r="A169" s="13">
        <v>1802</v>
      </c>
      <c r="B169" s="1" t="str">
        <f>_xlfn.XLOOKUP(_xlfn.CONCAT(A169,$B$1),PLANGRID!$A:$A,PLANGRID!$H:$H)</f>
        <v>closed</v>
      </c>
      <c r="C169" s="1" t="str">
        <f>_xlfn.XLOOKUP(_xlfn.CONCAT(A169,$C$1),PLANGRID!$A:$A,PLANGRID!$H:$H)</f>
        <v>closed</v>
      </c>
      <c r="D169" s="1" t="str">
        <f>_xlfn.XLOOKUP(_xlfn.CONCAT(A169,$D$1),PLANGRID!$A:$A,PLANGRID!$H:$H)</f>
        <v>closed</v>
      </c>
      <c r="E169" s="1" t="str">
        <f>_xlfn.XLOOKUP(_xlfn.CONCAT(A169,$E$1),PLANGRID!$A:$A,PLANGRID!$H:$H)</f>
        <v>closed</v>
      </c>
      <c r="F169" s="1" t="str">
        <f>_xlfn.XLOOKUP(_xlfn.CONCAT(A169,$F$1),PLANGRID!$A:$A,PLANGRID!$H:$H)</f>
        <v>closed</v>
      </c>
      <c r="G169" s="14" t="str">
        <f>_xlfn.XLOOKUP(_xlfn.CONCAT(A169,$G$1),PLANGRID!$A:$A,PLANGRID!$H:$H)</f>
        <v>closed</v>
      </c>
      <c r="H169" s="26"/>
    </row>
    <row r="170" spans="1:8" ht="22.5" customHeight="1" thickBot="1" x14ac:dyDescent="0.4">
      <c r="A170" s="13">
        <v>1803</v>
      </c>
      <c r="B170" s="1" t="str">
        <f>_xlfn.XLOOKUP(_xlfn.CONCAT(A170,$B$1),PLANGRID!$A:$A,PLANGRID!$H:$H)</f>
        <v>closed</v>
      </c>
      <c r="C170" s="1" t="str">
        <f>_xlfn.XLOOKUP(_xlfn.CONCAT(A170,$C$1),PLANGRID!$A:$A,PLANGRID!$H:$H)</f>
        <v>closed</v>
      </c>
      <c r="D170" s="1" t="str">
        <f>_xlfn.XLOOKUP(_xlfn.CONCAT(A170,$D$1),PLANGRID!$A:$A,PLANGRID!$H:$H)</f>
        <v>closed</v>
      </c>
      <c r="E170" s="1" t="str">
        <f>_xlfn.XLOOKUP(_xlfn.CONCAT(A170,$E$1),PLANGRID!$A:$A,PLANGRID!$H:$H)</f>
        <v>closed</v>
      </c>
      <c r="F170" s="1" t="str">
        <f>_xlfn.XLOOKUP(_xlfn.CONCAT(A170,$F$1),PLANGRID!$A:$A,PLANGRID!$H:$H)</f>
        <v>closed</v>
      </c>
      <c r="G170" s="14" t="str">
        <f>_xlfn.XLOOKUP(_xlfn.CONCAT(A170,$G$1),PLANGRID!$A:$A,PLANGRID!$H:$H)</f>
        <v>closed</v>
      </c>
      <c r="H170" s="26"/>
    </row>
    <row r="171" spans="1:8" ht="22.5" customHeight="1" thickBot="1" x14ac:dyDescent="0.4">
      <c r="A171" s="13">
        <v>1804</v>
      </c>
      <c r="B171" s="1" t="str">
        <f>_xlfn.XLOOKUP(_xlfn.CONCAT(A171,$B$1),PLANGRID!$A:$A,PLANGRID!$H:$H)</f>
        <v>closed</v>
      </c>
      <c r="C171" s="1" t="str">
        <f>_xlfn.XLOOKUP(_xlfn.CONCAT(A171,$C$1),PLANGRID!$A:$A,PLANGRID!$H:$H)</f>
        <v>closed</v>
      </c>
      <c r="D171" s="1" t="str">
        <f>_xlfn.XLOOKUP(_xlfn.CONCAT(A171,$D$1),PLANGRID!$A:$A,PLANGRID!$H:$H)</f>
        <v>closed</v>
      </c>
      <c r="E171" s="1" t="str">
        <f>_xlfn.XLOOKUP(_xlfn.CONCAT(A171,$E$1),PLANGRID!$A:$A,PLANGRID!$H:$H)</f>
        <v>closed</v>
      </c>
      <c r="F171" s="1" t="str">
        <f>_xlfn.XLOOKUP(_xlfn.CONCAT(A171,$F$1),PLANGRID!$A:$A,PLANGRID!$H:$H)</f>
        <v>closed</v>
      </c>
      <c r="G171" s="14" t="str">
        <f>_xlfn.XLOOKUP(_xlfn.CONCAT(A171,$G$1),PLANGRID!$A:$A,PLANGRID!$H:$H)</f>
        <v>closed</v>
      </c>
      <c r="H171" s="26"/>
    </row>
    <row r="172" spans="1:8" ht="22.5" customHeight="1" thickBot="1" x14ac:dyDescent="0.4">
      <c r="A172" s="13">
        <v>1805</v>
      </c>
      <c r="B172" s="1" t="str">
        <f>_xlfn.XLOOKUP(_xlfn.CONCAT(A172,$B$1),PLANGRID!$A:$A,PLANGRID!$H:$H)</f>
        <v>closed</v>
      </c>
      <c r="C172" s="1" t="str">
        <f>_xlfn.XLOOKUP(_xlfn.CONCAT(A172,$C$1),PLANGRID!$A:$A,PLANGRID!$H:$H)</f>
        <v>closed</v>
      </c>
      <c r="D172" s="1" t="str">
        <f>_xlfn.XLOOKUP(_xlfn.CONCAT(A172,$D$1),PLANGRID!$A:$A,PLANGRID!$H:$H)</f>
        <v>closed</v>
      </c>
      <c r="E172" s="1" t="str">
        <f>_xlfn.XLOOKUP(_xlfn.CONCAT(A172,$E$1),PLANGRID!$A:$A,PLANGRID!$H:$H)</f>
        <v>closed</v>
      </c>
      <c r="F172" s="1" t="str">
        <f>_xlfn.XLOOKUP(_xlfn.CONCAT(A172,$F$1),PLANGRID!$A:$A,PLANGRID!$H:$H)</f>
        <v>closed</v>
      </c>
      <c r="G172" s="14" t="str">
        <f>_xlfn.XLOOKUP(_xlfn.CONCAT(A172,$G$1),PLANGRID!$A:$A,PLANGRID!$H:$H)</f>
        <v>closed</v>
      </c>
      <c r="H172" s="26"/>
    </row>
    <row r="173" spans="1:8" ht="22.5" customHeight="1" thickBot="1" x14ac:dyDescent="0.4">
      <c r="A173" s="13">
        <v>1806</v>
      </c>
      <c r="B173" s="1" t="str">
        <f>_xlfn.XLOOKUP(_xlfn.CONCAT(A173,$B$1),PLANGRID!$A:$A,PLANGRID!$H:$H)</f>
        <v>closed</v>
      </c>
      <c r="C173" s="1" t="str">
        <f>_xlfn.XLOOKUP(_xlfn.CONCAT(A173,$C$1),PLANGRID!$A:$A,PLANGRID!$H:$H)</f>
        <v>closed</v>
      </c>
      <c r="D173" s="1" t="str">
        <f>_xlfn.XLOOKUP(_xlfn.CONCAT(A173,$D$1),PLANGRID!$A:$A,PLANGRID!$H:$H)</f>
        <v>closed</v>
      </c>
      <c r="E173" s="1" t="str">
        <f>_xlfn.XLOOKUP(_xlfn.CONCAT(A173,$E$1),PLANGRID!$A:$A,PLANGRID!$H:$H)</f>
        <v>closed</v>
      </c>
      <c r="F173" s="1" t="str">
        <f>_xlfn.XLOOKUP(_xlfn.CONCAT(A173,$F$1),PLANGRID!$A:$A,PLANGRID!$H:$H)</f>
        <v>closed</v>
      </c>
      <c r="G173" s="14" t="str">
        <f>_xlfn.XLOOKUP(_xlfn.CONCAT(A173,$G$1),PLANGRID!$A:$A,PLANGRID!$H:$H)</f>
        <v>closed</v>
      </c>
      <c r="H173" s="26"/>
    </row>
    <row r="174" spans="1:8" ht="22.5" customHeight="1" thickBot="1" x14ac:dyDescent="0.4">
      <c r="A174" s="13">
        <v>1807</v>
      </c>
      <c r="B174" s="1" t="str">
        <f>_xlfn.XLOOKUP(_xlfn.CONCAT(A174,$B$1),PLANGRID!$A:$A,PLANGRID!$H:$H)</f>
        <v>closed</v>
      </c>
      <c r="C174" s="1" t="str">
        <f>_xlfn.XLOOKUP(_xlfn.CONCAT(A174,$C$1),PLANGRID!$A:$A,PLANGRID!$H:$H)</f>
        <v>closed</v>
      </c>
      <c r="D174" s="1" t="str">
        <f>_xlfn.XLOOKUP(_xlfn.CONCAT(A174,$D$1),PLANGRID!$A:$A,PLANGRID!$H:$H)</f>
        <v>closed</v>
      </c>
      <c r="E174" s="1" t="str">
        <f>_xlfn.XLOOKUP(_xlfn.CONCAT(A174,$E$1),PLANGRID!$A:$A,PLANGRID!$H:$H)</f>
        <v>closed</v>
      </c>
      <c r="F174" s="1" t="str">
        <f>_xlfn.XLOOKUP(_xlfn.CONCAT(A174,$F$1),PLANGRID!$A:$A,PLANGRID!$H:$H)</f>
        <v>closed</v>
      </c>
      <c r="G174" s="14" t="str">
        <f>_xlfn.XLOOKUP(_xlfn.CONCAT(A174,$G$1),PLANGRID!$A:$A,PLANGRID!$H:$H)</f>
        <v>closed</v>
      </c>
      <c r="H174" s="26"/>
    </row>
    <row r="175" spans="1:8" ht="22.5" customHeight="1" thickBot="1" x14ac:dyDescent="0.4">
      <c r="A175" s="13">
        <v>1808</v>
      </c>
      <c r="B175" s="1" t="str">
        <f>_xlfn.XLOOKUP(_xlfn.CONCAT(A175,$B$1),PLANGRID!$A:$A,PLANGRID!$H:$H)</f>
        <v>closed</v>
      </c>
      <c r="C175" s="1" t="str">
        <f>_xlfn.XLOOKUP(_xlfn.CONCAT(A175,$C$1),PLANGRID!$A:$A,PLANGRID!$H:$H)</f>
        <v>closed</v>
      </c>
      <c r="D175" s="1" t="str">
        <f>_xlfn.XLOOKUP(_xlfn.CONCAT(A175,$D$1),PLANGRID!$A:$A,PLANGRID!$H:$H)</f>
        <v>closed</v>
      </c>
      <c r="E175" s="1" t="str">
        <f>_xlfn.XLOOKUP(_xlfn.CONCAT(A175,$E$1),PLANGRID!$A:$A,PLANGRID!$H:$H)</f>
        <v>closed</v>
      </c>
      <c r="F175" s="1" t="str">
        <f>_xlfn.XLOOKUP(_xlfn.CONCAT(A175,$F$1),PLANGRID!$A:$A,PLANGRID!$H:$H)</f>
        <v>closed</v>
      </c>
      <c r="G175" s="14" t="str">
        <f>_xlfn.XLOOKUP(_xlfn.CONCAT(A175,$G$1),PLANGRID!$A:$A,PLANGRID!$H:$H)</f>
        <v>closed</v>
      </c>
      <c r="H175" s="26"/>
    </row>
    <row r="176" spans="1:8" ht="22.5" customHeight="1" thickBot="1" x14ac:dyDescent="0.4">
      <c r="A176" s="13">
        <v>1809</v>
      </c>
      <c r="B176" s="1" t="str">
        <f>_xlfn.XLOOKUP(_xlfn.CONCAT(A176,$B$1),PLANGRID!$A:$A,PLANGRID!$H:$H)</f>
        <v>closed</v>
      </c>
      <c r="C176" s="1" t="str">
        <f>_xlfn.XLOOKUP(_xlfn.CONCAT(A176,$C$1),PLANGRID!$A:$A,PLANGRID!$H:$H)</f>
        <v>closed</v>
      </c>
      <c r="D176" s="1" t="str">
        <f>_xlfn.XLOOKUP(_xlfn.CONCAT(A176,$D$1),PLANGRID!$A:$A,PLANGRID!$H:$H)</f>
        <v>closed</v>
      </c>
      <c r="E176" s="1" t="str">
        <f>_xlfn.XLOOKUP(_xlfn.CONCAT(A176,$E$1),PLANGRID!$A:$A,PLANGRID!$H:$H)</f>
        <v>closed</v>
      </c>
      <c r="F176" s="1" t="str">
        <f>_xlfn.XLOOKUP(_xlfn.CONCAT(A176,$F$1),PLANGRID!$A:$A,PLANGRID!$H:$H)</f>
        <v>closed</v>
      </c>
      <c r="G176" s="14" t="str">
        <f>_xlfn.XLOOKUP(_xlfn.CONCAT(A176,$G$1),PLANGRID!$A:$A,PLANGRID!$H:$H)</f>
        <v>closed</v>
      </c>
      <c r="H176" s="26"/>
    </row>
    <row r="177" spans="1:8" ht="22.5" customHeight="1" thickBot="1" x14ac:dyDescent="0.4">
      <c r="A177" s="13">
        <v>1810</v>
      </c>
      <c r="B177" s="1" t="str">
        <f>_xlfn.XLOOKUP(_xlfn.CONCAT(A177,$B$1),PLANGRID!$A:$A,PLANGRID!$H:$H)</f>
        <v>closed</v>
      </c>
      <c r="C177" s="1" t="str">
        <f>_xlfn.XLOOKUP(_xlfn.CONCAT(A177,$C$1),PLANGRID!$A:$A,PLANGRID!$H:$H)</f>
        <v>closed</v>
      </c>
      <c r="D177" s="1" t="str">
        <f>_xlfn.XLOOKUP(_xlfn.CONCAT(A177,$D$1),PLANGRID!$A:$A,PLANGRID!$H:$H)</f>
        <v>closed</v>
      </c>
      <c r="E177" s="1" t="str">
        <f>_xlfn.XLOOKUP(_xlfn.CONCAT(A177,$E$1),PLANGRID!$A:$A,PLANGRID!$H:$H)</f>
        <v>closed</v>
      </c>
      <c r="F177" s="1" t="str">
        <f>_xlfn.XLOOKUP(_xlfn.CONCAT(A177,$F$1),PLANGRID!$A:$A,PLANGRID!$H:$H)</f>
        <v>closed</v>
      </c>
      <c r="G177" s="14" t="str">
        <f>_xlfn.XLOOKUP(_xlfn.CONCAT(A177,$G$1),PLANGRID!$A:$A,PLANGRID!$H:$H)</f>
        <v>closed</v>
      </c>
      <c r="H177" s="26"/>
    </row>
    <row r="178" spans="1:8" ht="22.5" customHeight="1" thickBot="1" x14ac:dyDescent="0.4">
      <c r="A178" s="13">
        <v>1901</v>
      </c>
      <c r="B178" s="1" t="str">
        <f>_xlfn.XLOOKUP(_xlfn.CONCAT(A178,$B$1),PLANGRID!$A:$A,PLANGRID!$H:$H)</f>
        <v>closed</v>
      </c>
      <c r="C178" s="1" t="str">
        <f>_xlfn.XLOOKUP(_xlfn.CONCAT(A178,$C$1),PLANGRID!$A:$A,PLANGRID!$H:$H)</f>
        <v>closed</v>
      </c>
      <c r="D178" s="1" t="str">
        <f>_xlfn.XLOOKUP(_xlfn.CONCAT(A178,$D$1),PLANGRID!$A:$A,PLANGRID!$H:$H)</f>
        <v>closed</v>
      </c>
      <c r="E178" s="1" t="str">
        <f>_xlfn.XLOOKUP(_xlfn.CONCAT(A178,$E$1),PLANGRID!$A:$A,PLANGRID!$H:$H)</f>
        <v>closed</v>
      </c>
      <c r="F178" s="1" t="str">
        <f>_xlfn.XLOOKUP(_xlfn.CONCAT(A178,$F$1),PLANGRID!$A:$A,PLANGRID!$H:$H)</f>
        <v>closed</v>
      </c>
      <c r="G178" s="14" t="str">
        <f>_xlfn.XLOOKUP(_xlfn.CONCAT(A178,$G$1),PLANGRID!$A:$A,PLANGRID!$H:$H)</f>
        <v>closed</v>
      </c>
      <c r="H178" s="26"/>
    </row>
    <row r="179" spans="1:8" ht="22.5" customHeight="1" thickBot="1" x14ac:dyDescent="0.4">
      <c r="A179" s="13">
        <v>1902</v>
      </c>
      <c r="B179" s="1" t="str">
        <f>_xlfn.XLOOKUP(_xlfn.CONCAT(A179,$B$1),PLANGRID!$A:$A,PLANGRID!$H:$H)</f>
        <v>closed</v>
      </c>
      <c r="C179" s="1" t="str">
        <f>_xlfn.XLOOKUP(_xlfn.CONCAT(A179,$C$1),PLANGRID!$A:$A,PLANGRID!$H:$H)</f>
        <v>closed</v>
      </c>
      <c r="D179" s="1" t="str">
        <f>_xlfn.XLOOKUP(_xlfn.CONCAT(A179,$D$1),PLANGRID!$A:$A,PLANGRID!$H:$H)</f>
        <v>closed</v>
      </c>
      <c r="E179" s="1" t="str">
        <f>_xlfn.XLOOKUP(_xlfn.CONCAT(A179,$E$1),PLANGRID!$A:$A,PLANGRID!$H:$H)</f>
        <v>closed</v>
      </c>
      <c r="F179" s="1" t="str">
        <f>_xlfn.XLOOKUP(_xlfn.CONCAT(A179,$F$1),PLANGRID!$A:$A,PLANGRID!$H:$H)</f>
        <v>closed</v>
      </c>
      <c r="G179" s="14" t="str">
        <f>_xlfn.XLOOKUP(_xlfn.CONCAT(A179,$G$1),PLANGRID!$A:$A,PLANGRID!$H:$H)</f>
        <v>closed</v>
      </c>
      <c r="H179" s="26"/>
    </row>
    <row r="180" spans="1:8" ht="22.5" customHeight="1" thickBot="1" x14ac:dyDescent="0.4">
      <c r="A180" s="13">
        <v>1903</v>
      </c>
      <c r="B180" s="1" t="str">
        <f>_xlfn.XLOOKUP(_xlfn.CONCAT(A180,$B$1),PLANGRID!$A:$A,PLANGRID!$H:$H)</f>
        <v>closed</v>
      </c>
      <c r="C180" s="1" t="str">
        <f>_xlfn.XLOOKUP(_xlfn.CONCAT(A180,$C$1),PLANGRID!$A:$A,PLANGRID!$H:$H)</f>
        <v>closed</v>
      </c>
      <c r="D180" s="1" t="str">
        <f>_xlfn.XLOOKUP(_xlfn.CONCAT(A180,$D$1),PLANGRID!$A:$A,PLANGRID!$H:$H)</f>
        <v>closed</v>
      </c>
      <c r="E180" s="1" t="str">
        <f>_xlfn.XLOOKUP(_xlfn.CONCAT(A180,$E$1),PLANGRID!$A:$A,PLANGRID!$H:$H)</f>
        <v>closed</v>
      </c>
      <c r="F180" s="1" t="str">
        <f>_xlfn.XLOOKUP(_xlfn.CONCAT(A180,$F$1),PLANGRID!$A:$A,PLANGRID!$H:$H)</f>
        <v>closed</v>
      </c>
      <c r="G180" s="14" t="str">
        <f>_xlfn.XLOOKUP(_xlfn.CONCAT(A180,$G$1),PLANGRID!$A:$A,PLANGRID!$H:$H)</f>
        <v>closed</v>
      </c>
      <c r="H180" s="26"/>
    </row>
    <row r="181" spans="1:8" ht="22.5" customHeight="1" thickBot="1" x14ac:dyDescent="0.4">
      <c r="A181" s="13">
        <v>1904</v>
      </c>
      <c r="B181" s="1" t="str">
        <f>_xlfn.XLOOKUP(_xlfn.CONCAT(A181,$B$1),PLANGRID!$A:$A,PLANGRID!$H:$H)</f>
        <v>closed</v>
      </c>
      <c r="C181" s="1" t="str">
        <f>_xlfn.XLOOKUP(_xlfn.CONCAT(A181,$C$1),PLANGRID!$A:$A,PLANGRID!$H:$H)</f>
        <v>closed</v>
      </c>
      <c r="D181" s="1" t="str">
        <f>_xlfn.XLOOKUP(_xlfn.CONCAT(A181,$D$1),PLANGRID!$A:$A,PLANGRID!$H:$H)</f>
        <v>closed</v>
      </c>
      <c r="E181" s="1" t="str">
        <f>_xlfn.XLOOKUP(_xlfn.CONCAT(A181,$E$1),PLANGRID!$A:$A,PLANGRID!$H:$H)</f>
        <v>closed</v>
      </c>
      <c r="F181" s="1" t="str">
        <f>_xlfn.XLOOKUP(_xlfn.CONCAT(A181,$F$1),PLANGRID!$A:$A,PLANGRID!$H:$H)</f>
        <v>closed</v>
      </c>
      <c r="G181" s="14" t="str">
        <f>_xlfn.XLOOKUP(_xlfn.CONCAT(A181,$G$1),PLANGRID!$A:$A,PLANGRID!$H:$H)</f>
        <v>closed</v>
      </c>
      <c r="H181" s="26"/>
    </row>
    <row r="182" spans="1:8" ht="22.5" customHeight="1" thickBot="1" x14ac:dyDescent="0.4">
      <c r="A182" s="8">
        <v>1905</v>
      </c>
      <c r="B182" s="1" t="str">
        <f>_xlfn.XLOOKUP(_xlfn.CONCAT(A182,$B$1),PLANGRID!$A:$A,PLANGRID!$H:$H)</f>
        <v>closed</v>
      </c>
      <c r="C182" s="1" t="str">
        <f>_xlfn.XLOOKUP(_xlfn.CONCAT(A182,$C$1),PLANGRID!$A:$A,PLANGRID!$H:$H)</f>
        <v>closed</v>
      </c>
      <c r="D182" s="1" t="str">
        <f>_xlfn.XLOOKUP(_xlfn.CONCAT(A182,$D$1),PLANGRID!$A:$A,PLANGRID!$H:$H)</f>
        <v>closed</v>
      </c>
      <c r="E182" s="1" t="str">
        <f>_xlfn.XLOOKUP(_xlfn.CONCAT(A182,$E$1),PLANGRID!$A:$A,PLANGRID!$H:$H)</f>
        <v>closed</v>
      </c>
      <c r="F182" s="1" t="str">
        <f>_xlfn.XLOOKUP(_xlfn.CONCAT(A182,$F$1),PLANGRID!$A:$A,PLANGRID!$H:$H)</f>
        <v>closed</v>
      </c>
      <c r="G182" s="14" t="str">
        <f>_xlfn.XLOOKUP(_xlfn.CONCAT(A182,$G$1),PLANGRID!$A:$A,PLANGRID!$H:$H)</f>
        <v>closed</v>
      </c>
      <c r="H182" s="26"/>
    </row>
    <row r="183" spans="1:8" ht="22.5" customHeight="1" thickBot="1" x14ac:dyDescent="0.4">
      <c r="A183" s="8">
        <v>1906</v>
      </c>
      <c r="B183" s="1" t="str">
        <f>_xlfn.XLOOKUP(_xlfn.CONCAT(A183,$B$1),PLANGRID!$A:$A,PLANGRID!$H:$H)</f>
        <v>closed</v>
      </c>
      <c r="C183" s="1" t="str">
        <f>_xlfn.XLOOKUP(_xlfn.CONCAT(A183,$C$1),PLANGRID!$A:$A,PLANGRID!$H:$H)</f>
        <v>closed</v>
      </c>
      <c r="D183" s="1" t="str">
        <f>_xlfn.XLOOKUP(_xlfn.CONCAT(A183,$D$1),PLANGRID!$A:$A,PLANGRID!$H:$H)</f>
        <v>closed</v>
      </c>
      <c r="E183" s="1" t="str">
        <f>_xlfn.XLOOKUP(_xlfn.CONCAT(A183,$E$1),PLANGRID!$A:$A,PLANGRID!$H:$H)</f>
        <v>closed</v>
      </c>
      <c r="F183" s="1" t="str">
        <f>_xlfn.XLOOKUP(_xlfn.CONCAT(A183,$F$1),PLANGRID!$A:$A,PLANGRID!$H:$H)</f>
        <v>closed</v>
      </c>
      <c r="G183" s="14" t="str">
        <f>_xlfn.XLOOKUP(_xlfn.CONCAT(A183,$G$1),PLANGRID!$A:$A,PLANGRID!$H:$H)</f>
        <v>closed</v>
      </c>
      <c r="H183" s="26"/>
    </row>
    <row r="184" spans="1:8" ht="22.5" customHeight="1" thickBot="1" x14ac:dyDescent="0.4">
      <c r="A184" s="8">
        <v>1907</v>
      </c>
      <c r="B184" s="1" t="str">
        <f>_xlfn.XLOOKUP(_xlfn.CONCAT(A184,$B$1),PLANGRID!$A:$A,PLANGRID!$H:$H)</f>
        <v>closed</v>
      </c>
      <c r="C184" s="1" t="str">
        <f>_xlfn.XLOOKUP(_xlfn.CONCAT(A184,$C$1),PLANGRID!$A:$A,PLANGRID!$H:$H)</f>
        <v>closed</v>
      </c>
      <c r="D184" s="1" t="str">
        <f>_xlfn.XLOOKUP(_xlfn.CONCAT(A184,$D$1),PLANGRID!$A:$A,PLANGRID!$H:$H)</f>
        <v>closed</v>
      </c>
      <c r="E184" s="1" t="str">
        <f>_xlfn.XLOOKUP(_xlfn.CONCAT(A184,$E$1),PLANGRID!$A:$A,PLANGRID!$H:$H)</f>
        <v>closed</v>
      </c>
      <c r="F184" s="1" t="str">
        <f>_xlfn.XLOOKUP(_xlfn.CONCAT(A184,$F$1),PLANGRID!$A:$A,PLANGRID!$H:$H)</f>
        <v>closed</v>
      </c>
      <c r="G184" s="14" t="str">
        <f>_xlfn.XLOOKUP(_xlfn.CONCAT(A184,$G$1),PLANGRID!$A:$A,PLANGRID!$H:$H)</f>
        <v>closed</v>
      </c>
      <c r="H184" s="26"/>
    </row>
    <row r="185" spans="1:8" ht="22.5" customHeight="1" thickBot="1" x14ac:dyDescent="0.4">
      <c r="A185" s="8">
        <v>1908</v>
      </c>
      <c r="B185" s="1" t="str">
        <f>_xlfn.XLOOKUP(_xlfn.CONCAT(A185,$B$1),PLANGRID!$A:$A,PLANGRID!$H:$H)</f>
        <v>closed</v>
      </c>
      <c r="C185" s="1" t="str">
        <f>_xlfn.XLOOKUP(_xlfn.CONCAT(A185,$C$1),PLANGRID!$A:$A,PLANGRID!$H:$H)</f>
        <v>closed</v>
      </c>
      <c r="D185" s="1" t="str">
        <f>_xlfn.XLOOKUP(_xlfn.CONCAT(A185,$D$1),PLANGRID!$A:$A,PLANGRID!$H:$H)</f>
        <v>closed</v>
      </c>
      <c r="E185" s="1" t="str">
        <f>_xlfn.XLOOKUP(_xlfn.CONCAT(A185,$E$1),PLANGRID!$A:$A,PLANGRID!$H:$H)</f>
        <v>closed</v>
      </c>
      <c r="F185" s="1" t="str">
        <f>_xlfn.XLOOKUP(_xlfn.CONCAT(A185,$F$1),PLANGRID!$A:$A,PLANGRID!$H:$H)</f>
        <v>closed</v>
      </c>
      <c r="G185" s="14" t="str">
        <f>_xlfn.XLOOKUP(_xlfn.CONCAT(A185,$G$1),PLANGRID!$A:$A,PLANGRID!$H:$H)</f>
        <v>closed</v>
      </c>
      <c r="H185" s="26"/>
    </row>
    <row r="186" spans="1:8" ht="22.5" customHeight="1" thickBot="1" x14ac:dyDescent="0.4">
      <c r="A186" s="8">
        <v>1909</v>
      </c>
      <c r="B186" s="1" t="str">
        <f>_xlfn.XLOOKUP(_xlfn.CONCAT(A186,$B$1),PLANGRID!$A:$A,PLANGRID!$H:$H)</f>
        <v>closed</v>
      </c>
      <c r="C186" s="1" t="str">
        <f>_xlfn.XLOOKUP(_xlfn.CONCAT(A186,$C$1),PLANGRID!$A:$A,PLANGRID!$H:$H)</f>
        <v>closed</v>
      </c>
      <c r="D186" s="1" t="str">
        <f>_xlfn.XLOOKUP(_xlfn.CONCAT(A186,$D$1),PLANGRID!$A:$A,PLANGRID!$H:$H)</f>
        <v>closed</v>
      </c>
      <c r="E186" s="1" t="str">
        <f>_xlfn.XLOOKUP(_xlfn.CONCAT(A186,$E$1),PLANGRID!$A:$A,PLANGRID!$H:$H)</f>
        <v>closed</v>
      </c>
      <c r="F186" s="1" t="str">
        <f>_xlfn.XLOOKUP(_xlfn.CONCAT(A186,$F$1),PLANGRID!$A:$A,PLANGRID!$H:$H)</f>
        <v>closed</v>
      </c>
      <c r="G186" s="14" t="str">
        <f>_xlfn.XLOOKUP(_xlfn.CONCAT(A186,$G$1),PLANGRID!$A:$A,PLANGRID!$H:$H)</f>
        <v>closed</v>
      </c>
      <c r="H186" s="26"/>
    </row>
    <row r="187" spans="1:8" ht="22.5" customHeight="1" thickBot="1" x14ac:dyDescent="0.4">
      <c r="A187" s="8">
        <v>2001</v>
      </c>
      <c r="B187" s="1" t="str">
        <f>_xlfn.XLOOKUP(_xlfn.CONCAT(A187,$B$1),PLANGRID!$A:$A,PLANGRID!$H:$H)</f>
        <v>closed</v>
      </c>
      <c r="C187" s="1" t="str">
        <f>_xlfn.XLOOKUP(_xlfn.CONCAT(A187,$C$1),PLANGRID!$A:$A,PLANGRID!$H:$H)</f>
        <v>closed</v>
      </c>
      <c r="D187" s="1" t="str">
        <f>_xlfn.XLOOKUP(_xlfn.CONCAT(A187,$D$1),PLANGRID!$A:$A,PLANGRID!$H:$H)</f>
        <v>closed</v>
      </c>
      <c r="E187" s="1" t="str">
        <f>_xlfn.XLOOKUP(_xlfn.CONCAT(A187,$E$1),PLANGRID!$A:$A,PLANGRID!$H:$H)</f>
        <v>closed</v>
      </c>
      <c r="F187" s="1" t="str">
        <f>_xlfn.XLOOKUP(_xlfn.CONCAT(A187,$F$1),PLANGRID!$A:$A,PLANGRID!$H:$H)</f>
        <v>closed</v>
      </c>
      <c r="G187" s="14" t="str">
        <f>_xlfn.XLOOKUP(_xlfn.CONCAT(A187,$G$1),PLANGRID!$A:$A,PLANGRID!$H:$H)</f>
        <v>closed</v>
      </c>
      <c r="H187" s="26"/>
    </row>
    <row r="188" spans="1:8" ht="22.5" customHeight="1" thickBot="1" x14ac:dyDescent="0.4">
      <c r="A188" s="8">
        <v>2002</v>
      </c>
      <c r="B188" s="1" t="str">
        <f>_xlfn.XLOOKUP(_xlfn.CONCAT(A188,$B$1),PLANGRID!$A:$A,PLANGRID!$H:$H)</f>
        <v>closed</v>
      </c>
      <c r="C188" s="1" t="str">
        <f>_xlfn.XLOOKUP(_xlfn.CONCAT(A188,$C$1),PLANGRID!$A:$A,PLANGRID!$H:$H)</f>
        <v>closed</v>
      </c>
      <c r="D188" s="1" t="str">
        <f>_xlfn.XLOOKUP(_xlfn.CONCAT(A188,$D$1),PLANGRID!$A:$A,PLANGRID!$H:$H)</f>
        <v>closed</v>
      </c>
      <c r="E188" s="1" t="str">
        <f>_xlfn.XLOOKUP(_xlfn.CONCAT(A188,$E$1),PLANGRID!$A:$A,PLANGRID!$H:$H)</f>
        <v>closed</v>
      </c>
      <c r="F188" s="1" t="str">
        <f>_xlfn.XLOOKUP(_xlfn.CONCAT(A188,$F$1),PLANGRID!$A:$A,PLANGRID!$H:$H)</f>
        <v>closed</v>
      </c>
      <c r="G188" s="14" t="str">
        <f>_xlfn.XLOOKUP(_xlfn.CONCAT(A188,$G$1),PLANGRID!$A:$A,PLANGRID!$H:$H)</f>
        <v>closed</v>
      </c>
      <c r="H188" s="26"/>
    </row>
    <row r="189" spans="1:8" ht="22.5" customHeight="1" thickBot="1" x14ac:dyDescent="0.4">
      <c r="A189" s="8">
        <v>2003</v>
      </c>
      <c r="B189" s="1" t="str">
        <f>_xlfn.XLOOKUP(_xlfn.CONCAT(A189,$B$1),PLANGRID!$A:$A,PLANGRID!$H:$H)</f>
        <v>closed</v>
      </c>
      <c r="C189" s="1" t="str">
        <f>_xlfn.XLOOKUP(_xlfn.CONCAT(A189,$C$1),PLANGRID!$A:$A,PLANGRID!$H:$H)</f>
        <v>closed</v>
      </c>
      <c r="D189" s="1" t="str">
        <f>_xlfn.XLOOKUP(_xlfn.CONCAT(A189,$D$1),PLANGRID!$A:$A,PLANGRID!$H:$H)</f>
        <v>closed</v>
      </c>
      <c r="E189" s="1" t="str">
        <f>_xlfn.XLOOKUP(_xlfn.CONCAT(A189,$E$1),PLANGRID!$A:$A,PLANGRID!$H:$H)</f>
        <v>closed</v>
      </c>
      <c r="F189" s="1" t="str">
        <f>_xlfn.XLOOKUP(_xlfn.CONCAT(A189,$F$1),PLANGRID!$A:$A,PLANGRID!$H:$H)</f>
        <v>closed</v>
      </c>
      <c r="G189" s="14" t="str">
        <f>_xlfn.XLOOKUP(_xlfn.CONCAT(A189,$G$1),PLANGRID!$A:$A,PLANGRID!$H:$H)</f>
        <v>closed</v>
      </c>
      <c r="H189" s="26"/>
    </row>
    <row r="190" spans="1:8" ht="22.5" customHeight="1" thickBot="1" x14ac:dyDescent="0.4">
      <c r="A190" s="8">
        <v>2005</v>
      </c>
      <c r="B190" s="1" t="str">
        <f>_xlfn.XLOOKUP(_xlfn.CONCAT(A190,$B$1),PLANGRID!$A:$A,PLANGRID!$H:$H)</f>
        <v>closed</v>
      </c>
      <c r="C190" s="1" t="str">
        <f>_xlfn.XLOOKUP(_xlfn.CONCAT(A190,$C$1),PLANGRID!$A:$A,PLANGRID!$H:$H)</f>
        <v>closed</v>
      </c>
      <c r="D190" s="1" t="str">
        <f>_xlfn.XLOOKUP(_xlfn.CONCAT(A190,$D$1),PLANGRID!$A:$A,PLANGRID!$H:$H)</f>
        <v>closed</v>
      </c>
      <c r="E190" s="1" t="str">
        <f>_xlfn.XLOOKUP(_xlfn.CONCAT(A190,$E$1),PLANGRID!$A:$A,PLANGRID!$H:$H)</f>
        <v>closed</v>
      </c>
      <c r="F190" s="1" t="str">
        <f>_xlfn.XLOOKUP(_xlfn.CONCAT(A190,$F$1),PLANGRID!$A:$A,PLANGRID!$H:$H)</f>
        <v>closed</v>
      </c>
      <c r="G190" s="14" t="str">
        <f>_xlfn.XLOOKUP(_xlfn.CONCAT(A190,$G$1),PLANGRID!$A:$A,PLANGRID!$H:$H)</f>
        <v>closed</v>
      </c>
      <c r="H190" s="26"/>
    </row>
    <row r="191" spans="1:8" ht="22.5" customHeight="1" thickBot="1" x14ac:dyDescent="0.4">
      <c r="A191" s="8">
        <v>2006</v>
      </c>
      <c r="B191" s="1" t="str">
        <f>_xlfn.XLOOKUP(_xlfn.CONCAT(A191,$B$1),PLANGRID!$A:$A,PLANGRID!$H:$H)</f>
        <v>closed</v>
      </c>
      <c r="C191" s="1" t="str">
        <f>_xlfn.XLOOKUP(_xlfn.CONCAT(A191,$C$1),PLANGRID!$A:$A,PLANGRID!$H:$H)</f>
        <v>closed</v>
      </c>
      <c r="D191" s="1" t="str">
        <f>_xlfn.XLOOKUP(_xlfn.CONCAT(A191,$D$1),PLANGRID!$A:$A,PLANGRID!$H:$H)</f>
        <v>closed</v>
      </c>
      <c r="E191" s="1" t="str">
        <f>_xlfn.XLOOKUP(_xlfn.CONCAT(A191,$E$1),PLANGRID!$A:$A,PLANGRID!$H:$H)</f>
        <v>closed</v>
      </c>
      <c r="F191" s="1" t="str">
        <f>_xlfn.XLOOKUP(_xlfn.CONCAT(A191,$F$1),PLANGRID!$A:$A,PLANGRID!$H:$H)</f>
        <v>closed</v>
      </c>
      <c r="G191" s="14" t="str">
        <f>_xlfn.XLOOKUP(_xlfn.CONCAT(A191,$G$1),PLANGRID!$A:$A,PLANGRID!$H:$H)</f>
        <v>closed</v>
      </c>
      <c r="H191" s="26"/>
    </row>
    <row r="192" spans="1:8" ht="22.5" customHeight="1" thickBot="1" x14ac:dyDescent="0.4">
      <c r="A192" s="8">
        <v>2007</v>
      </c>
      <c r="B192" s="1" t="str">
        <f>_xlfn.XLOOKUP(_xlfn.CONCAT(A192,$B$1),PLANGRID!$A:$A,PLANGRID!$H:$H)</f>
        <v>closed</v>
      </c>
      <c r="C192" s="1" t="str">
        <f>_xlfn.XLOOKUP(_xlfn.CONCAT(A192,$C$1),PLANGRID!$A:$A,PLANGRID!$H:$H)</f>
        <v>closed</v>
      </c>
      <c r="D192" s="1" t="str">
        <f>_xlfn.XLOOKUP(_xlfn.CONCAT(A192,$D$1),PLANGRID!$A:$A,PLANGRID!$H:$H)</f>
        <v>closed</v>
      </c>
      <c r="E192" s="1" t="str">
        <f>_xlfn.XLOOKUP(_xlfn.CONCAT(A192,$E$1),PLANGRID!$A:$A,PLANGRID!$H:$H)</f>
        <v>closed</v>
      </c>
      <c r="F192" s="1" t="str">
        <f>_xlfn.XLOOKUP(_xlfn.CONCAT(A192,$F$1),PLANGRID!$A:$A,PLANGRID!$H:$H)</f>
        <v>closed</v>
      </c>
      <c r="G192" s="14" t="str">
        <f>_xlfn.XLOOKUP(_xlfn.CONCAT(A192,$G$1),PLANGRID!$A:$A,PLANGRID!$H:$H)</f>
        <v>closed</v>
      </c>
      <c r="H192" s="26"/>
    </row>
    <row r="193" spans="1:8" ht="22.5" customHeight="1" thickBot="1" x14ac:dyDescent="0.4">
      <c r="A193" s="8">
        <v>2008</v>
      </c>
      <c r="B193" s="1" t="str">
        <f>_xlfn.XLOOKUP(_xlfn.CONCAT(A193,$B$1),PLANGRID!$A:$A,PLANGRID!$H:$H)</f>
        <v>closed</v>
      </c>
      <c r="C193" s="1" t="str">
        <f>_xlfn.XLOOKUP(_xlfn.CONCAT(A193,$C$1),PLANGRID!$A:$A,PLANGRID!$H:$H)</f>
        <v>closed</v>
      </c>
      <c r="D193" s="1" t="str">
        <f>_xlfn.XLOOKUP(_xlfn.CONCAT(A193,$D$1),PLANGRID!$A:$A,PLANGRID!$H:$H)</f>
        <v>closed</v>
      </c>
      <c r="E193" s="1" t="str">
        <f>_xlfn.XLOOKUP(_xlfn.CONCAT(A193,$E$1),PLANGRID!$A:$A,PLANGRID!$H:$H)</f>
        <v>closed</v>
      </c>
      <c r="F193" s="1" t="str">
        <f>_xlfn.XLOOKUP(_xlfn.CONCAT(A193,$F$1),PLANGRID!$A:$A,PLANGRID!$H:$H)</f>
        <v>closed</v>
      </c>
      <c r="G193" s="14" t="str">
        <f>_xlfn.XLOOKUP(_xlfn.CONCAT(A193,$G$1),PLANGRID!$A:$A,PLANGRID!$H:$H)</f>
        <v>closed</v>
      </c>
      <c r="H193" s="26"/>
    </row>
    <row r="194" spans="1:8" ht="22.5" customHeight="1" thickBot="1" x14ac:dyDescent="0.4">
      <c r="A194" s="8">
        <v>2009</v>
      </c>
      <c r="B194" s="1" t="str">
        <f>_xlfn.XLOOKUP(_xlfn.CONCAT(A194,$B$1),PLANGRID!$A:$A,PLANGRID!$H:$H)</f>
        <v>closed</v>
      </c>
      <c r="C194" s="1" t="str">
        <f>_xlfn.XLOOKUP(_xlfn.CONCAT(A194,$C$1),PLANGRID!$A:$A,PLANGRID!$H:$H)</f>
        <v>closed</v>
      </c>
      <c r="D194" s="1" t="str">
        <f>_xlfn.XLOOKUP(_xlfn.CONCAT(A194,$D$1),PLANGRID!$A:$A,PLANGRID!$H:$H)</f>
        <v>closed</v>
      </c>
      <c r="E194" s="1" t="str">
        <f>_xlfn.XLOOKUP(_xlfn.CONCAT(A194,$E$1),PLANGRID!$A:$A,PLANGRID!$H:$H)</f>
        <v>closed</v>
      </c>
      <c r="F194" s="1" t="str">
        <f>_xlfn.XLOOKUP(_xlfn.CONCAT(A194,$F$1),PLANGRID!$A:$A,PLANGRID!$H:$H)</f>
        <v>closed</v>
      </c>
      <c r="G194" s="14" t="str">
        <f>_xlfn.XLOOKUP(_xlfn.CONCAT(A194,$G$1),PLANGRID!$A:$A,PLANGRID!$H:$H)</f>
        <v>closed</v>
      </c>
      <c r="H194" s="26"/>
    </row>
    <row r="195" spans="1:8" ht="22.5" customHeight="1" thickBot="1" x14ac:dyDescent="0.4">
      <c r="A195" s="8">
        <v>2010</v>
      </c>
      <c r="B195" s="1" t="str">
        <f>_xlfn.XLOOKUP(_xlfn.CONCAT(A195,$B$1),PLANGRID!$A:$A,PLANGRID!$H:$H)</f>
        <v>closed</v>
      </c>
      <c r="C195" s="1" t="str">
        <f>_xlfn.XLOOKUP(_xlfn.CONCAT(A195,$C$1),PLANGRID!$A:$A,PLANGRID!$H:$H)</f>
        <v>closed</v>
      </c>
      <c r="D195" s="1" t="str">
        <f>_xlfn.XLOOKUP(_xlfn.CONCAT(A195,$D$1),PLANGRID!$A:$A,PLANGRID!$H:$H)</f>
        <v>closed</v>
      </c>
      <c r="E195" s="1" t="str">
        <f>_xlfn.XLOOKUP(_xlfn.CONCAT(A195,$E$1),PLANGRID!$A:$A,PLANGRID!$H:$H)</f>
        <v>closed</v>
      </c>
      <c r="F195" s="1" t="str">
        <f>_xlfn.XLOOKUP(_xlfn.CONCAT(A195,$F$1),PLANGRID!$A:$A,PLANGRID!$H:$H)</f>
        <v>closed</v>
      </c>
      <c r="G195" s="14" t="str">
        <f>_xlfn.XLOOKUP(_xlfn.CONCAT(A195,$G$1),PLANGRID!$A:$A,PLANGRID!$H:$H)</f>
        <v>closed</v>
      </c>
      <c r="H195" s="26"/>
    </row>
    <row r="196" spans="1:8" ht="22.5" customHeight="1" thickBot="1" x14ac:dyDescent="0.4">
      <c r="A196" s="8">
        <v>2101</v>
      </c>
      <c r="B196" s="1" t="str">
        <f>_xlfn.XLOOKUP(_xlfn.CONCAT(A196,$B$1),PLANGRID!$A:$A,PLANGRID!$H:$H)</f>
        <v>closed</v>
      </c>
      <c r="C196" s="1" t="str">
        <f>_xlfn.XLOOKUP(_xlfn.CONCAT(A196,$C$1),PLANGRID!$A:$A,PLANGRID!$H:$H)</f>
        <v>closed</v>
      </c>
      <c r="D196" s="1" t="str">
        <f>_xlfn.XLOOKUP(_xlfn.CONCAT(A196,$D$1),PLANGRID!$A:$A,PLANGRID!$H:$H)</f>
        <v>closed</v>
      </c>
      <c r="E196" s="1" t="str">
        <f>_xlfn.XLOOKUP(_xlfn.CONCAT(A196,$E$1),PLANGRID!$A:$A,PLANGRID!$H:$H)</f>
        <v>closed</v>
      </c>
      <c r="F196" s="1" t="str">
        <f>_xlfn.XLOOKUP(_xlfn.CONCAT(A196,$F$1),PLANGRID!$A:$A,PLANGRID!$H:$H)</f>
        <v>closed</v>
      </c>
      <c r="G196" s="14" t="str">
        <f>_xlfn.XLOOKUP(_xlfn.CONCAT(A196,$G$1),PLANGRID!$A:$A,PLANGRID!$H:$H)</f>
        <v>closed</v>
      </c>
      <c r="H196" s="26"/>
    </row>
    <row r="197" spans="1:8" ht="22.5" customHeight="1" thickBot="1" x14ac:dyDescent="0.4">
      <c r="A197" s="8">
        <v>2102</v>
      </c>
      <c r="B197" s="1" t="str">
        <f>_xlfn.XLOOKUP(_xlfn.CONCAT(A197,$B$1),PLANGRID!$A:$A,PLANGRID!$H:$H)</f>
        <v>closed</v>
      </c>
      <c r="C197" s="1" t="str">
        <f>_xlfn.XLOOKUP(_xlfn.CONCAT(A197,$C$1),PLANGRID!$A:$A,PLANGRID!$H:$H)</f>
        <v>closed</v>
      </c>
      <c r="D197" s="1" t="str">
        <f>_xlfn.XLOOKUP(_xlfn.CONCAT(A197,$D$1),PLANGRID!$A:$A,PLANGRID!$H:$H)</f>
        <v>closed</v>
      </c>
      <c r="E197" s="1" t="str">
        <f>_xlfn.XLOOKUP(_xlfn.CONCAT(A197,$E$1),PLANGRID!$A:$A,PLANGRID!$H:$H)</f>
        <v>closed</v>
      </c>
      <c r="F197" s="1" t="str">
        <f>_xlfn.XLOOKUP(_xlfn.CONCAT(A197,$F$1),PLANGRID!$A:$A,PLANGRID!$H:$H)</f>
        <v>closed</v>
      </c>
      <c r="G197" s="14" t="str">
        <f>_xlfn.XLOOKUP(_xlfn.CONCAT(A197,$G$1),PLANGRID!$A:$A,PLANGRID!$H:$H)</f>
        <v>closed</v>
      </c>
      <c r="H197" s="26"/>
    </row>
    <row r="198" spans="1:8" ht="22.5" customHeight="1" thickBot="1" x14ac:dyDescent="0.4">
      <c r="A198" s="8">
        <v>2103</v>
      </c>
      <c r="B198" s="1" t="str">
        <f>_xlfn.XLOOKUP(_xlfn.CONCAT(A198,$B$1),PLANGRID!$A:$A,PLANGRID!$H:$H)</f>
        <v>closed</v>
      </c>
      <c r="C198" s="1" t="str">
        <f>_xlfn.XLOOKUP(_xlfn.CONCAT(A198,$C$1),PLANGRID!$A:$A,PLANGRID!$H:$H)</f>
        <v>closed</v>
      </c>
      <c r="D198" s="1" t="str">
        <f>_xlfn.XLOOKUP(_xlfn.CONCAT(A198,$D$1),PLANGRID!$A:$A,PLANGRID!$H:$H)</f>
        <v>closed</v>
      </c>
      <c r="E198" s="1" t="str">
        <f>_xlfn.XLOOKUP(_xlfn.CONCAT(A198,$E$1),PLANGRID!$A:$A,PLANGRID!$H:$H)</f>
        <v>closed</v>
      </c>
      <c r="F198" s="1" t="str">
        <f>_xlfn.XLOOKUP(_xlfn.CONCAT(A198,$F$1),PLANGRID!$A:$A,PLANGRID!$H:$H)</f>
        <v>closed</v>
      </c>
      <c r="G198" s="14" t="str">
        <f>_xlfn.XLOOKUP(_xlfn.CONCAT(A198,$G$1),PLANGRID!$A:$A,PLANGRID!$H:$H)</f>
        <v>closed</v>
      </c>
      <c r="H198" s="26"/>
    </row>
    <row r="199" spans="1:8" ht="22.5" customHeight="1" thickBot="1" x14ac:dyDescent="0.4">
      <c r="A199" s="8">
        <v>2104</v>
      </c>
      <c r="B199" s="1" t="str">
        <f>_xlfn.XLOOKUP(_xlfn.CONCAT(A199,$B$1),PLANGRID!$A:$A,PLANGRID!$H:$H)</f>
        <v>closed</v>
      </c>
      <c r="C199" s="1" t="str">
        <f>_xlfn.XLOOKUP(_xlfn.CONCAT(A199,$C$1),PLANGRID!$A:$A,PLANGRID!$H:$H)</f>
        <v>closed</v>
      </c>
      <c r="D199" s="1" t="str">
        <f>_xlfn.XLOOKUP(_xlfn.CONCAT(A199,$D$1),PLANGRID!$A:$A,PLANGRID!$H:$H)</f>
        <v>closed</v>
      </c>
      <c r="E199" s="1" t="str">
        <f>_xlfn.XLOOKUP(_xlfn.CONCAT(A199,$E$1),PLANGRID!$A:$A,PLANGRID!$H:$H)</f>
        <v>closed</v>
      </c>
      <c r="F199" s="1" t="str">
        <f>_xlfn.XLOOKUP(_xlfn.CONCAT(A199,$F$1),PLANGRID!$A:$A,PLANGRID!$H:$H)</f>
        <v>closed</v>
      </c>
      <c r="G199" s="14" t="str">
        <f>_xlfn.XLOOKUP(_xlfn.CONCAT(A199,$G$1),PLANGRID!$A:$A,PLANGRID!$H:$H)</f>
        <v>closed</v>
      </c>
      <c r="H199" s="26"/>
    </row>
    <row r="200" spans="1:8" ht="22.5" customHeight="1" thickBot="1" x14ac:dyDescent="0.4">
      <c r="A200" s="8">
        <v>2105</v>
      </c>
      <c r="B200" s="1" t="str">
        <f>_xlfn.XLOOKUP(_xlfn.CONCAT(A200,$B$1),PLANGRID!$A:$A,PLANGRID!$H:$H)</f>
        <v>closed</v>
      </c>
      <c r="C200" s="1" t="str">
        <f>_xlfn.XLOOKUP(_xlfn.CONCAT(A200,$C$1),PLANGRID!$A:$A,PLANGRID!$H:$H)</f>
        <v>closed</v>
      </c>
      <c r="D200" s="1" t="str">
        <f>_xlfn.XLOOKUP(_xlfn.CONCAT(A200,$D$1),PLANGRID!$A:$A,PLANGRID!$H:$H)</f>
        <v>closed</v>
      </c>
      <c r="E200" s="1" t="str">
        <f>_xlfn.XLOOKUP(_xlfn.CONCAT(A200,$E$1),PLANGRID!$A:$A,PLANGRID!$H:$H)</f>
        <v>closed</v>
      </c>
      <c r="F200" s="1" t="str">
        <f>_xlfn.XLOOKUP(_xlfn.CONCAT(A200,$F$1),PLANGRID!$A:$A,PLANGRID!$H:$H)</f>
        <v>closed</v>
      </c>
      <c r="G200" s="14" t="str">
        <f>_xlfn.XLOOKUP(_xlfn.CONCAT(A200,$G$1),PLANGRID!$A:$A,PLANGRID!$H:$H)</f>
        <v>closed</v>
      </c>
      <c r="H200" s="26"/>
    </row>
    <row r="201" spans="1:8" ht="22.5" customHeight="1" thickBot="1" x14ac:dyDescent="0.4">
      <c r="A201" s="8">
        <v>2106</v>
      </c>
      <c r="B201" s="1" t="str">
        <f>_xlfn.XLOOKUP(_xlfn.CONCAT(A201,$B$1),PLANGRID!$A:$A,PLANGRID!$H:$H)</f>
        <v>closed</v>
      </c>
      <c r="C201" s="1" t="str">
        <f>_xlfn.XLOOKUP(_xlfn.CONCAT(A201,$C$1),PLANGRID!$A:$A,PLANGRID!$H:$H)</f>
        <v>closed</v>
      </c>
      <c r="D201" s="1" t="str">
        <f>_xlfn.XLOOKUP(_xlfn.CONCAT(A201,$D$1),PLANGRID!$A:$A,PLANGRID!$H:$H)</f>
        <v>closed</v>
      </c>
      <c r="E201" s="1" t="str">
        <f>_xlfn.XLOOKUP(_xlfn.CONCAT(A201,$E$1),PLANGRID!$A:$A,PLANGRID!$H:$H)</f>
        <v>closed</v>
      </c>
      <c r="F201" s="1" t="str">
        <f>_xlfn.XLOOKUP(_xlfn.CONCAT(A201,$F$1),PLANGRID!$A:$A,PLANGRID!$H:$H)</f>
        <v>closed</v>
      </c>
      <c r="G201" s="14" t="str">
        <f>_xlfn.XLOOKUP(_xlfn.CONCAT(A201,$G$1),PLANGRID!$A:$A,PLANGRID!$H:$H)</f>
        <v>closed</v>
      </c>
      <c r="H201" s="26"/>
    </row>
    <row r="202" spans="1:8" ht="22.5" customHeight="1" thickBot="1" x14ac:dyDescent="0.4">
      <c r="A202" s="8">
        <v>2107</v>
      </c>
      <c r="B202" s="1" t="str">
        <f>_xlfn.XLOOKUP(_xlfn.CONCAT(A202,$B$1),PLANGRID!$A:$A,PLANGRID!$H:$H)</f>
        <v>closed</v>
      </c>
      <c r="C202" s="1" t="str">
        <f>_xlfn.XLOOKUP(_xlfn.CONCAT(A202,$C$1),PLANGRID!$A:$A,PLANGRID!$H:$H)</f>
        <v>closed</v>
      </c>
      <c r="D202" s="1" t="str">
        <f>_xlfn.XLOOKUP(_xlfn.CONCAT(A202,$D$1),PLANGRID!$A:$A,PLANGRID!$H:$H)</f>
        <v>closed</v>
      </c>
      <c r="E202" s="1" t="str">
        <f>_xlfn.XLOOKUP(_xlfn.CONCAT(A202,$E$1),PLANGRID!$A:$A,PLANGRID!$H:$H)</f>
        <v>closed</v>
      </c>
      <c r="F202" s="1" t="str">
        <f>_xlfn.XLOOKUP(_xlfn.CONCAT(A202,$F$1),PLANGRID!$A:$A,PLANGRID!$H:$H)</f>
        <v>closed</v>
      </c>
      <c r="G202" s="14" t="str">
        <f>_xlfn.XLOOKUP(_xlfn.CONCAT(A202,$G$1),PLANGRID!$A:$A,PLANGRID!$H:$H)</f>
        <v>closed</v>
      </c>
      <c r="H202" s="26"/>
    </row>
    <row r="203" spans="1:8" ht="22.5" customHeight="1" thickBot="1" x14ac:dyDescent="0.4">
      <c r="A203" s="8">
        <v>2108</v>
      </c>
      <c r="B203" s="1" t="str">
        <f>_xlfn.XLOOKUP(_xlfn.CONCAT(A203,$B$1),PLANGRID!$A:$A,PLANGRID!$H:$H)</f>
        <v>closed</v>
      </c>
      <c r="C203" s="1" t="str">
        <f>_xlfn.XLOOKUP(_xlfn.CONCAT(A203,$C$1),PLANGRID!$A:$A,PLANGRID!$H:$H)</f>
        <v>closed</v>
      </c>
      <c r="D203" s="1" t="str">
        <f>_xlfn.XLOOKUP(_xlfn.CONCAT(A203,$D$1),PLANGRID!$A:$A,PLANGRID!$H:$H)</f>
        <v>closed</v>
      </c>
      <c r="E203" s="1" t="str">
        <f>_xlfn.XLOOKUP(_xlfn.CONCAT(A203,$E$1),PLANGRID!$A:$A,PLANGRID!$H:$H)</f>
        <v>closed</v>
      </c>
      <c r="F203" s="1" t="str">
        <f>_xlfn.XLOOKUP(_xlfn.CONCAT(A203,$F$1),PLANGRID!$A:$A,PLANGRID!$H:$H)</f>
        <v>closed</v>
      </c>
      <c r="G203" s="14" t="str">
        <f>_xlfn.XLOOKUP(_xlfn.CONCAT(A203,$G$1),PLANGRID!$A:$A,PLANGRID!$H:$H)</f>
        <v>closed</v>
      </c>
      <c r="H203" s="26"/>
    </row>
    <row r="204" spans="1:8" ht="22.5" customHeight="1" thickBot="1" x14ac:dyDescent="0.4">
      <c r="A204" s="8">
        <v>2109</v>
      </c>
      <c r="B204" s="1" t="str">
        <f>_xlfn.XLOOKUP(_xlfn.CONCAT(A204,$B$1),PLANGRID!$A:$A,PLANGRID!$H:$H)</f>
        <v>closed</v>
      </c>
      <c r="C204" s="1" t="str">
        <f>_xlfn.XLOOKUP(_xlfn.CONCAT(A204,$C$1),PLANGRID!$A:$A,PLANGRID!$H:$H)</f>
        <v>closed</v>
      </c>
      <c r="D204" s="1" t="str">
        <f>_xlfn.XLOOKUP(_xlfn.CONCAT(A204,$D$1),PLANGRID!$A:$A,PLANGRID!$H:$H)</f>
        <v>closed</v>
      </c>
      <c r="E204" s="1" t="str">
        <f>_xlfn.XLOOKUP(_xlfn.CONCAT(A204,$E$1),PLANGRID!$A:$A,PLANGRID!$H:$H)</f>
        <v>closed</v>
      </c>
      <c r="F204" s="1" t="str">
        <f>_xlfn.XLOOKUP(_xlfn.CONCAT(A204,$F$1),PLANGRID!$A:$A,PLANGRID!$H:$H)</f>
        <v>closed</v>
      </c>
      <c r="G204" s="14" t="str">
        <f>_xlfn.XLOOKUP(_xlfn.CONCAT(A204,$G$1),PLANGRID!$A:$A,PLANGRID!$H:$H)</f>
        <v>closed</v>
      </c>
      <c r="H204" s="26"/>
    </row>
    <row r="205" spans="1:8" ht="22.5" customHeight="1" thickBot="1" x14ac:dyDescent="0.4">
      <c r="A205" s="8">
        <v>2201</v>
      </c>
      <c r="B205" s="1" t="str">
        <f>_xlfn.XLOOKUP(_xlfn.CONCAT(A205,$B$1),PLANGRID!$A:$A,PLANGRID!$H:$H)</f>
        <v>closed</v>
      </c>
      <c r="C205" s="1" t="str">
        <f>_xlfn.XLOOKUP(_xlfn.CONCAT(A205,$C$1),PLANGRID!$A:$A,PLANGRID!$H:$H)</f>
        <v>closed</v>
      </c>
      <c r="D205" s="1" t="str">
        <f>_xlfn.XLOOKUP(_xlfn.CONCAT(A205,$D$1),PLANGRID!$A:$A,PLANGRID!$H:$H)</f>
        <v>closed</v>
      </c>
      <c r="E205" s="1" t="str">
        <f>_xlfn.XLOOKUP(_xlfn.CONCAT(A205,$E$1),PLANGRID!$A:$A,PLANGRID!$H:$H)</f>
        <v>closed</v>
      </c>
      <c r="F205" s="1" t="str">
        <f>_xlfn.XLOOKUP(_xlfn.CONCAT(A205,$F$1),PLANGRID!$A:$A,PLANGRID!$H:$H)</f>
        <v>closed</v>
      </c>
      <c r="G205" s="14" t="str">
        <f>_xlfn.XLOOKUP(_xlfn.CONCAT(A205,$G$1),PLANGRID!$A:$A,PLANGRID!$H:$H)</f>
        <v>closed</v>
      </c>
      <c r="H205" s="26"/>
    </row>
    <row r="206" spans="1:8" ht="22.5" customHeight="1" thickBot="1" x14ac:dyDescent="0.4">
      <c r="A206" s="8">
        <v>2202</v>
      </c>
      <c r="B206" s="1" t="str">
        <f>_xlfn.XLOOKUP(_xlfn.CONCAT(A206,$B$1),PLANGRID!$A:$A,PLANGRID!$H:$H)</f>
        <v>closed</v>
      </c>
      <c r="C206" s="1" t="str">
        <f>_xlfn.XLOOKUP(_xlfn.CONCAT(A206,$C$1),PLANGRID!$A:$A,PLANGRID!$H:$H)</f>
        <v>closed</v>
      </c>
      <c r="D206" s="1" t="str">
        <f>_xlfn.XLOOKUP(_xlfn.CONCAT(A206,$D$1),PLANGRID!$A:$A,PLANGRID!$H:$H)</f>
        <v>closed</v>
      </c>
      <c r="E206" s="1" t="str">
        <f>_xlfn.XLOOKUP(_xlfn.CONCAT(A206,$E$1),PLANGRID!$A:$A,PLANGRID!$H:$H)</f>
        <v>closed</v>
      </c>
      <c r="F206" s="1" t="str">
        <f>_xlfn.XLOOKUP(_xlfn.CONCAT(A206,$F$1),PLANGRID!$A:$A,PLANGRID!$H:$H)</f>
        <v>closed</v>
      </c>
      <c r="G206" s="14" t="str">
        <f>_xlfn.XLOOKUP(_xlfn.CONCAT(A206,$G$1),PLANGRID!$A:$A,PLANGRID!$H:$H)</f>
        <v>closed</v>
      </c>
      <c r="H206" s="26"/>
    </row>
    <row r="207" spans="1:8" ht="22.5" customHeight="1" thickBot="1" x14ac:dyDescent="0.4">
      <c r="A207" s="8">
        <v>2203</v>
      </c>
      <c r="B207" s="1" t="str">
        <f>_xlfn.XLOOKUP(_xlfn.CONCAT(A207,$B$1),PLANGRID!$A:$A,PLANGRID!$H:$H)</f>
        <v>closed</v>
      </c>
      <c r="C207" s="1" t="str">
        <f>_xlfn.XLOOKUP(_xlfn.CONCAT(A207,$C$1),PLANGRID!$A:$A,PLANGRID!$H:$H)</f>
        <v>closed</v>
      </c>
      <c r="D207" s="1" t="str">
        <f>_xlfn.XLOOKUP(_xlfn.CONCAT(A207,$D$1),PLANGRID!$A:$A,PLANGRID!$H:$H)</f>
        <v>closed</v>
      </c>
      <c r="E207" s="1" t="str">
        <f>_xlfn.XLOOKUP(_xlfn.CONCAT(A207,$E$1),PLANGRID!$A:$A,PLANGRID!$H:$H)</f>
        <v>closed</v>
      </c>
      <c r="F207" s="1" t="str">
        <f>_xlfn.XLOOKUP(_xlfn.CONCAT(A207,$F$1),PLANGRID!$A:$A,PLANGRID!$H:$H)</f>
        <v>closed</v>
      </c>
      <c r="G207" s="14" t="str">
        <f>_xlfn.XLOOKUP(_xlfn.CONCAT(A207,$G$1),PLANGRID!$A:$A,PLANGRID!$H:$H)</f>
        <v>closed</v>
      </c>
      <c r="H207" s="26"/>
    </row>
    <row r="208" spans="1:8" ht="22.5" customHeight="1" thickBot="1" x14ac:dyDescent="0.4">
      <c r="A208" s="8">
        <v>2204</v>
      </c>
      <c r="B208" s="1" t="str">
        <f>_xlfn.XLOOKUP(_xlfn.CONCAT(A208,$B$1),PLANGRID!$A:$A,PLANGRID!$H:$H)</f>
        <v>closed</v>
      </c>
      <c r="C208" s="1" t="str">
        <f>_xlfn.XLOOKUP(_xlfn.CONCAT(A208,$C$1),PLANGRID!$A:$A,PLANGRID!$H:$H)</f>
        <v>closed</v>
      </c>
      <c r="D208" s="1" t="str">
        <f>_xlfn.XLOOKUP(_xlfn.CONCAT(A208,$D$1),PLANGRID!$A:$A,PLANGRID!$H:$H)</f>
        <v>closed</v>
      </c>
      <c r="E208" s="1" t="str">
        <f>_xlfn.XLOOKUP(_xlfn.CONCAT(A208,$E$1),PLANGRID!$A:$A,PLANGRID!$H:$H)</f>
        <v>closed</v>
      </c>
      <c r="F208" s="1" t="str">
        <f>_xlfn.XLOOKUP(_xlfn.CONCAT(A208,$F$1),PLANGRID!$A:$A,PLANGRID!$H:$H)</f>
        <v>closed</v>
      </c>
      <c r="G208" s="14" t="str">
        <f>_xlfn.XLOOKUP(_xlfn.CONCAT(A208,$G$1),PLANGRID!$A:$A,PLANGRID!$H:$H)</f>
        <v>closed</v>
      </c>
      <c r="H208" s="26"/>
    </row>
    <row r="209" spans="1:8" ht="22.5" customHeight="1" thickBot="1" x14ac:dyDescent="0.4">
      <c r="A209" s="8">
        <v>2205</v>
      </c>
      <c r="B209" s="1" t="str">
        <f>_xlfn.XLOOKUP(_xlfn.CONCAT(A209,$B$1),PLANGRID!$A:$A,PLANGRID!$H:$H)</f>
        <v>closed</v>
      </c>
      <c r="C209" s="1" t="str">
        <f>_xlfn.XLOOKUP(_xlfn.CONCAT(A209,$C$1),PLANGRID!$A:$A,PLANGRID!$H:$H)</f>
        <v>closed</v>
      </c>
      <c r="D209" s="1" t="str">
        <f>_xlfn.XLOOKUP(_xlfn.CONCAT(A209,$D$1),PLANGRID!$A:$A,PLANGRID!$H:$H)</f>
        <v>closed</v>
      </c>
      <c r="E209" s="1" t="str">
        <f>_xlfn.XLOOKUP(_xlfn.CONCAT(A209,$E$1),PLANGRID!$A:$A,PLANGRID!$H:$H)</f>
        <v>closed</v>
      </c>
      <c r="F209" s="1" t="str">
        <f>_xlfn.XLOOKUP(_xlfn.CONCAT(A209,$F$1),PLANGRID!$A:$A,PLANGRID!$H:$H)</f>
        <v>closed</v>
      </c>
      <c r="G209" s="14" t="str">
        <f>_xlfn.XLOOKUP(_xlfn.CONCAT(A209,$G$1),PLANGRID!$A:$A,PLANGRID!$H:$H)</f>
        <v>closed</v>
      </c>
      <c r="H209" s="26"/>
    </row>
    <row r="210" spans="1:8" ht="22.5" customHeight="1" thickBot="1" x14ac:dyDescent="0.4">
      <c r="A210" s="8">
        <v>2206</v>
      </c>
      <c r="B210" s="1" t="str">
        <f>_xlfn.XLOOKUP(_xlfn.CONCAT(A210,$B$1),PLANGRID!$A:$A,PLANGRID!$H:$H)</f>
        <v>closed</v>
      </c>
      <c r="C210" s="1" t="str">
        <f>_xlfn.XLOOKUP(_xlfn.CONCAT(A210,$C$1),PLANGRID!$A:$A,PLANGRID!$H:$H)</f>
        <v>closed</v>
      </c>
      <c r="D210" s="1" t="str">
        <f>_xlfn.XLOOKUP(_xlfn.CONCAT(A210,$D$1),PLANGRID!$A:$A,PLANGRID!$H:$H)</f>
        <v>closed</v>
      </c>
      <c r="E210" s="1" t="str">
        <f>_xlfn.XLOOKUP(_xlfn.CONCAT(A210,$E$1),PLANGRID!$A:$A,PLANGRID!$H:$H)</f>
        <v>closed</v>
      </c>
      <c r="F210" s="1" t="str">
        <f>_xlfn.XLOOKUP(_xlfn.CONCAT(A210,$F$1),PLANGRID!$A:$A,PLANGRID!$H:$H)</f>
        <v>closed</v>
      </c>
      <c r="G210" s="14" t="str">
        <f>_xlfn.XLOOKUP(_xlfn.CONCAT(A210,$G$1),PLANGRID!$A:$A,PLANGRID!$H:$H)</f>
        <v>closed</v>
      </c>
      <c r="H210" s="26"/>
    </row>
    <row r="211" spans="1:8" ht="22.5" customHeight="1" thickBot="1" x14ac:dyDescent="0.4">
      <c r="A211" s="8">
        <v>2207</v>
      </c>
      <c r="B211" s="1" t="str">
        <f>_xlfn.XLOOKUP(_xlfn.CONCAT(A211,$B$1),PLANGRID!$A:$A,PLANGRID!$H:$H)</f>
        <v>closed</v>
      </c>
      <c r="C211" s="1" t="str">
        <f>_xlfn.XLOOKUP(_xlfn.CONCAT(A211,$C$1),PLANGRID!$A:$A,PLANGRID!$H:$H)</f>
        <v>closed</v>
      </c>
      <c r="D211" s="1" t="str">
        <f>_xlfn.XLOOKUP(_xlfn.CONCAT(A211,$D$1),PLANGRID!$A:$A,PLANGRID!$H:$H)</f>
        <v>closed</v>
      </c>
      <c r="E211" s="1" t="str">
        <f>_xlfn.XLOOKUP(_xlfn.CONCAT(A211,$E$1),PLANGRID!$A:$A,PLANGRID!$H:$H)</f>
        <v>closed</v>
      </c>
      <c r="F211" s="1" t="str">
        <f>_xlfn.XLOOKUP(_xlfn.CONCAT(A211,$F$1),PLANGRID!$A:$A,PLANGRID!$H:$H)</f>
        <v>closed</v>
      </c>
      <c r="G211" s="14" t="str">
        <f>_xlfn.XLOOKUP(_xlfn.CONCAT(A211,$G$1),PLANGRID!$A:$A,PLANGRID!$H:$H)</f>
        <v>closed</v>
      </c>
      <c r="H211" s="26"/>
    </row>
    <row r="212" spans="1:8" ht="22.5" customHeight="1" thickBot="1" x14ac:dyDescent="0.4">
      <c r="A212" s="8">
        <v>2208</v>
      </c>
      <c r="B212" s="1" t="str">
        <f>_xlfn.XLOOKUP(_xlfn.CONCAT(A212,$B$1),PLANGRID!$A:$A,PLANGRID!$H:$H)</f>
        <v>closed</v>
      </c>
      <c r="C212" s="1" t="str">
        <f>_xlfn.XLOOKUP(_xlfn.CONCAT(A212,$C$1),PLANGRID!$A:$A,PLANGRID!$H:$H)</f>
        <v>closed</v>
      </c>
      <c r="D212" s="1" t="str">
        <f>_xlfn.XLOOKUP(_xlfn.CONCAT(A212,$D$1),PLANGRID!$A:$A,PLANGRID!$H:$H)</f>
        <v>closed</v>
      </c>
      <c r="E212" s="1" t="str">
        <f>_xlfn.XLOOKUP(_xlfn.CONCAT(A212,$E$1),PLANGRID!$A:$A,PLANGRID!$H:$H)</f>
        <v>closed</v>
      </c>
      <c r="F212" s="1" t="str">
        <f>_xlfn.XLOOKUP(_xlfn.CONCAT(A212,$F$1),PLANGRID!$A:$A,PLANGRID!$H:$H)</f>
        <v>closed</v>
      </c>
      <c r="G212" s="14" t="str">
        <f>_xlfn.XLOOKUP(_xlfn.CONCAT(A212,$G$1),PLANGRID!$A:$A,PLANGRID!$H:$H)</f>
        <v>closed</v>
      </c>
      <c r="H212" s="26"/>
    </row>
    <row r="213" spans="1:8" ht="22.5" customHeight="1" thickBot="1" x14ac:dyDescent="0.4">
      <c r="A213" s="8">
        <v>2209</v>
      </c>
      <c r="B213" s="1" t="str">
        <f>_xlfn.XLOOKUP(_xlfn.CONCAT(A213,$B$1),PLANGRID!$A:$A,PLANGRID!$H:$H)</f>
        <v>closed</v>
      </c>
      <c r="C213" s="1" t="str">
        <f>_xlfn.XLOOKUP(_xlfn.CONCAT(A213,$C$1),PLANGRID!$A:$A,PLANGRID!$H:$H)</f>
        <v>closed</v>
      </c>
      <c r="D213" s="1" t="str">
        <f>_xlfn.XLOOKUP(_xlfn.CONCAT(A213,$D$1),PLANGRID!$A:$A,PLANGRID!$H:$H)</f>
        <v>closed</v>
      </c>
      <c r="E213" s="1" t="str">
        <f>_xlfn.XLOOKUP(_xlfn.CONCAT(A213,$E$1),PLANGRID!$A:$A,PLANGRID!$H:$H)</f>
        <v>closed</v>
      </c>
      <c r="F213" s="1" t="str">
        <f>_xlfn.XLOOKUP(_xlfn.CONCAT(A213,$F$1),PLANGRID!$A:$A,PLANGRID!$H:$H)</f>
        <v>closed</v>
      </c>
      <c r="G213" s="14" t="str">
        <f>_xlfn.XLOOKUP(_xlfn.CONCAT(A213,$G$1),PLANGRID!$A:$A,PLANGRID!$H:$H)</f>
        <v>closed</v>
      </c>
      <c r="H213" s="26"/>
    </row>
    <row r="214" spans="1:8" ht="22.5" customHeight="1" thickBot="1" x14ac:dyDescent="0.4">
      <c r="A214" s="8">
        <v>2210</v>
      </c>
      <c r="B214" s="1" t="str">
        <f>_xlfn.XLOOKUP(_xlfn.CONCAT(A214,$B$1),PLANGRID!$A:$A,PLANGRID!$H:$H)</f>
        <v>closed</v>
      </c>
      <c r="C214" s="1" t="str">
        <f>_xlfn.XLOOKUP(_xlfn.CONCAT(A214,$C$1),PLANGRID!$A:$A,PLANGRID!$H:$H)</f>
        <v>closed</v>
      </c>
      <c r="D214" s="1" t="str">
        <f>_xlfn.XLOOKUP(_xlfn.CONCAT(A214,$D$1),PLANGRID!$A:$A,PLANGRID!$H:$H)</f>
        <v>closed</v>
      </c>
      <c r="E214" s="1" t="str">
        <f>_xlfn.XLOOKUP(_xlfn.CONCAT(A214,$E$1),PLANGRID!$A:$A,PLANGRID!$H:$H)</f>
        <v>closed</v>
      </c>
      <c r="F214" s="1" t="str">
        <f>_xlfn.XLOOKUP(_xlfn.CONCAT(A214,$F$1),PLANGRID!$A:$A,PLANGRID!$H:$H)</f>
        <v>closed</v>
      </c>
      <c r="G214" s="14" t="str">
        <f>_xlfn.XLOOKUP(_xlfn.CONCAT(A214,$G$1),PLANGRID!$A:$A,PLANGRID!$H:$H)</f>
        <v>closed</v>
      </c>
      <c r="H214" s="26"/>
    </row>
    <row r="215" spans="1:8" ht="22.5" customHeight="1" thickBot="1" x14ac:dyDescent="0.4">
      <c r="A215" s="8">
        <v>2301</v>
      </c>
      <c r="B215" s="1" t="str">
        <f>_xlfn.XLOOKUP(_xlfn.CONCAT(A215,$B$1),PLANGRID!$A:$A,PLANGRID!$H:$H)</f>
        <v>closed</v>
      </c>
      <c r="C215" s="1" t="str">
        <f>_xlfn.XLOOKUP(_xlfn.CONCAT(A215,$C$1),PLANGRID!$A:$A,PLANGRID!$H:$H)</f>
        <v>closed</v>
      </c>
      <c r="D215" s="1" t="str">
        <f>_xlfn.XLOOKUP(_xlfn.CONCAT(A215,$D$1),PLANGRID!$A:$A,PLANGRID!$H:$H)</f>
        <v>closed</v>
      </c>
      <c r="E215" s="1" t="str">
        <f>_xlfn.XLOOKUP(_xlfn.CONCAT(A215,$E$1),PLANGRID!$A:$A,PLANGRID!$H:$H)</f>
        <v>closed</v>
      </c>
      <c r="F215" s="1" t="str">
        <f>_xlfn.XLOOKUP(_xlfn.CONCAT(A215,$F$1),PLANGRID!$A:$A,PLANGRID!$H:$H)</f>
        <v>closed</v>
      </c>
      <c r="G215" s="14" t="str">
        <f>_xlfn.XLOOKUP(_xlfn.CONCAT(A215,$G$1),PLANGRID!$A:$A,PLANGRID!$H:$H)</f>
        <v>closed</v>
      </c>
      <c r="H215" s="26"/>
    </row>
    <row r="216" spans="1:8" ht="22.5" customHeight="1" thickBot="1" x14ac:dyDescent="0.4">
      <c r="A216" s="8">
        <v>2302</v>
      </c>
      <c r="B216" s="1" t="str">
        <f>_xlfn.XLOOKUP(_xlfn.CONCAT(A216,$B$1),PLANGRID!$A:$A,PLANGRID!$H:$H)</f>
        <v>closed</v>
      </c>
      <c r="C216" s="1" t="str">
        <f>_xlfn.XLOOKUP(_xlfn.CONCAT(A216,$C$1),PLANGRID!$A:$A,PLANGRID!$H:$H)</f>
        <v>closed</v>
      </c>
      <c r="D216" s="1" t="str">
        <f>_xlfn.XLOOKUP(_xlfn.CONCAT(A216,$D$1),PLANGRID!$A:$A,PLANGRID!$H:$H)</f>
        <v>closed</v>
      </c>
      <c r="E216" s="1" t="str">
        <f>_xlfn.XLOOKUP(_xlfn.CONCAT(A216,$E$1),PLANGRID!$A:$A,PLANGRID!$H:$H)</f>
        <v>closed</v>
      </c>
      <c r="F216" s="1" t="str">
        <f>_xlfn.XLOOKUP(_xlfn.CONCAT(A216,$F$1),PLANGRID!$A:$A,PLANGRID!$H:$H)</f>
        <v>closed</v>
      </c>
      <c r="G216" s="14" t="str">
        <f>_xlfn.XLOOKUP(_xlfn.CONCAT(A216,$G$1),PLANGRID!$A:$A,PLANGRID!$H:$H)</f>
        <v>closed</v>
      </c>
      <c r="H216" s="26"/>
    </row>
    <row r="217" spans="1:8" ht="22.5" customHeight="1" thickBot="1" x14ac:dyDescent="0.4">
      <c r="A217" s="8">
        <v>2303</v>
      </c>
      <c r="B217" s="1" t="str">
        <f>_xlfn.XLOOKUP(_xlfn.CONCAT(A217,$B$1),PLANGRID!$A:$A,PLANGRID!$H:$H)</f>
        <v>closed</v>
      </c>
      <c r="C217" s="1" t="str">
        <f>_xlfn.XLOOKUP(_xlfn.CONCAT(A217,$C$1),PLANGRID!$A:$A,PLANGRID!$H:$H)</f>
        <v>closed</v>
      </c>
      <c r="D217" s="1" t="str">
        <f>_xlfn.XLOOKUP(_xlfn.CONCAT(A217,$D$1),PLANGRID!$A:$A,PLANGRID!$H:$H)</f>
        <v>closed</v>
      </c>
      <c r="E217" s="1" t="str">
        <f>_xlfn.XLOOKUP(_xlfn.CONCAT(A217,$E$1),PLANGRID!$A:$A,PLANGRID!$H:$H)</f>
        <v>closed</v>
      </c>
      <c r="F217" s="1" t="str">
        <f>_xlfn.XLOOKUP(_xlfn.CONCAT(A217,$F$1),PLANGRID!$A:$A,PLANGRID!$H:$H)</f>
        <v>closed</v>
      </c>
      <c r="G217" s="14" t="str">
        <f>_xlfn.XLOOKUP(_xlfn.CONCAT(A217,$G$1),PLANGRID!$A:$A,PLANGRID!$H:$H)</f>
        <v>closed</v>
      </c>
      <c r="H217" s="26"/>
    </row>
    <row r="218" spans="1:8" ht="22.5" customHeight="1" thickBot="1" x14ac:dyDescent="0.4">
      <c r="A218" s="8">
        <v>2304</v>
      </c>
      <c r="B218" s="1" t="str">
        <f>_xlfn.XLOOKUP(_xlfn.CONCAT(A218,$B$1),PLANGRID!$A:$A,PLANGRID!$H:$H)</f>
        <v>closed</v>
      </c>
      <c r="C218" s="1" t="str">
        <f>_xlfn.XLOOKUP(_xlfn.CONCAT(A218,$C$1),PLANGRID!$A:$A,PLANGRID!$H:$H)</f>
        <v>closed</v>
      </c>
      <c r="D218" s="1" t="str">
        <f>_xlfn.XLOOKUP(_xlfn.CONCAT(A218,$D$1),PLANGRID!$A:$A,PLANGRID!$H:$H)</f>
        <v>closed</v>
      </c>
      <c r="E218" s="1" t="str">
        <f>_xlfn.XLOOKUP(_xlfn.CONCAT(A218,$E$1),PLANGRID!$A:$A,PLANGRID!$H:$H)</f>
        <v>closed</v>
      </c>
      <c r="F218" s="1" t="str">
        <f>_xlfn.XLOOKUP(_xlfn.CONCAT(A218,$F$1),PLANGRID!$A:$A,PLANGRID!$H:$H)</f>
        <v>closed</v>
      </c>
      <c r="G218" s="14" t="str">
        <f>_xlfn.XLOOKUP(_xlfn.CONCAT(A218,$G$1),PLANGRID!$A:$A,PLANGRID!$H:$H)</f>
        <v>closed</v>
      </c>
      <c r="H218" s="26"/>
    </row>
    <row r="219" spans="1:8" ht="22.5" customHeight="1" thickBot="1" x14ac:dyDescent="0.4">
      <c r="A219" s="8">
        <v>2305</v>
      </c>
      <c r="B219" s="1" t="str">
        <f>_xlfn.XLOOKUP(_xlfn.CONCAT(A219,$B$1),PLANGRID!$A:$A,PLANGRID!$H:$H)</f>
        <v>closed</v>
      </c>
      <c r="C219" s="1" t="str">
        <f>_xlfn.XLOOKUP(_xlfn.CONCAT(A219,$C$1),PLANGRID!$A:$A,PLANGRID!$H:$H)</f>
        <v>closed</v>
      </c>
      <c r="D219" s="1" t="str">
        <f>_xlfn.XLOOKUP(_xlfn.CONCAT(A219,$D$1),PLANGRID!$A:$A,PLANGRID!$H:$H)</f>
        <v>closed</v>
      </c>
      <c r="E219" s="1" t="str">
        <f>_xlfn.XLOOKUP(_xlfn.CONCAT(A219,$E$1),PLANGRID!$A:$A,PLANGRID!$H:$H)</f>
        <v>closed</v>
      </c>
      <c r="F219" s="1" t="str">
        <f>_xlfn.XLOOKUP(_xlfn.CONCAT(A219,$F$1),PLANGRID!$A:$A,PLANGRID!$H:$H)</f>
        <v>closed</v>
      </c>
      <c r="G219" s="14" t="str">
        <f>_xlfn.XLOOKUP(_xlfn.CONCAT(A219,$G$1),PLANGRID!$A:$A,PLANGRID!$H:$H)</f>
        <v>closed</v>
      </c>
      <c r="H219" s="26"/>
    </row>
    <row r="220" spans="1:8" ht="22.5" customHeight="1" thickBot="1" x14ac:dyDescent="0.4">
      <c r="A220" s="8">
        <v>2306</v>
      </c>
      <c r="B220" s="1" t="str">
        <f>_xlfn.XLOOKUP(_xlfn.CONCAT(A220,$B$1),PLANGRID!$A:$A,PLANGRID!$H:$H)</f>
        <v>closed</v>
      </c>
      <c r="C220" s="1" t="str">
        <f>_xlfn.XLOOKUP(_xlfn.CONCAT(A220,$C$1),PLANGRID!$A:$A,PLANGRID!$H:$H)</f>
        <v>closed</v>
      </c>
      <c r="D220" s="1" t="str">
        <f>_xlfn.XLOOKUP(_xlfn.CONCAT(A220,$D$1),PLANGRID!$A:$A,PLANGRID!$H:$H)</f>
        <v>closed</v>
      </c>
      <c r="E220" s="1" t="str">
        <f>_xlfn.XLOOKUP(_xlfn.CONCAT(A220,$E$1),PLANGRID!$A:$A,PLANGRID!$H:$H)</f>
        <v>closed</v>
      </c>
      <c r="F220" s="1" t="str">
        <f>_xlfn.XLOOKUP(_xlfn.CONCAT(A220,$F$1),PLANGRID!$A:$A,PLANGRID!$H:$H)</f>
        <v>closed</v>
      </c>
      <c r="G220" s="14" t="str">
        <f>_xlfn.XLOOKUP(_xlfn.CONCAT(A220,$G$1),PLANGRID!$A:$A,PLANGRID!$H:$H)</f>
        <v>closed</v>
      </c>
      <c r="H220" s="26"/>
    </row>
    <row r="221" spans="1:8" ht="22.5" customHeight="1" thickBot="1" x14ac:dyDescent="0.4">
      <c r="A221" s="8">
        <v>2307</v>
      </c>
      <c r="B221" s="1" t="str">
        <f>_xlfn.XLOOKUP(_xlfn.CONCAT(A221,$B$1),PLANGRID!$A:$A,PLANGRID!$H:$H)</f>
        <v>closed</v>
      </c>
      <c r="C221" s="1" t="str">
        <f>_xlfn.XLOOKUP(_xlfn.CONCAT(A221,$C$1),PLANGRID!$A:$A,PLANGRID!$H:$H)</f>
        <v>closed</v>
      </c>
      <c r="D221" s="1" t="str">
        <f>_xlfn.XLOOKUP(_xlfn.CONCAT(A221,$D$1),PLANGRID!$A:$A,PLANGRID!$H:$H)</f>
        <v>closed</v>
      </c>
      <c r="E221" s="1" t="str">
        <f>_xlfn.XLOOKUP(_xlfn.CONCAT(A221,$E$1),PLANGRID!$A:$A,PLANGRID!$H:$H)</f>
        <v>closed</v>
      </c>
      <c r="F221" s="1" t="str">
        <f>_xlfn.XLOOKUP(_xlfn.CONCAT(A221,$F$1),PLANGRID!$A:$A,PLANGRID!$H:$H)</f>
        <v>closed</v>
      </c>
      <c r="G221" s="14" t="str">
        <f>_xlfn.XLOOKUP(_xlfn.CONCAT(A221,$G$1),PLANGRID!$A:$A,PLANGRID!$H:$H)</f>
        <v>closed</v>
      </c>
      <c r="H221" s="26"/>
    </row>
    <row r="222" spans="1:8" ht="22.5" customHeight="1" thickBot="1" x14ac:dyDescent="0.4">
      <c r="A222" s="8">
        <v>2308</v>
      </c>
      <c r="B222" s="1" t="str">
        <f>_xlfn.XLOOKUP(_xlfn.CONCAT(A222,$B$1),PLANGRID!$A:$A,PLANGRID!$H:$H)</f>
        <v>closed</v>
      </c>
      <c r="C222" s="1" t="str">
        <f>_xlfn.XLOOKUP(_xlfn.CONCAT(A222,$C$1),PLANGRID!$A:$A,PLANGRID!$H:$H)</f>
        <v>closed</v>
      </c>
      <c r="D222" s="1" t="str">
        <f>_xlfn.XLOOKUP(_xlfn.CONCAT(A222,$D$1),PLANGRID!$A:$A,PLANGRID!$H:$H)</f>
        <v>closed</v>
      </c>
      <c r="E222" s="1" t="str">
        <f>_xlfn.XLOOKUP(_xlfn.CONCAT(A222,$E$1),PLANGRID!$A:$A,PLANGRID!$H:$H)</f>
        <v>closed</v>
      </c>
      <c r="F222" s="1" t="str">
        <f>_xlfn.XLOOKUP(_xlfn.CONCAT(A222,$F$1),PLANGRID!$A:$A,PLANGRID!$H:$H)</f>
        <v>closed</v>
      </c>
      <c r="G222" s="14" t="str">
        <f>_xlfn.XLOOKUP(_xlfn.CONCAT(A222,$G$1),PLANGRID!$A:$A,PLANGRID!$H:$H)</f>
        <v>closed</v>
      </c>
      <c r="H222" s="26"/>
    </row>
    <row r="223" spans="1:8" ht="22.5" customHeight="1" thickBot="1" x14ac:dyDescent="0.4">
      <c r="A223" s="8">
        <v>2309</v>
      </c>
      <c r="B223" s="1" t="str">
        <f>_xlfn.XLOOKUP(_xlfn.CONCAT(A223,$B$1),PLANGRID!$A:$A,PLANGRID!$H:$H)</f>
        <v>closed</v>
      </c>
      <c r="C223" s="1" t="str">
        <f>_xlfn.XLOOKUP(_xlfn.CONCAT(A223,$C$1),PLANGRID!$A:$A,PLANGRID!$H:$H)</f>
        <v>closed</v>
      </c>
      <c r="D223" s="1" t="str">
        <f>_xlfn.XLOOKUP(_xlfn.CONCAT(A223,$D$1),PLANGRID!$A:$A,PLANGRID!$H:$H)</f>
        <v>closed</v>
      </c>
      <c r="E223" s="1" t="str">
        <f>_xlfn.XLOOKUP(_xlfn.CONCAT(A223,$E$1),PLANGRID!$A:$A,PLANGRID!$H:$H)</f>
        <v>closed</v>
      </c>
      <c r="F223" s="1" t="str">
        <f>_xlfn.XLOOKUP(_xlfn.CONCAT(A223,$F$1),PLANGRID!$A:$A,PLANGRID!$H:$H)</f>
        <v>closed</v>
      </c>
      <c r="G223" s="14" t="str">
        <f>_xlfn.XLOOKUP(_xlfn.CONCAT(A223,$G$1),PLANGRID!$A:$A,PLANGRID!$H:$H)</f>
        <v>closed</v>
      </c>
      <c r="H223" s="26"/>
    </row>
    <row r="224" spans="1:8" ht="22.5" customHeight="1" thickBot="1" x14ac:dyDescent="0.4">
      <c r="A224" s="8">
        <v>2401</v>
      </c>
      <c r="B224" s="1" t="str">
        <f>_xlfn.XLOOKUP(_xlfn.CONCAT(A224,$B$1),PLANGRID!$A:$A,PLANGRID!$H:$H)</f>
        <v>closed</v>
      </c>
      <c r="C224" s="1" t="str">
        <f>_xlfn.XLOOKUP(_xlfn.CONCAT(A224,$C$1),PLANGRID!$A:$A,PLANGRID!$H:$H)</f>
        <v>closed</v>
      </c>
      <c r="D224" s="1" t="str">
        <f>_xlfn.XLOOKUP(_xlfn.CONCAT(A224,$D$1),PLANGRID!$A:$A,PLANGRID!$H:$H)</f>
        <v>closed</v>
      </c>
      <c r="E224" s="1" t="str">
        <f>_xlfn.XLOOKUP(_xlfn.CONCAT(A224,$E$1),PLANGRID!$A:$A,PLANGRID!$H:$H)</f>
        <v>closed</v>
      </c>
      <c r="F224" s="1" t="str">
        <f>_xlfn.XLOOKUP(_xlfn.CONCAT(A224,$F$1),PLANGRID!$A:$A,PLANGRID!$H:$H)</f>
        <v>closed</v>
      </c>
      <c r="G224" s="14" t="str">
        <f>_xlfn.XLOOKUP(_xlfn.CONCAT(A224,$G$1),PLANGRID!$A:$A,PLANGRID!$H:$H)</f>
        <v>closed</v>
      </c>
      <c r="H224" s="26"/>
    </row>
    <row r="225" spans="1:8" ht="22.5" customHeight="1" thickBot="1" x14ac:dyDescent="0.4">
      <c r="A225" s="8">
        <v>2402</v>
      </c>
      <c r="B225" s="1" t="str">
        <f>_xlfn.XLOOKUP(_xlfn.CONCAT(A225,$B$1),PLANGRID!$A:$A,PLANGRID!$H:$H)</f>
        <v>closed</v>
      </c>
      <c r="C225" s="1" t="str">
        <f>_xlfn.XLOOKUP(_xlfn.CONCAT(A225,$C$1),PLANGRID!$A:$A,PLANGRID!$H:$H)</f>
        <v>closed</v>
      </c>
      <c r="D225" s="1" t="str">
        <f>_xlfn.XLOOKUP(_xlfn.CONCAT(A225,$D$1),PLANGRID!$A:$A,PLANGRID!$H:$H)</f>
        <v>closed</v>
      </c>
      <c r="E225" s="1" t="str">
        <f>_xlfn.XLOOKUP(_xlfn.CONCAT(A225,$E$1),PLANGRID!$A:$A,PLANGRID!$H:$H)</f>
        <v>closed</v>
      </c>
      <c r="F225" s="1" t="str">
        <f>_xlfn.XLOOKUP(_xlfn.CONCAT(A225,$F$1),PLANGRID!$A:$A,PLANGRID!$H:$H)</f>
        <v>closed</v>
      </c>
      <c r="G225" s="14" t="str">
        <f>_xlfn.XLOOKUP(_xlfn.CONCAT(A225,$G$1),PLANGRID!$A:$A,PLANGRID!$H:$H)</f>
        <v>closed</v>
      </c>
      <c r="H225" s="26"/>
    </row>
    <row r="226" spans="1:8" ht="22.5" customHeight="1" thickBot="1" x14ac:dyDescent="0.4">
      <c r="A226" s="8">
        <v>2403</v>
      </c>
      <c r="B226" s="1" t="str">
        <f>_xlfn.XLOOKUP(_xlfn.CONCAT(A226,$B$1),PLANGRID!$A:$A,PLANGRID!$H:$H)</f>
        <v>closed</v>
      </c>
      <c r="C226" s="1" t="str">
        <f>_xlfn.XLOOKUP(_xlfn.CONCAT(A226,$C$1),PLANGRID!$A:$A,PLANGRID!$H:$H)</f>
        <v>closed</v>
      </c>
      <c r="D226" s="1" t="str">
        <f>_xlfn.XLOOKUP(_xlfn.CONCAT(A226,$D$1),PLANGRID!$A:$A,PLANGRID!$H:$H)</f>
        <v>closed</v>
      </c>
      <c r="E226" s="1" t="str">
        <f>_xlfn.XLOOKUP(_xlfn.CONCAT(A226,$E$1),PLANGRID!$A:$A,PLANGRID!$H:$H)</f>
        <v>closed</v>
      </c>
      <c r="F226" s="1" t="str">
        <f>_xlfn.XLOOKUP(_xlfn.CONCAT(A226,$F$1),PLANGRID!$A:$A,PLANGRID!$H:$H)</f>
        <v>closed</v>
      </c>
      <c r="G226" s="14" t="str">
        <f>_xlfn.XLOOKUP(_xlfn.CONCAT(A226,$G$1),PLANGRID!$A:$A,PLANGRID!$H:$H)</f>
        <v>closed</v>
      </c>
      <c r="H226" s="26"/>
    </row>
    <row r="227" spans="1:8" ht="22.5" customHeight="1" thickBot="1" x14ac:dyDescent="0.4">
      <c r="A227" s="8">
        <v>2404</v>
      </c>
      <c r="B227" s="1" t="str">
        <f>_xlfn.XLOOKUP(_xlfn.CONCAT(A227,$B$1),PLANGRID!$A:$A,PLANGRID!$H:$H)</f>
        <v>closed</v>
      </c>
      <c r="C227" s="1" t="str">
        <f>_xlfn.XLOOKUP(_xlfn.CONCAT(A227,$C$1),PLANGRID!$A:$A,PLANGRID!$H:$H)</f>
        <v>closed</v>
      </c>
      <c r="D227" s="1" t="str">
        <f>_xlfn.XLOOKUP(_xlfn.CONCAT(A227,$D$1),PLANGRID!$A:$A,PLANGRID!$H:$H)</f>
        <v>closed</v>
      </c>
      <c r="E227" s="1" t="str">
        <f>_xlfn.XLOOKUP(_xlfn.CONCAT(A227,$E$1),PLANGRID!$A:$A,PLANGRID!$H:$H)</f>
        <v>closed</v>
      </c>
      <c r="F227" s="1" t="str">
        <f>_xlfn.XLOOKUP(_xlfn.CONCAT(A227,$F$1),PLANGRID!$A:$A,PLANGRID!$H:$H)</f>
        <v>closed</v>
      </c>
      <c r="G227" s="14" t="str">
        <f>_xlfn.XLOOKUP(_xlfn.CONCAT(A227,$G$1),PLANGRID!$A:$A,PLANGRID!$H:$H)</f>
        <v>closed</v>
      </c>
      <c r="H227" s="26"/>
    </row>
    <row r="228" spans="1:8" ht="22.5" customHeight="1" thickBot="1" x14ac:dyDescent="0.4">
      <c r="A228" s="8">
        <v>2405</v>
      </c>
      <c r="B228" s="1" t="str">
        <f>_xlfn.XLOOKUP(_xlfn.CONCAT(A228,$B$1),PLANGRID!$A:$A,PLANGRID!$H:$H)</f>
        <v>closed</v>
      </c>
      <c r="C228" s="1" t="str">
        <f>_xlfn.XLOOKUP(_xlfn.CONCAT(A228,$C$1),PLANGRID!$A:$A,PLANGRID!$H:$H)</f>
        <v>closed</v>
      </c>
      <c r="D228" s="1" t="str">
        <f>_xlfn.XLOOKUP(_xlfn.CONCAT(A228,$D$1),PLANGRID!$A:$A,PLANGRID!$H:$H)</f>
        <v>closed</v>
      </c>
      <c r="E228" s="1" t="str">
        <f>_xlfn.XLOOKUP(_xlfn.CONCAT(A228,$E$1),PLANGRID!$A:$A,PLANGRID!$H:$H)</f>
        <v>closed</v>
      </c>
      <c r="F228" s="1" t="str">
        <f>_xlfn.XLOOKUP(_xlfn.CONCAT(A228,$F$1),PLANGRID!$A:$A,PLANGRID!$H:$H)</f>
        <v>closed</v>
      </c>
      <c r="G228" s="14" t="str">
        <f>_xlfn.XLOOKUP(_xlfn.CONCAT(A228,$G$1),PLANGRID!$A:$A,PLANGRID!$H:$H)</f>
        <v>closed</v>
      </c>
      <c r="H228" s="26"/>
    </row>
    <row r="229" spans="1:8" ht="22.5" customHeight="1" thickBot="1" x14ac:dyDescent="0.4">
      <c r="A229" s="8">
        <v>2406</v>
      </c>
      <c r="B229" s="1" t="str">
        <f>_xlfn.XLOOKUP(_xlfn.CONCAT(A229,$B$1),PLANGRID!$A:$A,PLANGRID!$H:$H)</f>
        <v>closed</v>
      </c>
      <c r="C229" s="1" t="str">
        <f>_xlfn.XLOOKUP(_xlfn.CONCAT(A229,$C$1),PLANGRID!$A:$A,PLANGRID!$H:$H)</f>
        <v>closed</v>
      </c>
      <c r="D229" s="1" t="str">
        <f>_xlfn.XLOOKUP(_xlfn.CONCAT(A229,$D$1),PLANGRID!$A:$A,PLANGRID!$H:$H)</f>
        <v>closed</v>
      </c>
      <c r="E229" s="1" t="str">
        <f>_xlfn.XLOOKUP(_xlfn.CONCAT(A229,$E$1),PLANGRID!$A:$A,PLANGRID!$H:$H)</f>
        <v>closed</v>
      </c>
      <c r="F229" s="1" t="str">
        <f>_xlfn.XLOOKUP(_xlfn.CONCAT(A229,$F$1),PLANGRID!$A:$A,PLANGRID!$H:$H)</f>
        <v>closed</v>
      </c>
      <c r="G229" s="14" t="str">
        <f>_xlfn.XLOOKUP(_xlfn.CONCAT(A229,$G$1),PLANGRID!$A:$A,PLANGRID!$H:$H)</f>
        <v>closed</v>
      </c>
      <c r="H229" s="26"/>
    </row>
    <row r="230" spans="1:8" ht="22.5" customHeight="1" thickBot="1" x14ac:dyDescent="0.4">
      <c r="A230" s="8">
        <v>2407</v>
      </c>
      <c r="B230" s="1" t="str">
        <f>_xlfn.XLOOKUP(_xlfn.CONCAT(A230,$B$1),PLANGRID!$A:$A,PLANGRID!$H:$H)</f>
        <v>closed</v>
      </c>
      <c r="C230" s="1" t="str">
        <f>_xlfn.XLOOKUP(_xlfn.CONCAT(A230,$C$1),PLANGRID!$A:$A,PLANGRID!$H:$H)</f>
        <v>closed</v>
      </c>
      <c r="D230" s="1" t="str">
        <f>_xlfn.XLOOKUP(_xlfn.CONCAT(A230,$D$1),PLANGRID!$A:$A,PLANGRID!$H:$H)</f>
        <v>closed</v>
      </c>
      <c r="E230" s="1" t="str">
        <f>_xlfn.XLOOKUP(_xlfn.CONCAT(A230,$E$1),PLANGRID!$A:$A,PLANGRID!$H:$H)</f>
        <v>closed</v>
      </c>
      <c r="F230" s="1" t="str">
        <f>_xlfn.XLOOKUP(_xlfn.CONCAT(A230,$F$1),PLANGRID!$A:$A,PLANGRID!$H:$H)</f>
        <v>closed</v>
      </c>
      <c r="G230" s="14" t="str">
        <f>_xlfn.XLOOKUP(_xlfn.CONCAT(A230,$G$1),PLANGRID!$A:$A,PLANGRID!$H:$H)</f>
        <v>closed</v>
      </c>
      <c r="H230" s="26"/>
    </row>
    <row r="231" spans="1:8" ht="22.5" customHeight="1" thickBot="1" x14ac:dyDescent="0.4">
      <c r="A231" s="8">
        <v>2408</v>
      </c>
      <c r="B231" s="1" t="str">
        <f>_xlfn.XLOOKUP(_xlfn.CONCAT(A231,$B$1),PLANGRID!$A:$A,PLANGRID!$H:$H)</f>
        <v>closed</v>
      </c>
      <c r="C231" s="1" t="str">
        <f>_xlfn.XLOOKUP(_xlfn.CONCAT(A231,$C$1),PLANGRID!$A:$A,PLANGRID!$H:$H)</f>
        <v>closed</v>
      </c>
      <c r="D231" s="1" t="str">
        <f>_xlfn.XLOOKUP(_xlfn.CONCAT(A231,$D$1),PLANGRID!$A:$A,PLANGRID!$H:$H)</f>
        <v>closed</v>
      </c>
      <c r="E231" s="1" t="str">
        <f>_xlfn.XLOOKUP(_xlfn.CONCAT(A231,$E$1),PLANGRID!$A:$A,PLANGRID!$H:$H)</f>
        <v>closed</v>
      </c>
      <c r="F231" s="1" t="str">
        <f>_xlfn.XLOOKUP(_xlfn.CONCAT(A231,$F$1),PLANGRID!$A:$A,PLANGRID!$H:$H)</f>
        <v>closed</v>
      </c>
      <c r="G231" s="14" t="str">
        <f>_xlfn.XLOOKUP(_xlfn.CONCAT(A231,$G$1),PLANGRID!$A:$A,PLANGRID!$H:$H)</f>
        <v>closed</v>
      </c>
      <c r="H231" s="26"/>
    </row>
    <row r="232" spans="1:8" ht="22.5" customHeight="1" thickBot="1" x14ac:dyDescent="0.4">
      <c r="A232" s="8">
        <v>2409</v>
      </c>
      <c r="B232" s="1" t="str">
        <f>_xlfn.XLOOKUP(_xlfn.CONCAT(A232,$B$1),PLANGRID!$A:$A,PLANGRID!$H:$H)</f>
        <v>closed</v>
      </c>
      <c r="C232" s="1" t="str">
        <f>_xlfn.XLOOKUP(_xlfn.CONCAT(A232,$C$1),PLANGRID!$A:$A,PLANGRID!$H:$H)</f>
        <v>closed</v>
      </c>
      <c r="D232" s="1" t="str">
        <f>_xlfn.XLOOKUP(_xlfn.CONCAT(A232,$D$1),PLANGRID!$A:$A,PLANGRID!$H:$H)</f>
        <v>closed</v>
      </c>
      <c r="E232" s="1" t="str">
        <f>_xlfn.XLOOKUP(_xlfn.CONCAT(A232,$E$1),PLANGRID!$A:$A,PLANGRID!$H:$H)</f>
        <v>closed</v>
      </c>
      <c r="F232" s="1" t="str">
        <f>_xlfn.XLOOKUP(_xlfn.CONCAT(A232,$F$1),PLANGRID!$A:$A,PLANGRID!$H:$H)</f>
        <v>closed</v>
      </c>
      <c r="G232" s="14" t="str">
        <f>_xlfn.XLOOKUP(_xlfn.CONCAT(A232,$G$1),PLANGRID!$A:$A,PLANGRID!$H:$H)</f>
        <v>closed</v>
      </c>
      <c r="H232" s="26"/>
    </row>
    <row r="233" spans="1:8" ht="22.5" customHeight="1" thickBot="1" x14ac:dyDescent="0.4">
      <c r="A233" s="8">
        <v>2410</v>
      </c>
      <c r="B233" s="1" t="str">
        <f>_xlfn.XLOOKUP(_xlfn.CONCAT(A233,$B$1),PLANGRID!$A:$A,PLANGRID!$H:$H)</f>
        <v>closed</v>
      </c>
      <c r="C233" s="1" t="str">
        <f>_xlfn.XLOOKUP(_xlfn.CONCAT(A233,$C$1),PLANGRID!$A:$A,PLANGRID!$H:$H)</f>
        <v>closed</v>
      </c>
      <c r="D233" s="1" t="str">
        <f>_xlfn.XLOOKUP(_xlfn.CONCAT(A233,$D$1),PLANGRID!$A:$A,PLANGRID!$H:$H)</f>
        <v>closed</v>
      </c>
      <c r="E233" s="1" t="str">
        <f>_xlfn.XLOOKUP(_xlfn.CONCAT(A233,$E$1),PLANGRID!$A:$A,PLANGRID!$H:$H)</f>
        <v>closed</v>
      </c>
      <c r="F233" s="1" t="str">
        <f>_xlfn.XLOOKUP(_xlfn.CONCAT(A233,$F$1),PLANGRID!$A:$A,PLANGRID!$H:$H)</f>
        <v>closed</v>
      </c>
      <c r="G233" s="14" t="str">
        <f>_xlfn.XLOOKUP(_xlfn.CONCAT(A233,$G$1),PLANGRID!$A:$A,PLANGRID!$H:$H)</f>
        <v>closed</v>
      </c>
      <c r="H233" s="26"/>
    </row>
    <row r="234" spans="1:8" ht="22.5" customHeight="1" thickBot="1" x14ac:dyDescent="0.4">
      <c r="A234" s="8">
        <v>2501</v>
      </c>
      <c r="B234" s="1" t="str">
        <f>_xlfn.XLOOKUP(_xlfn.CONCAT(A234,$B$1),PLANGRID!$A:$A,PLANGRID!$H:$H)</f>
        <v>closed</v>
      </c>
      <c r="C234" s="1" t="str">
        <f>_xlfn.XLOOKUP(_xlfn.CONCAT(A234,$C$1),PLANGRID!$A:$A,PLANGRID!$H:$H)</f>
        <v>closed</v>
      </c>
      <c r="D234" s="1" t="str">
        <f>_xlfn.XLOOKUP(_xlfn.CONCAT(A234,$D$1),PLANGRID!$A:$A,PLANGRID!$H:$H)</f>
        <v>closed</v>
      </c>
      <c r="E234" s="1" t="str">
        <f>_xlfn.XLOOKUP(_xlfn.CONCAT(A234,$E$1),PLANGRID!$A:$A,PLANGRID!$H:$H)</f>
        <v>closed</v>
      </c>
      <c r="F234" s="1" t="str">
        <f>_xlfn.XLOOKUP(_xlfn.CONCAT(A234,$F$1),PLANGRID!$A:$A,PLANGRID!$H:$H)</f>
        <v>closed</v>
      </c>
      <c r="G234" s="14" t="str">
        <f>_xlfn.XLOOKUP(_xlfn.CONCAT(A234,$G$1),PLANGRID!$A:$A,PLANGRID!$H:$H)</f>
        <v>closed</v>
      </c>
      <c r="H234" s="26"/>
    </row>
    <row r="235" spans="1:8" ht="22.5" customHeight="1" thickBot="1" x14ac:dyDescent="0.4">
      <c r="A235" s="8">
        <v>2502</v>
      </c>
      <c r="B235" s="1" t="str">
        <f>_xlfn.XLOOKUP(_xlfn.CONCAT(A235,$B$1),PLANGRID!$A:$A,PLANGRID!$H:$H)</f>
        <v>closed</v>
      </c>
      <c r="C235" s="1" t="str">
        <f>_xlfn.XLOOKUP(_xlfn.CONCAT(A235,$C$1),PLANGRID!$A:$A,PLANGRID!$H:$H)</f>
        <v>closed</v>
      </c>
      <c r="D235" s="1" t="str">
        <f>_xlfn.XLOOKUP(_xlfn.CONCAT(A235,$D$1),PLANGRID!$A:$A,PLANGRID!$H:$H)</f>
        <v>closed</v>
      </c>
      <c r="E235" s="1" t="str">
        <f>_xlfn.XLOOKUP(_xlfn.CONCAT(A235,$E$1),PLANGRID!$A:$A,PLANGRID!$H:$H)</f>
        <v>closed</v>
      </c>
      <c r="F235" s="1" t="str">
        <f>_xlfn.XLOOKUP(_xlfn.CONCAT(A235,$F$1),PLANGRID!$A:$A,PLANGRID!$H:$H)</f>
        <v>closed</v>
      </c>
      <c r="G235" s="14" t="str">
        <f>_xlfn.XLOOKUP(_xlfn.CONCAT(A235,$G$1),PLANGRID!$A:$A,PLANGRID!$H:$H)</f>
        <v>closed</v>
      </c>
      <c r="H235" s="26"/>
    </row>
    <row r="236" spans="1:8" ht="22.5" customHeight="1" thickBot="1" x14ac:dyDescent="0.4">
      <c r="A236" s="8">
        <v>2503</v>
      </c>
      <c r="B236" s="1" t="str">
        <f>_xlfn.XLOOKUP(_xlfn.CONCAT(A236,$B$1),PLANGRID!$A:$A,PLANGRID!$H:$H)</f>
        <v>closed</v>
      </c>
      <c r="C236" s="1" t="str">
        <f>_xlfn.XLOOKUP(_xlfn.CONCAT(A236,$C$1),PLANGRID!$A:$A,PLANGRID!$H:$H)</f>
        <v>closed</v>
      </c>
      <c r="D236" s="1" t="str">
        <f>_xlfn.XLOOKUP(_xlfn.CONCAT(A236,$D$1),PLANGRID!$A:$A,PLANGRID!$H:$H)</f>
        <v>closed</v>
      </c>
      <c r="E236" s="1" t="str">
        <f>_xlfn.XLOOKUP(_xlfn.CONCAT(A236,$E$1),PLANGRID!$A:$A,PLANGRID!$H:$H)</f>
        <v>closed</v>
      </c>
      <c r="F236" s="1" t="str">
        <f>_xlfn.XLOOKUP(_xlfn.CONCAT(A236,$F$1),PLANGRID!$A:$A,PLANGRID!$H:$H)</f>
        <v>closed</v>
      </c>
      <c r="G236" s="14" t="str">
        <f>_xlfn.XLOOKUP(_xlfn.CONCAT(A236,$G$1),PLANGRID!$A:$A,PLANGRID!$H:$H)</f>
        <v>closed</v>
      </c>
      <c r="H236" s="26"/>
    </row>
    <row r="237" spans="1:8" ht="22.5" customHeight="1" thickBot="1" x14ac:dyDescent="0.4">
      <c r="A237" s="8">
        <v>2504</v>
      </c>
      <c r="B237" s="1" t="str">
        <f>_xlfn.XLOOKUP(_xlfn.CONCAT(A237,$B$1),PLANGRID!$A:$A,PLANGRID!$H:$H)</f>
        <v>closed</v>
      </c>
      <c r="C237" s="1" t="str">
        <f>_xlfn.XLOOKUP(_xlfn.CONCAT(A237,$C$1),PLANGRID!$A:$A,PLANGRID!$H:$H)</f>
        <v>closed</v>
      </c>
      <c r="D237" s="1" t="str">
        <f>_xlfn.XLOOKUP(_xlfn.CONCAT(A237,$D$1),PLANGRID!$A:$A,PLANGRID!$H:$H)</f>
        <v>closed</v>
      </c>
      <c r="E237" s="1" t="str">
        <f>_xlfn.XLOOKUP(_xlfn.CONCAT(A237,$E$1),PLANGRID!$A:$A,PLANGRID!$H:$H)</f>
        <v>closed</v>
      </c>
      <c r="F237" s="1" t="str">
        <f>_xlfn.XLOOKUP(_xlfn.CONCAT(A237,$F$1),PLANGRID!$A:$A,PLANGRID!$H:$H)</f>
        <v>closed</v>
      </c>
      <c r="G237" s="14" t="str">
        <f>_xlfn.XLOOKUP(_xlfn.CONCAT(A237,$G$1),PLANGRID!$A:$A,PLANGRID!$H:$H)</f>
        <v>closed</v>
      </c>
      <c r="H237" s="26"/>
    </row>
    <row r="238" spans="1:8" ht="22.5" customHeight="1" thickBot="1" x14ac:dyDescent="0.4">
      <c r="A238" s="8">
        <v>2505</v>
      </c>
      <c r="B238" s="1" t="str">
        <f>_xlfn.XLOOKUP(_xlfn.CONCAT(A238,$B$1),PLANGRID!$A:$A,PLANGRID!$H:$H)</f>
        <v>closed</v>
      </c>
      <c r="C238" s="1" t="str">
        <f>_xlfn.XLOOKUP(_xlfn.CONCAT(A238,$C$1),PLANGRID!$A:$A,PLANGRID!$H:$H)</f>
        <v>closed</v>
      </c>
      <c r="D238" s="1" t="str">
        <f>_xlfn.XLOOKUP(_xlfn.CONCAT(A238,$D$1),PLANGRID!$A:$A,PLANGRID!$H:$H)</f>
        <v>closed</v>
      </c>
      <c r="E238" s="1" t="str">
        <f>_xlfn.XLOOKUP(_xlfn.CONCAT(A238,$E$1),PLANGRID!$A:$A,PLANGRID!$H:$H)</f>
        <v>closed</v>
      </c>
      <c r="F238" s="1" t="str">
        <f>_xlfn.XLOOKUP(_xlfn.CONCAT(A238,$F$1),PLANGRID!$A:$A,PLANGRID!$H:$H)</f>
        <v>closed</v>
      </c>
      <c r="G238" s="14" t="str">
        <f>_xlfn.XLOOKUP(_xlfn.CONCAT(A238,$G$1),PLANGRID!$A:$A,PLANGRID!$H:$H)</f>
        <v>closed</v>
      </c>
      <c r="H238" s="26"/>
    </row>
    <row r="239" spans="1:8" ht="22.5" customHeight="1" thickBot="1" x14ac:dyDescent="0.4">
      <c r="A239" s="8">
        <v>2506</v>
      </c>
      <c r="B239" s="1" t="str">
        <f>_xlfn.XLOOKUP(_xlfn.CONCAT(A239,$B$1),PLANGRID!$A:$A,PLANGRID!$H:$H)</f>
        <v>closed</v>
      </c>
      <c r="C239" s="1" t="str">
        <f>_xlfn.XLOOKUP(_xlfn.CONCAT(A239,$C$1),PLANGRID!$A:$A,PLANGRID!$H:$H)</f>
        <v>closed</v>
      </c>
      <c r="D239" s="1" t="str">
        <f>_xlfn.XLOOKUP(_xlfn.CONCAT(A239,$D$1),PLANGRID!$A:$A,PLANGRID!$H:$H)</f>
        <v>closed</v>
      </c>
      <c r="E239" s="1" t="str">
        <f>_xlfn.XLOOKUP(_xlfn.CONCAT(A239,$E$1),PLANGRID!$A:$A,PLANGRID!$H:$H)</f>
        <v>closed</v>
      </c>
      <c r="F239" s="1" t="str">
        <f>_xlfn.XLOOKUP(_xlfn.CONCAT(A239,$F$1),PLANGRID!$A:$A,PLANGRID!$H:$H)</f>
        <v>closed</v>
      </c>
      <c r="G239" s="14" t="str">
        <f>_xlfn.XLOOKUP(_xlfn.CONCAT(A239,$G$1),PLANGRID!$A:$A,PLANGRID!$H:$H)</f>
        <v>closed</v>
      </c>
      <c r="H239" s="26"/>
    </row>
    <row r="240" spans="1:8" ht="22.5" customHeight="1" thickBot="1" x14ac:dyDescent="0.4">
      <c r="A240" s="8">
        <v>2507</v>
      </c>
      <c r="B240" s="1" t="str">
        <f>_xlfn.XLOOKUP(_xlfn.CONCAT(A240,$B$1),PLANGRID!$A:$A,PLANGRID!$H:$H)</f>
        <v>closed</v>
      </c>
      <c r="C240" s="1" t="str">
        <f>_xlfn.XLOOKUP(_xlfn.CONCAT(A240,$C$1),PLANGRID!$A:$A,PLANGRID!$H:$H)</f>
        <v>closed</v>
      </c>
      <c r="D240" s="1" t="str">
        <f>_xlfn.XLOOKUP(_xlfn.CONCAT(A240,$D$1),PLANGRID!$A:$A,PLANGRID!$H:$H)</f>
        <v>closed</v>
      </c>
      <c r="E240" s="1" t="str">
        <f>_xlfn.XLOOKUP(_xlfn.CONCAT(A240,$E$1),PLANGRID!$A:$A,PLANGRID!$H:$H)</f>
        <v>closed</v>
      </c>
      <c r="F240" s="1" t="str">
        <f>_xlfn.XLOOKUP(_xlfn.CONCAT(A240,$F$1),PLANGRID!$A:$A,PLANGRID!$H:$H)</f>
        <v>closed</v>
      </c>
      <c r="G240" s="14" t="str">
        <f>_xlfn.XLOOKUP(_xlfn.CONCAT(A240,$G$1),PLANGRID!$A:$A,PLANGRID!$H:$H)</f>
        <v>closed</v>
      </c>
      <c r="H240" s="26"/>
    </row>
    <row r="241" spans="1:8" ht="22.5" customHeight="1" thickBot="1" x14ac:dyDescent="0.4">
      <c r="A241" s="8">
        <v>2508</v>
      </c>
      <c r="B241" s="1" t="str">
        <f>_xlfn.XLOOKUP(_xlfn.CONCAT(A241,$B$1),PLANGRID!$A:$A,PLANGRID!$H:$H)</f>
        <v>closed</v>
      </c>
      <c r="C241" s="1" t="str">
        <f>_xlfn.XLOOKUP(_xlfn.CONCAT(A241,$C$1),PLANGRID!$A:$A,PLANGRID!$H:$H)</f>
        <v>closed</v>
      </c>
      <c r="D241" s="1" t="str">
        <f>_xlfn.XLOOKUP(_xlfn.CONCAT(A241,$D$1),PLANGRID!$A:$A,PLANGRID!$H:$H)</f>
        <v>closed</v>
      </c>
      <c r="E241" s="1" t="str">
        <f>_xlfn.XLOOKUP(_xlfn.CONCAT(A241,$E$1),PLANGRID!$A:$A,PLANGRID!$H:$H)</f>
        <v>closed</v>
      </c>
      <c r="F241" s="1" t="str">
        <f>_xlfn.XLOOKUP(_xlfn.CONCAT(A241,$F$1),PLANGRID!$A:$A,PLANGRID!$H:$H)</f>
        <v>closed</v>
      </c>
      <c r="G241" s="14" t="str">
        <f>_xlfn.XLOOKUP(_xlfn.CONCAT(A241,$G$1),PLANGRID!$A:$A,PLANGRID!$H:$H)</f>
        <v>closed</v>
      </c>
      <c r="H241" s="26"/>
    </row>
    <row r="242" spans="1:8" ht="22.5" customHeight="1" thickBot="1" x14ac:dyDescent="0.4">
      <c r="A242" s="8">
        <v>2509</v>
      </c>
      <c r="B242" s="1" t="str">
        <f>_xlfn.XLOOKUP(_xlfn.CONCAT(A242,$B$1),PLANGRID!$A:$A,PLANGRID!$H:$H)</f>
        <v>closed</v>
      </c>
      <c r="C242" s="1" t="str">
        <f>_xlfn.XLOOKUP(_xlfn.CONCAT(A242,$C$1),PLANGRID!$A:$A,PLANGRID!$H:$H)</f>
        <v>closed</v>
      </c>
      <c r="D242" s="1" t="str">
        <f>_xlfn.XLOOKUP(_xlfn.CONCAT(A242,$D$1),PLANGRID!$A:$A,PLANGRID!$H:$H)</f>
        <v>closed</v>
      </c>
      <c r="E242" s="1" t="str">
        <f>_xlfn.XLOOKUP(_xlfn.CONCAT(A242,$E$1),PLANGRID!$A:$A,PLANGRID!$H:$H)</f>
        <v>closed</v>
      </c>
      <c r="F242" s="1" t="str">
        <f>_xlfn.XLOOKUP(_xlfn.CONCAT(A242,$F$1),PLANGRID!$A:$A,PLANGRID!$H:$H)</f>
        <v>closed</v>
      </c>
      <c r="G242" s="14" t="str">
        <f>_xlfn.XLOOKUP(_xlfn.CONCAT(A242,$G$1),PLANGRID!$A:$A,PLANGRID!$H:$H)</f>
        <v>closed</v>
      </c>
      <c r="H242" s="26"/>
    </row>
    <row r="243" spans="1:8" ht="22.5" customHeight="1" thickBot="1" x14ac:dyDescent="0.4">
      <c r="A243" s="8">
        <v>2601</v>
      </c>
      <c r="B243" s="1" t="str">
        <f>_xlfn.XLOOKUP(_xlfn.CONCAT(A243,$B$1),PLANGRID!$A:$A,PLANGRID!$H:$H)</f>
        <v>closed</v>
      </c>
      <c r="C243" s="1" t="str">
        <f>_xlfn.XLOOKUP(_xlfn.CONCAT(A243,$C$1),PLANGRID!$A:$A,PLANGRID!$H:$H)</f>
        <v>closed</v>
      </c>
      <c r="D243" s="1" t="str">
        <f>_xlfn.XLOOKUP(_xlfn.CONCAT(A243,$D$1),PLANGRID!$A:$A,PLANGRID!$H:$H)</f>
        <v>closed</v>
      </c>
      <c r="E243" s="1" t="str">
        <f>_xlfn.XLOOKUP(_xlfn.CONCAT(A243,$E$1),PLANGRID!$A:$A,PLANGRID!$H:$H)</f>
        <v>closed</v>
      </c>
      <c r="F243" s="1" t="str">
        <f>_xlfn.XLOOKUP(_xlfn.CONCAT(A243,$F$1),PLANGRID!$A:$A,PLANGRID!$H:$H)</f>
        <v>closed</v>
      </c>
      <c r="G243" s="14" t="str">
        <f>_xlfn.XLOOKUP(_xlfn.CONCAT(A243,$G$1),PLANGRID!$A:$A,PLANGRID!$H:$H)</f>
        <v>closed</v>
      </c>
      <c r="H243" s="26"/>
    </row>
    <row r="244" spans="1:8" ht="22.5" customHeight="1" thickBot="1" x14ac:dyDescent="0.4">
      <c r="A244" s="8">
        <v>2602</v>
      </c>
      <c r="B244" s="1" t="str">
        <f>_xlfn.XLOOKUP(_xlfn.CONCAT(A244,$B$1),PLANGRID!$A:$A,PLANGRID!$H:$H)</f>
        <v>closed</v>
      </c>
      <c r="C244" s="1" t="str">
        <f>_xlfn.XLOOKUP(_xlfn.CONCAT(A244,$C$1),PLANGRID!$A:$A,PLANGRID!$H:$H)</f>
        <v>closed</v>
      </c>
      <c r="D244" s="1" t="str">
        <f>_xlfn.XLOOKUP(_xlfn.CONCAT(A244,$D$1),PLANGRID!$A:$A,PLANGRID!$H:$H)</f>
        <v>closed</v>
      </c>
      <c r="E244" s="1" t="str">
        <f>_xlfn.XLOOKUP(_xlfn.CONCAT(A244,$E$1),PLANGRID!$A:$A,PLANGRID!$H:$H)</f>
        <v>closed</v>
      </c>
      <c r="F244" s="1" t="str">
        <f>_xlfn.XLOOKUP(_xlfn.CONCAT(A244,$F$1),PLANGRID!$A:$A,PLANGRID!$H:$H)</f>
        <v>closed</v>
      </c>
      <c r="G244" s="14" t="str">
        <f>_xlfn.XLOOKUP(_xlfn.CONCAT(A244,$G$1),PLANGRID!$A:$A,PLANGRID!$H:$H)</f>
        <v>closed</v>
      </c>
      <c r="H244" s="26"/>
    </row>
    <row r="245" spans="1:8" ht="22.5" customHeight="1" thickBot="1" x14ac:dyDescent="0.4">
      <c r="A245" s="8">
        <v>2603</v>
      </c>
      <c r="B245" s="1" t="str">
        <f>_xlfn.XLOOKUP(_xlfn.CONCAT(A245,$B$1),PLANGRID!$A:$A,PLANGRID!$H:$H)</f>
        <v>closed</v>
      </c>
      <c r="C245" s="1" t="str">
        <f>_xlfn.XLOOKUP(_xlfn.CONCAT(A245,$C$1),PLANGRID!$A:$A,PLANGRID!$H:$H)</f>
        <v>closed</v>
      </c>
      <c r="D245" s="1" t="str">
        <f>_xlfn.XLOOKUP(_xlfn.CONCAT(A245,$D$1),PLANGRID!$A:$A,PLANGRID!$H:$H)</f>
        <v>closed</v>
      </c>
      <c r="E245" s="1" t="str">
        <f>_xlfn.XLOOKUP(_xlfn.CONCAT(A245,$E$1),PLANGRID!$A:$A,PLANGRID!$H:$H)</f>
        <v>closed</v>
      </c>
      <c r="F245" s="1" t="str">
        <f>_xlfn.XLOOKUP(_xlfn.CONCAT(A245,$F$1),PLANGRID!$A:$A,PLANGRID!$H:$H)</f>
        <v>closed</v>
      </c>
      <c r="G245" s="14" t="str">
        <f>_xlfn.XLOOKUP(_xlfn.CONCAT(A245,$G$1),PLANGRID!$A:$A,PLANGRID!$H:$H)</f>
        <v>closed</v>
      </c>
      <c r="H245" s="26"/>
    </row>
    <row r="246" spans="1:8" ht="22.5" customHeight="1" thickBot="1" x14ac:dyDescent="0.4">
      <c r="A246" s="8">
        <v>2604</v>
      </c>
      <c r="B246" s="1" t="str">
        <f>_xlfn.XLOOKUP(_xlfn.CONCAT(A246,$B$1),PLANGRID!$A:$A,PLANGRID!$H:$H)</f>
        <v>closed</v>
      </c>
      <c r="C246" s="1" t="str">
        <f>_xlfn.XLOOKUP(_xlfn.CONCAT(A246,$C$1),PLANGRID!$A:$A,PLANGRID!$H:$H)</f>
        <v>closed</v>
      </c>
      <c r="D246" s="1" t="str">
        <f>_xlfn.XLOOKUP(_xlfn.CONCAT(A246,$D$1),PLANGRID!$A:$A,PLANGRID!$H:$H)</f>
        <v>closed</v>
      </c>
      <c r="E246" s="1" t="str">
        <f>_xlfn.XLOOKUP(_xlfn.CONCAT(A246,$E$1),PLANGRID!$A:$A,PLANGRID!$H:$H)</f>
        <v>closed</v>
      </c>
      <c r="F246" s="1" t="str">
        <f>_xlfn.XLOOKUP(_xlfn.CONCAT(A246,$F$1),PLANGRID!$A:$A,PLANGRID!$H:$H)</f>
        <v>closed</v>
      </c>
      <c r="G246" s="14" t="str">
        <f>_xlfn.XLOOKUP(_xlfn.CONCAT(A246,$G$1),PLANGRID!$A:$A,PLANGRID!$H:$H)</f>
        <v>closed</v>
      </c>
      <c r="H246" s="26"/>
    </row>
    <row r="247" spans="1:8" ht="22.5" customHeight="1" thickBot="1" x14ac:dyDescent="0.4">
      <c r="A247" s="8">
        <v>2605</v>
      </c>
      <c r="B247" s="1" t="str">
        <f>_xlfn.XLOOKUP(_xlfn.CONCAT(A247,$B$1),PLANGRID!$A:$A,PLANGRID!$H:$H)</f>
        <v>closed</v>
      </c>
      <c r="C247" s="1" t="str">
        <f>_xlfn.XLOOKUP(_xlfn.CONCAT(A247,$C$1),PLANGRID!$A:$A,PLANGRID!$H:$H)</f>
        <v>closed</v>
      </c>
      <c r="D247" s="1" t="str">
        <f>_xlfn.XLOOKUP(_xlfn.CONCAT(A247,$D$1),PLANGRID!$A:$A,PLANGRID!$H:$H)</f>
        <v>closed</v>
      </c>
      <c r="E247" s="1" t="str">
        <f>_xlfn.XLOOKUP(_xlfn.CONCAT(A247,$E$1),PLANGRID!$A:$A,PLANGRID!$H:$H)</f>
        <v>closed</v>
      </c>
      <c r="F247" s="1" t="str">
        <f>_xlfn.XLOOKUP(_xlfn.CONCAT(A247,$F$1),PLANGRID!$A:$A,PLANGRID!$H:$H)</f>
        <v>closed</v>
      </c>
      <c r="G247" s="14" t="str">
        <f>_xlfn.XLOOKUP(_xlfn.CONCAT(A247,$G$1),PLANGRID!$A:$A,PLANGRID!$H:$H)</f>
        <v>closed</v>
      </c>
      <c r="H247" s="26"/>
    </row>
    <row r="248" spans="1:8" ht="22.5" customHeight="1" thickBot="1" x14ac:dyDescent="0.4">
      <c r="A248" s="8">
        <v>2606</v>
      </c>
      <c r="B248" s="1" t="str">
        <f>_xlfn.XLOOKUP(_xlfn.CONCAT(A248,$B$1),PLANGRID!$A:$A,PLANGRID!$H:$H)</f>
        <v>closed</v>
      </c>
      <c r="C248" s="1" t="str">
        <f>_xlfn.XLOOKUP(_xlfn.CONCAT(A248,$C$1),PLANGRID!$A:$A,PLANGRID!$H:$H)</f>
        <v>closed</v>
      </c>
      <c r="D248" s="1" t="str">
        <f>_xlfn.XLOOKUP(_xlfn.CONCAT(A248,$D$1),PLANGRID!$A:$A,PLANGRID!$H:$H)</f>
        <v>closed</v>
      </c>
      <c r="E248" s="1" t="str">
        <f>_xlfn.XLOOKUP(_xlfn.CONCAT(A248,$E$1),PLANGRID!$A:$A,PLANGRID!$H:$H)</f>
        <v>closed</v>
      </c>
      <c r="F248" s="1" t="str">
        <f>_xlfn.XLOOKUP(_xlfn.CONCAT(A248,$F$1),PLANGRID!$A:$A,PLANGRID!$H:$H)</f>
        <v>closed</v>
      </c>
      <c r="G248" s="14" t="str">
        <f>_xlfn.XLOOKUP(_xlfn.CONCAT(A248,$G$1),PLANGRID!$A:$A,PLANGRID!$H:$H)</f>
        <v>closed</v>
      </c>
      <c r="H248" s="26"/>
    </row>
    <row r="249" spans="1:8" ht="22.5" customHeight="1" thickBot="1" x14ac:dyDescent="0.4">
      <c r="A249" s="8">
        <v>2607</v>
      </c>
      <c r="B249" s="1" t="str">
        <f>_xlfn.XLOOKUP(_xlfn.CONCAT(A249,$B$1),PLANGRID!$A:$A,PLANGRID!$H:$H)</f>
        <v>closed</v>
      </c>
      <c r="C249" s="1" t="str">
        <f>_xlfn.XLOOKUP(_xlfn.CONCAT(A249,$C$1),PLANGRID!$A:$A,PLANGRID!$H:$H)</f>
        <v>closed</v>
      </c>
      <c r="D249" s="1" t="str">
        <f>_xlfn.XLOOKUP(_xlfn.CONCAT(A249,$D$1),PLANGRID!$A:$A,PLANGRID!$H:$H)</f>
        <v>closed</v>
      </c>
      <c r="E249" s="1" t="str">
        <f>_xlfn.XLOOKUP(_xlfn.CONCAT(A249,$E$1),PLANGRID!$A:$A,PLANGRID!$H:$H)</f>
        <v>closed</v>
      </c>
      <c r="F249" s="1" t="str">
        <f>_xlfn.XLOOKUP(_xlfn.CONCAT(A249,$F$1),PLANGRID!$A:$A,PLANGRID!$H:$H)</f>
        <v>closed</v>
      </c>
      <c r="G249" s="14" t="str">
        <f>_xlfn.XLOOKUP(_xlfn.CONCAT(A249,$G$1),PLANGRID!$A:$A,PLANGRID!$H:$H)</f>
        <v>closed</v>
      </c>
      <c r="H249" s="26"/>
    </row>
    <row r="250" spans="1:8" ht="22.5" customHeight="1" thickBot="1" x14ac:dyDescent="0.4">
      <c r="A250" s="8">
        <v>2608</v>
      </c>
      <c r="B250" s="1" t="str">
        <f>_xlfn.XLOOKUP(_xlfn.CONCAT(A250,$B$1),PLANGRID!$A:$A,PLANGRID!$H:$H)</f>
        <v>closed</v>
      </c>
      <c r="C250" s="1" t="str">
        <f>_xlfn.XLOOKUP(_xlfn.CONCAT(A250,$C$1),PLANGRID!$A:$A,PLANGRID!$H:$H)</f>
        <v>closed</v>
      </c>
      <c r="D250" s="1" t="str">
        <f>_xlfn.XLOOKUP(_xlfn.CONCAT(A250,$D$1),PLANGRID!$A:$A,PLANGRID!$H:$H)</f>
        <v>closed</v>
      </c>
      <c r="E250" s="1" t="str">
        <f>_xlfn.XLOOKUP(_xlfn.CONCAT(A250,$E$1),PLANGRID!$A:$A,PLANGRID!$H:$H)</f>
        <v>closed</v>
      </c>
      <c r="F250" s="1" t="str">
        <f>_xlfn.XLOOKUP(_xlfn.CONCAT(A250,$F$1),PLANGRID!$A:$A,PLANGRID!$H:$H)</f>
        <v>closed</v>
      </c>
      <c r="G250" s="14" t="str">
        <f>_xlfn.XLOOKUP(_xlfn.CONCAT(A250,$G$1),PLANGRID!$A:$A,PLANGRID!$H:$H)</f>
        <v>closed</v>
      </c>
      <c r="H250" s="26"/>
    </row>
    <row r="251" spans="1:8" ht="22.5" customHeight="1" thickBot="1" x14ac:dyDescent="0.4">
      <c r="A251" s="8">
        <v>2609</v>
      </c>
      <c r="B251" s="1" t="str">
        <f>_xlfn.XLOOKUP(_xlfn.CONCAT(A251,$B$1),PLANGRID!$A:$A,PLANGRID!$H:$H)</f>
        <v>closed</v>
      </c>
      <c r="C251" s="1" t="str">
        <f>_xlfn.XLOOKUP(_xlfn.CONCAT(A251,$C$1),PLANGRID!$A:$A,PLANGRID!$H:$H)</f>
        <v>closed</v>
      </c>
      <c r="D251" s="1" t="str">
        <f>_xlfn.XLOOKUP(_xlfn.CONCAT(A251,$D$1),PLANGRID!$A:$A,PLANGRID!$H:$H)</f>
        <v>closed</v>
      </c>
      <c r="E251" s="1" t="str">
        <f>_xlfn.XLOOKUP(_xlfn.CONCAT(A251,$E$1),PLANGRID!$A:$A,PLANGRID!$H:$H)</f>
        <v>closed</v>
      </c>
      <c r="F251" s="1" t="str">
        <f>_xlfn.XLOOKUP(_xlfn.CONCAT(A251,$F$1),PLANGRID!$A:$A,PLANGRID!$H:$H)</f>
        <v>closed</v>
      </c>
      <c r="G251" s="14" t="str">
        <f>_xlfn.XLOOKUP(_xlfn.CONCAT(A251,$G$1),PLANGRID!$A:$A,PLANGRID!$H:$H)</f>
        <v>closed</v>
      </c>
      <c r="H251" s="26"/>
    </row>
    <row r="252" spans="1:8" ht="22.5" customHeight="1" thickBot="1" x14ac:dyDescent="0.4">
      <c r="A252" s="8">
        <v>2610</v>
      </c>
      <c r="B252" s="1" t="str">
        <f>_xlfn.XLOOKUP(_xlfn.CONCAT(A252,$B$1),PLANGRID!$A:$A,PLANGRID!$H:$H)</f>
        <v>closed</v>
      </c>
      <c r="C252" s="1" t="str">
        <f>_xlfn.XLOOKUP(_xlfn.CONCAT(A252,$C$1),PLANGRID!$A:$A,PLANGRID!$H:$H)</f>
        <v>closed</v>
      </c>
      <c r="D252" s="1" t="str">
        <f>_xlfn.XLOOKUP(_xlfn.CONCAT(A252,$D$1),PLANGRID!$A:$A,PLANGRID!$H:$H)</f>
        <v>closed</v>
      </c>
      <c r="E252" s="1" t="str">
        <f>_xlfn.XLOOKUP(_xlfn.CONCAT(A252,$E$1),PLANGRID!$A:$A,PLANGRID!$H:$H)</f>
        <v>closed</v>
      </c>
      <c r="F252" s="1" t="str">
        <f>_xlfn.XLOOKUP(_xlfn.CONCAT(A252,$F$1),PLANGRID!$A:$A,PLANGRID!$H:$H)</f>
        <v>closed</v>
      </c>
      <c r="G252" s="14" t="str">
        <f>_xlfn.XLOOKUP(_xlfn.CONCAT(A252,$G$1),PLANGRID!$A:$A,PLANGRID!$H:$H)</f>
        <v>closed</v>
      </c>
      <c r="H252" s="26"/>
    </row>
    <row r="253" spans="1:8" ht="22.5" customHeight="1" thickBot="1" x14ac:dyDescent="0.4">
      <c r="A253" s="8">
        <v>2701</v>
      </c>
      <c r="B253" s="1" t="str">
        <f>_xlfn.XLOOKUP(_xlfn.CONCAT(A253,$B$1),PLANGRID!$A:$A,PLANGRID!$H:$H)</f>
        <v>closed</v>
      </c>
      <c r="C253" s="1" t="str">
        <f>_xlfn.XLOOKUP(_xlfn.CONCAT(A253,$C$1),PLANGRID!$A:$A,PLANGRID!$H:$H)</f>
        <v>closed</v>
      </c>
      <c r="D253" s="1" t="str">
        <f>_xlfn.XLOOKUP(_xlfn.CONCAT(A253,$D$1),PLANGRID!$A:$A,PLANGRID!$H:$H)</f>
        <v>closed</v>
      </c>
      <c r="E253" s="1" t="str">
        <f>_xlfn.XLOOKUP(_xlfn.CONCAT(A253,$E$1),PLANGRID!$A:$A,PLANGRID!$H:$H)</f>
        <v>closed</v>
      </c>
      <c r="F253" s="1" t="str">
        <f>_xlfn.XLOOKUP(_xlfn.CONCAT(A253,$F$1),PLANGRID!$A:$A,PLANGRID!$H:$H)</f>
        <v>closed</v>
      </c>
      <c r="G253" s="14" t="str">
        <f>_xlfn.XLOOKUP(_xlfn.CONCAT(A253,$G$1),PLANGRID!$A:$A,PLANGRID!$H:$H)</f>
        <v>closed</v>
      </c>
      <c r="H253" s="26"/>
    </row>
    <row r="254" spans="1:8" ht="22.5" customHeight="1" thickBot="1" x14ac:dyDescent="0.4">
      <c r="A254" s="8">
        <v>2702</v>
      </c>
      <c r="B254" s="1" t="str">
        <f>_xlfn.XLOOKUP(_xlfn.CONCAT(A254,$B$1),PLANGRID!$A:$A,PLANGRID!$H:$H)</f>
        <v>closed</v>
      </c>
      <c r="C254" s="1" t="str">
        <f>_xlfn.XLOOKUP(_xlfn.CONCAT(A254,$C$1),PLANGRID!$A:$A,PLANGRID!$H:$H)</f>
        <v>closed</v>
      </c>
      <c r="D254" s="1" t="str">
        <f>_xlfn.XLOOKUP(_xlfn.CONCAT(A254,$D$1),PLANGRID!$A:$A,PLANGRID!$H:$H)</f>
        <v>closed</v>
      </c>
      <c r="E254" s="1" t="str">
        <f>_xlfn.XLOOKUP(_xlfn.CONCAT(A254,$E$1),PLANGRID!$A:$A,PLANGRID!$H:$H)</f>
        <v>closed</v>
      </c>
      <c r="F254" s="1" t="str">
        <f>_xlfn.XLOOKUP(_xlfn.CONCAT(A254,$F$1),PLANGRID!$A:$A,PLANGRID!$H:$H)</f>
        <v>closed</v>
      </c>
      <c r="G254" s="14" t="str">
        <f>_xlfn.XLOOKUP(_xlfn.CONCAT(A254,$G$1),PLANGRID!$A:$A,PLANGRID!$H:$H)</f>
        <v>closed</v>
      </c>
      <c r="H254" s="26"/>
    </row>
    <row r="255" spans="1:8" ht="22.5" customHeight="1" thickBot="1" x14ac:dyDescent="0.4">
      <c r="A255" s="8">
        <v>2703</v>
      </c>
      <c r="B255" s="1" t="str">
        <f>_xlfn.XLOOKUP(_xlfn.CONCAT(A255,$B$1),PLANGRID!$A:$A,PLANGRID!$H:$H)</f>
        <v>closed</v>
      </c>
      <c r="C255" s="1" t="str">
        <f>_xlfn.XLOOKUP(_xlfn.CONCAT(A255,$C$1),PLANGRID!$A:$A,PLANGRID!$H:$H)</f>
        <v>closed</v>
      </c>
      <c r="D255" s="1" t="str">
        <f>_xlfn.XLOOKUP(_xlfn.CONCAT(A255,$D$1),PLANGRID!$A:$A,PLANGRID!$H:$H)</f>
        <v>closed</v>
      </c>
      <c r="E255" s="1" t="str">
        <f>_xlfn.XLOOKUP(_xlfn.CONCAT(A255,$E$1),PLANGRID!$A:$A,PLANGRID!$H:$H)</f>
        <v>closed</v>
      </c>
      <c r="F255" s="1" t="str">
        <f>_xlfn.XLOOKUP(_xlfn.CONCAT(A255,$F$1),PLANGRID!$A:$A,PLANGRID!$H:$H)</f>
        <v>closed</v>
      </c>
      <c r="G255" s="14" t="str">
        <f>_xlfn.XLOOKUP(_xlfn.CONCAT(A255,$G$1),PLANGRID!$A:$A,PLANGRID!$H:$H)</f>
        <v>closed</v>
      </c>
      <c r="H255" s="26"/>
    </row>
    <row r="256" spans="1:8" ht="22.5" customHeight="1" thickBot="1" x14ac:dyDescent="0.4">
      <c r="A256" s="8">
        <v>2704</v>
      </c>
      <c r="B256" s="1" t="str">
        <f>_xlfn.XLOOKUP(_xlfn.CONCAT(A256,$B$1),PLANGRID!$A:$A,PLANGRID!$H:$H)</f>
        <v>closed</v>
      </c>
      <c r="C256" s="1" t="str">
        <f>_xlfn.XLOOKUP(_xlfn.CONCAT(A256,$C$1),PLANGRID!$A:$A,PLANGRID!$H:$H)</f>
        <v>closed</v>
      </c>
      <c r="D256" s="1" t="str">
        <f>_xlfn.XLOOKUP(_xlfn.CONCAT(A256,$D$1),PLANGRID!$A:$A,PLANGRID!$H:$H)</f>
        <v>closed</v>
      </c>
      <c r="E256" s="1" t="str">
        <f>_xlfn.XLOOKUP(_xlfn.CONCAT(A256,$E$1),PLANGRID!$A:$A,PLANGRID!$H:$H)</f>
        <v>closed</v>
      </c>
      <c r="F256" s="1" t="str">
        <f>_xlfn.XLOOKUP(_xlfn.CONCAT(A256,$F$1),PLANGRID!$A:$A,PLANGRID!$H:$H)</f>
        <v>closed</v>
      </c>
      <c r="G256" s="14" t="str">
        <f>_xlfn.XLOOKUP(_xlfn.CONCAT(A256,$G$1),PLANGRID!$A:$A,PLANGRID!$H:$H)</f>
        <v>closed</v>
      </c>
      <c r="H256" s="26"/>
    </row>
    <row r="257" spans="1:8" ht="22.5" customHeight="1" thickBot="1" x14ac:dyDescent="0.4">
      <c r="A257" s="8">
        <v>2705</v>
      </c>
      <c r="B257" s="1" t="str">
        <f>_xlfn.XLOOKUP(_xlfn.CONCAT(A257,$B$1),PLANGRID!$A:$A,PLANGRID!$H:$H)</f>
        <v>closed</v>
      </c>
      <c r="C257" s="1" t="str">
        <f>_xlfn.XLOOKUP(_xlfn.CONCAT(A257,$C$1),PLANGRID!$A:$A,PLANGRID!$H:$H)</f>
        <v>closed</v>
      </c>
      <c r="D257" s="1" t="str">
        <f>_xlfn.XLOOKUP(_xlfn.CONCAT(A257,$D$1),PLANGRID!$A:$A,PLANGRID!$H:$H)</f>
        <v>closed</v>
      </c>
      <c r="E257" s="1" t="str">
        <f>_xlfn.XLOOKUP(_xlfn.CONCAT(A257,$E$1),PLANGRID!$A:$A,PLANGRID!$H:$H)</f>
        <v>closed</v>
      </c>
      <c r="F257" s="1" t="str">
        <f>_xlfn.XLOOKUP(_xlfn.CONCAT(A257,$F$1),PLANGRID!$A:$A,PLANGRID!$H:$H)</f>
        <v>closed</v>
      </c>
      <c r="G257" s="14" t="str">
        <f>_xlfn.XLOOKUP(_xlfn.CONCAT(A257,$G$1),PLANGRID!$A:$A,PLANGRID!$H:$H)</f>
        <v>closed</v>
      </c>
      <c r="H257" s="26"/>
    </row>
    <row r="258" spans="1:8" ht="22.5" customHeight="1" thickBot="1" x14ac:dyDescent="0.4">
      <c r="A258" s="8">
        <v>2706</v>
      </c>
      <c r="B258" s="1" t="str">
        <f>_xlfn.XLOOKUP(_xlfn.CONCAT(A258,$B$1),PLANGRID!$A:$A,PLANGRID!$H:$H)</f>
        <v>closed</v>
      </c>
      <c r="C258" s="1" t="str">
        <f>_xlfn.XLOOKUP(_xlfn.CONCAT(A258,$C$1),PLANGRID!$A:$A,PLANGRID!$H:$H)</f>
        <v>closed</v>
      </c>
      <c r="D258" s="1" t="str">
        <f>_xlfn.XLOOKUP(_xlfn.CONCAT(A258,$D$1),PLANGRID!$A:$A,PLANGRID!$H:$H)</f>
        <v>closed</v>
      </c>
      <c r="E258" s="1" t="str">
        <f>_xlfn.XLOOKUP(_xlfn.CONCAT(A258,$E$1),PLANGRID!$A:$A,PLANGRID!$H:$H)</f>
        <v>closed</v>
      </c>
      <c r="F258" s="1" t="str">
        <f>_xlfn.XLOOKUP(_xlfn.CONCAT(A258,$F$1),PLANGRID!$A:$A,PLANGRID!$H:$H)</f>
        <v>closed</v>
      </c>
      <c r="G258" s="14" t="str">
        <f>_xlfn.XLOOKUP(_xlfn.CONCAT(A258,$G$1),PLANGRID!$A:$A,PLANGRID!$H:$H)</f>
        <v>closed</v>
      </c>
      <c r="H258" s="26"/>
    </row>
    <row r="259" spans="1:8" ht="22.5" customHeight="1" thickBot="1" x14ac:dyDescent="0.4">
      <c r="A259" s="8">
        <v>2707</v>
      </c>
      <c r="B259" s="1" t="str">
        <f>_xlfn.XLOOKUP(_xlfn.CONCAT(A259,$B$1),PLANGRID!$A:$A,PLANGRID!$H:$H)</f>
        <v>closed</v>
      </c>
      <c r="C259" s="1" t="str">
        <f>_xlfn.XLOOKUP(_xlfn.CONCAT(A259,$C$1),PLANGRID!$A:$A,PLANGRID!$H:$H)</f>
        <v>closed</v>
      </c>
      <c r="D259" s="1" t="str">
        <f>_xlfn.XLOOKUP(_xlfn.CONCAT(A259,$D$1),PLANGRID!$A:$A,PLANGRID!$H:$H)</f>
        <v>closed</v>
      </c>
      <c r="E259" s="1" t="str">
        <f>_xlfn.XLOOKUP(_xlfn.CONCAT(A259,$E$1),PLANGRID!$A:$A,PLANGRID!$H:$H)</f>
        <v>closed</v>
      </c>
      <c r="F259" s="1" t="str">
        <f>_xlfn.XLOOKUP(_xlfn.CONCAT(A259,$F$1),PLANGRID!$A:$A,PLANGRID!$H:$H)</f>
        <v>closed</v>
      </c>
      <c r="G259" s="14" t="str">
        <f>_xlfn.XLOOKUP(_xlfn.CONCAT(A259,$G$1),PLANGRID!$A:$A,PLANGRID!$H:$H)</f>
        <v>closed</v>
      </c>
      <c r="H259" s="26"/>
    </row>
    <row r="260" spans="1:8" ht="22.5" customHeight="1" thickBot="1" x14ac:dyDescent="0.4">
      <c r="A260" s="8">
        <v>2708</v>
      </c>
      <c r="B260" s="1" t="str">
        <f>_xlfn.XLOOKUP(_xlfn.CONCAT(A260,$B$1),PLANGRID!$A:$A,PLANGRID!$H:$H)</f>
        <v>closed</v>
      </c>
      <c r="C260" s="1" t="str">
        <f>_xlfn.XLOOKUP(_xlfn.CONCAT(A260,$C$1),PLANGRID!$A:$A,PLANGRID!$H:$H)</f>
        <v>closed</v>
      </c>
      <c r="D260" s="1" t="str">
        <f>_xlfn.XLOOKUP(_xlfn.CONCAT(A260,$D$1),PLANGRID!$A:$A,PLANGRID!$H:$H)</f>
        <v>closed</v>
      </c>
      <c r="E260" s="1" t="str">
        <f>_xlfn.XLOOKUP(_xlfn.CONCAT(A260,$E$1),PLANGRID!$A:$A,PLANGRID!$H:$H)</f>
        <v>closed</v>
      </c>
      <c r="F260" s="1" t="str">
        <f>_xlfn.XLOOKUP(_xlfn.CONCAT(A260,$F$1),PLANGRID!$A:$A,PLANGRID!$H:$H)</f>
        <v>closed</v>
      </c>
      <c r="G260" s="14" t="str">
        <f>_xlfn.XLOOKUP(_xlfn.CONCAT(A260,$G$1),PLANGRID!$A:$A,PLANGRID!$H:$H)</f>
        <v>closed</v>
      </c>
      <c r="H260" s="26"/>
    </row>
    <row r="261" spans="1:8" ht="22.5" customHeight="1" thickBot="1" x14ac:dyDescent="0.4">
      <c r="A261" s="8">
        <v>2709</v>
      </c>
      <c r="B261" s="1" t="str">
        <f>_xlfn.XLOOKUP(_xlfn.CONCAT(A261,$B$1),PLANGRID!$A:$A,PLANGRID!$H:$H)</f>
        <v>closed</v>
      </c>
      <c r="C261" s="1" t="str">
        <f>_xlfn.XLOOKUP(_xlfn.CONCAT(A261,$C$1),PLANGRID!$A:$A,PLANGRID!$H:$H)</f>
        <v>closed</v>
      </c>
      <c r="D261" s="1" t="str">
        <f>_xlfn.XLOOKUP(_xlfn.CONCAT(A261,$D$1),PLANGRID!$A:$A,PLANGRID!$H:$H)</f>
        <v>closed</v>
      </c>
      <c r="E261" s="1" t="str">
        <f>_xlfn.XLOOKUP(_xlfn.CONCAT(A261,$E$1),PLANGRID!$A:$A,PLANGRID!$H:$H)</f>
        <v>closed</v>
      </c>
      <c r="F261" s="1" t="str">
        <f>_xlfn.XLOOKUP(_xlfn.CONCAT(A261,$F$1),PLANGRID!$A:$A,PLANGRID!$H:$H)</f>
        <v>closed</v>
      </c>
      <c r="G261" s="14" t="str">
        <f>_xlfn.XLOOKUP(_xlfn.CONCAT(A261,$G$1),PLANGRID!$A:$A,PLANGRID!$H:$H)</f>
        <v>closed</v>
      </c>
      <c r="H261" s="26"/>
    </row>
    <row r="262" spans="1:8" ht="22.5" customHeight="1" thickBot="1" x14ac:dyDescent="0.4">
      <c r="A262" s="8">
        <v>2801</v>
      </c>
      <c r="B262" s="1" t="str">
        <f>_xlfn.XLOOKUP(_xlfn.CONCAT(A262,$B$1),PLANGRID!$A:$A,PLANGRID!$H:$H)</f>
        <v>closed</v>
      </c>
      <c r="C262" s="1" t="str">
        <f>_xlfn.XLOOKUP(_xlfn.CONCAT(A262,$C$1),PLANGRID!$A:$A,PLANGRID!$H:$H)</f>
        <v>closed</v>
      </c>
      <c r="D262" s="1" t="str">
        <f>_xlfn.XLOOKUP(_xlfn.CONCAT(A262,$D$1),PLANGRID!$A:$A,PLANGRID!$H:$H)</f>
        <v>closed</v>
      </c>
      <c r="E262" s="1" t="str">
        <f>_xlfn.XLOOKUP(_xlfn.CONCAT(A262,$E$1),PLANGRID!$A:$A,PLANGRID!$H:$H)</f>
        <v>closed</v>
      </c>
      <c r="F262" s="1" t="str">
        <f>_xlfn.XLOOKUP(_xlfn.CONCAT(A262,$F$1),PLANGRID!$A:$A,PLANGRID!$H:$H)</f>
        <v>closed</v>
      </c>
      <c r="G262" s="14" t="str">
        <f>_xlfn.XLOOKUP(_xlfn.CONCAT(A262,$G$1),PLANGRID!$A:$A,PLANGRID!$H:$H)</f>
        <v>closed</v>
      </c>
      <c r="H262" s="26"/>
    </row>
    <row r="263" spans="1:8" ht="22.5" customHeight="1" thickBot="1" x14ac:dyDescent="0.4">
      <c r="A263" s="8">
        <v>2802</v>
      </c>
      <c r="B263" s="1" t="str">
        <f>_xlfn.XLOOKUP(_xlfn.CONCAT(A263,$B$1),PLANGRID!$A:$A,PLANGRID!$H:$H)</f>
        <v>closed</v>
      </c>
      <c r="C263" s="1" t="str">
        <f>_xlfn.XLOOKUP(_xlfn.CONCAT(A263,$C$1),PLANGRID!$A:$A,PLANGRID!$H:$H)</f>
        <v>closed</v>
      </c>
      <c r="D263" s="1" t="str">
        <f>_xlfn.XLOOKUP(_xlfn.CONCAT(A263,$D$1),PLANGRID!$A:$A,PLANGRID!$H:$H)</f>
        <v>closed</v>
      </c>
      <c r="E263" s="1" t="str">
        <f>_xlfn.XLOOKUP(_xlfn.CONCAT(A263,$E$1),PLANGRID!$A:$A,PLANGRID!$H:$H)</f>
        <v>closed</v>
      </c>
      <c r="F263" s="1" t="str">
        <f>_xlfn.XLOOKUP(_xlfn.CONCAT(A263,$F$1),PLANGRID!$A:$A,PLANGRID!$H:$H)</f>
        <v>closed</v>
      </c>
      <c r="G263" s="14" t="str">
        <f>_xlfn.XLOOKUP(_xlfn.CONCAT(A263,$G$1),PLANGRID!$A:$A,PLANGRID!$H:$H)</f>
        <v>closed</v>
      </c>
      <c r="H263" s="26"/>
    </row>
    <row r="264" spans="1:8" ht="22.5" customHeight="1" thickBot="1" x14ac:dyDescent="0.4">
      <c r="A264" s="8">
        <v>2803</v>
      </c>
      <c r="B264" s="1" t="str">
        <f>_xlfn.XLOOKUP(_xlfn.CONCAT(A264,$B$1),PLANGRID!$A:$A,PLANGRID!$H:$H)</f>
        <v>closed</v>
      </c>
      <c r="C264" s="1" t="str">
        <f>_xlfn.XLOOKUP(_xlfn.CONCAT(A264,$C$1),PLANGRID!$A:$A,PLANGRID!$H:$H)</f>
        <v>closed</v>
      </c>
      <c r="D264" s="1" t="str">
        <f>_xlfn.XLOOKUP(_xlfn.CONCAT(A264,$D$1),PLANGRID!$A:$A,PLANGRID!$H:$H)</f>
        <v>closed</v>
      </c>
      <c r="E264" s="1" t="str">
        <f>_xlfn.XLOOKUP(_xlfn.CONCAT(A264,$E$1),PLANGRID!$A:$A,PLANGRID!$H:$H)</f>
        <v>closed</v>
      </c>
      <c r="F264" s="1" t="str">
        <f>_xlfn.XLOOKUP(_xlfn.CONCAT(A264,$F$1),PLANGRID!$A:$A,PLANGRID!$H:$H)</f>
        <v>closed</v>
      </c>
      <c r="G264" s="14" t="str">
        <f>_xlfn.XLOOKUP(_xlfn.CONCAT(A264,$G$1),PLANGRID!$A:$A,PLANGRID!$H:$H)</f>
        <v>closed</v>
      </c>
      <c r="H264" s="26"/>
    </row>
    <row r="265" spans="1:8" ht="22.5" customHeight="1" thickBot="1" x14ac:dyDescent="0.4">
      <c r="A265" s="8">
        <v>2804</v>
      </c>
      <c r="B265" s="1" t="str">
        <f>_xlfn.XLOOKUP(_xlfn.CONCAT(A265,$B$1),PLANGRID!$A:$A,PLANGRID!$H:$H)</f>
        <v>closed</v>
      </c>
      <c r="C265" s="1" t="str">
        <f>_xlfn.XLOOKUP(_xlfn.CONCAT(A265,$C$1),PLANGRID!$A:$A,PLANGRID!$H:$H)</f>
        <v>closed</v>
      </c>
      <c r="D265" s="1" t="str">
        <f>_xlfn.XLOOKUP(_xlfn.CONCAT(A265,$D$1),PLANGRID!$A:$A,PLANGRID!$H:$H)</f>
        <v>closed</v>
      </c>
      <c r="E265" s="1" t="str">
        <f>_xlfn.XLOOKUP(_xlfn.CONCAT(A265,$E$1),PLANGRID!$A:$A,PLANGRID!$H:$H)</f>
        <v>closed</v>
      </c>
      <c r="F265" s="1" t="str">
        <f>_xlfn.XLOOKUP(_xlfn.CONCAT(A265,$F$1),PLANGRID!$A:$A,PLANGRID!$H:$H)</f>
        <v>closed</v>
      </c>
      <c r="G265" s="14" t="str">
        <f>_xlfn.XLOOKUP(_xlfn.CONCAT(A265,$G$1),PLANGRID!$A:$A,PLANGRID!$H:$H)</f>
        <v>closed</v>
      </c>
      <c r="H265" s="26"/>
    </row>
    <row r="266" spans="1:8" ht="22.5" customHeight="1" thickBot="1" x14ac:dyDescent="0.4">
      <c r="A266" s="8">
        <v>2805</v>
      </c>
      <c r="B266" s="1" t="str">
        <f>_xlfn.XLOOKUP(_xlfn.CONCAT(A266,$B$1),PLANGRID!$A:$A,PLANGRID!$H:$H)</f>
        <v>closed</v>
      </c>
      <c r="C266" s="1" t="str">
        <f>_xlfn.XLOOKUP(_xlfn.CONCAT(A266,$C$1),PLANGRID!$A:$A,PLANGRID!$H:$H)</f>
        <v>closed</v>
      </c>
      <c r="D266" s="1" t="str">
        <f>_xlfn.XLOOKUP(_xlfn.CONCAT(A266,$D$1),PLANGRID!$A:$A,PLANGRID!$H:$H)</f>
        <v>closed</v>
      </c>
      <c r="E266" s="1" t="str">
        <f>_xlfn.XLOOKUP(_xlfn.CONCAT(A266,$E$1),PLANGRID!$A:$A,PLANGRID!$H:$H)</f>
        <v>closed</v>
      </c>
      <c r="F266" s="1" t="str">
        <f>_xlfn.XLOOKUP(_xlfn.CONCAT(A266,$F$1),PLANGRID!$A:$A,PLANGRID!$H:$H)</f>
        <v>closed</v>
      </c>
      <c r="G266" s="14" t="str">
        <f>_xlfn.XLOOKUP(_xlfn.CONCAT(A266,$G$1),PLANGRID!$A:$A,PLANGRID!$H:$H)</f>
        <v>closed</v>
      </c>
      <c r="H266" s="26"/>
    </row>
    <row r="267" spans="1:8" ht="22.5" customHeight="1" thickBot="1" x14ac:dyDescent="0.4">
      <c r="A267" s="8">
        <v>2806</v>
      </c>
      <c r="B267" s="1" t="str">
        <f>_xlfn.XLOOKUP(_xlfn.CONCAT(A267,$B$1),PLANGRID!$A:$A,PLANGRID!$H:$H)</f>
        <v>closed</v>
      </c>
      <c r="C267" s="1" t="str">
        <f>_xlfn.XLOOKUP(_xlfn.CONCAT(A267,$C$1),PLANGRID!$A:$A,PLANGRID!$H:$H)</f>
        <v>closed</v>
      </c>
      <c r="D267" s="1" t="str">
        <f>_xlfn.XLOOKUP(_xlfn.CONCAT(A267,$D$1),PLANGRID!$A:$A,PLANGRID!$H:$H)</f>
        <v>closed</v>
      </c>
      <c r="E267" s="1" t="str">
        <f>_xlfn.XLOOKUP(_xlfn.CONCAT(A267,$E$1),PLANGRID!$A:$A,PLANGRID!$H:$H)</f>
        <v>closed</v>
      </c>
      <c r="F267" s="1" t="str">
        <f>_xlfn.XLOOKUP(_xlfn.CONCAT(A267,$F$1),PLANGRID!$A:$A,PLANGRID!$H:$H)</f>
        <v>closed</v>
      </c>
      <c r="G267" s="14" t="str">
        <f>_xlfn.XLOOKUP(_xlfn.CONCAT(A267,$G$1),PLANGRID!$A:$A,PLANGRID!$H:$H)</f>
        <v>closed</v>
      </c>
      <c r="H267" s="26"/>
    </row>
    <row r="268" spans="1:8" ht="22.5" customHeight="1" thickBot="1" x14ac:dyDescent="0.4">
      <c r="A268" s="8">
        <v>2807</v>
      </c>
      <c r="B268" s="1" t="str">
        <f>_xlfn.XLOOKUP(_xlfn.CONCAT(A268,$B$1),PLANGRID!$A:$A,PLANGRID!$H:$H)</f>
        <v>closed</v>
      </c>
      <c r="C268" s="1" t="str">
        <f>_xlfn.XLOOKUP(_xlfn.CONCAT(A268,$C$1),PLANGRID!$A:$A,PLANGRID!$H:$H)</f>
        <v>closed</v>
      </c>
      <c r="D268" s="1" t="str">
        <f>_xlfn.XLOOKUP(_xlfn.CONCAT(A268,$D$1),PLANGRID!$A:$A,PLANGRID!$H:$H)</f>
        <v>closed</v>
      </c>
      <c r="E268" s="1" t="str">
        <f>_xlfn.XLOOKUP(_xlfn.CONCAT(A268,$E$1),PLANGRID!$A:$A,PLANGRID!$H:$H)</f>
        <v>closed</v>
      </c>
      <c r="F268" s="1" t="str">
        <f>_xlfn.XLOOKUP(_xlfn.CONCAT(A268,$F$1),PLANGRID!$A:$A,PLANGRID!$H:$H)</f>
        <v>closed</v>
      </c>
      <c r="G268" s="14" t="str">
        <f>_xlfn.XLOOKUP(_xlfn.CONCAT(A268,$G$1),PLANGRID!$A:$A,PLANGRID!$H:$H)</f>
        <v>closed</v>
      </c>
      <c r="H268" s="26"/>
    </row>
    <row r="269" spans="1:8" ht="22.5" customHeight="1" thickBot="1" x14ac:dyDescent="0.4">
      <c r="A269" s="8">
        <v>2808</v>
      </c>
      <c r="B269" s="1" t="str">
        <f>_xlfn.XLOOKUP(_xlfn.CONCAT(A269,$B$1),PLANGRID!$A:$A,PLANGRID!$H:$H)</f>
        <v>closed</v>
      </c>
      <c r="C269" s="1" t="str">
        <f>_xlfn.XLOOKUP(_xlfn.CONCAT(A269,$C$1),PLANGRID!$A:$A,PLANGRID!$H:$H)</f>
        <v>closed</v>
      </c>
      <c r="D269" s="1" t="str">
        <f>_xlfn.XLOOKUP(_xlfn.CONCAT(A269,$D$1),PLANGRID!$A:$A,PLANGRID!$H:$H)</f>
        <v>closed</v>
      </c>
      <c r="E269" s="1" t="str">
        <f>_xlfn.XLOOKUP(_xlfn.CONCAT(A269,$E$1),PLANGRID!$A:$A,PLANGRID!$H:$H)</f>
        <v>closed</v>
      </c>
      <c r="F269" s="1" t="str">
        <f>_xlfn.XLOOKUP(_xlfn.CONCAT(A269,$F$1),PLANGRID!$A:$A,PLANGRID!$H:$H)</f>
        <v>closed</v>
      </c>
      <c r="G269" s="14" t="str">
        <f>_xlfn.XLOOKUP(_xlfn.CONCAT(A269,$G$1),PLANGRID!$A:$A,PLANGRID!$H:$H)</f>
        <v>closed</v>
      </c>
      <c r="H269" s="26"/>
    </row>
    <row r="270" spans="1:8" ht="22.5" customHeight="1" thickBot="1" x14ac:dyDescent="0.4">
      <c r="A270" s="8">
        <v>2809</v>
      </c>
      <c r="B270" s="1" t="str">
        <f>_xlfn.XLOOKUP(_xlfn.CONCAT(A270,$B$1),PLANGRID!$A:$A,PLANGRID!$H:$H)</f>
        <v>closed</v>
      </c>
      <c r="C270" s="1" t="str">
        <f>_xlfn.XLOOKUP(_xlfn.CONCAT(A270,$C$1),PLANGRID!$A:$A,PLANGRID!$H:$H)</f>
        <v>closed</v>
      </c>
      <c r="D270" s="1" t="str">
        <f>_xlfn.XLOOKUP(_xlfn.CONCAT(A270,$D$1),PLANGRID!$A:$A,PLANGRID!$H:$H)</f>
        <v>closed</v>
      </c>
      <c r="E270" s="1" t="str">
        <f>_xlfn.XLOOKUP(_xlfn.CONCAT(A270,$E$1),PLANGRID!$A:$A,PLANGRID!$H:$H)</f>
        <v>closed</v>
      </c>
      <c r="F270" s="1" t="str">
        <f>_xlfn.XLOOKUP(_xlfn.CONCAT(A270,$F$1),PLANGRID!$A:$A,PLANGRID!$H:$H)</f>
        <v>closed</v>
      </c>
      <c r="G270" s="14" t="str">
        <f>_xlfn.XLOOKUP(_xlfn.CONCAT(A270,$G$1),PLANGRID!$A:$A,PLANGRID!$H:$H)</f>
        <v>closed</v>
      </c>
      <c r="H270" s="26"/>
    </row>
    <row r="271" spans="1:8" ht="22.5" customHeight="1" thickBot="1" x14ac:dyDescent="0.4">
      <c r="A271" s="8">
        <v>2810</v>
      </c>
      <c r="B271" s="1" t="str">
        <f>_xlfn.XLOOKUP(_xlfn.CONCAT(A271,$B$1),PLANGRID!$A:$A,PLANGRID!$H:$H)</f>
        <v>closed</v>
      </c>
      <c r="C271" s="1" t="str">
        <f>_xlfn.XLOOKUP(_xlfn.CONCAT(A271,$C$1),PLANGRID!$A:$A,PLANGRID!$H:$H)</f>
        <v>closed</v>
      </c>
      <c r="D271" s="1" t="str">
        <f>_xlfn.XLOOKUP(_xlfn.CONCAT(A271,$D$1),PLANGRID!$A:$A,PLANGRID!$H:$H)</f>
        <v>closed</v>
      </c>
      <c r="E271" s="1" t="str">
        <f>_xlfn.XLOOKUP(_xlfn.CONCAT(A271,$E$1),PLANGRID!$A:$A,PLANGRID!$H:$H)</f>
        <v>closed</v>
      </c>
      <c r="F271" s="1" t="str">
        <f>_xlfn.XLOOKUP(_xlfn.CONCAT(A271,$F$1),PLANGRID!$A:$A,PLANGRID!$H:$H)</f>
        <v>closed</v>
      </c>
      <c r="G271" s="14" t="str">
        <f>_xlfn.XLOOKUP(_xlfn.CONCAT(A271,$G$1),PLANGRID!$A:$A,PLANGRID!$H:$H)</f>
        <v>closed</v>
      </c>
      <c r="H271" s="26"/>
    </row>
    <row r="272" spans="1:8" ht="22.5" customHeight="1" thickBot="1" x14ac:dyDescent="0.4">
      <c r="A272" s="8">
        <v>2901</v>
      </c>
      <c r="B272" s="1" t="str">
        <f>_xlfn.XLOOKUP(_xlfn.CONCAT(A272,$B$1),PLANGRID!$A:$A,PLANGRID!$H:$H)</f>
        <v>closed</v>
      </c>
      <c r="C272" s="1" t="str">
        <f>_xlfn.XLOOKUP(_xlfn.CONCAT(A272,$C$1),PLANGRID!$A:$A,PLANGRID!$H:$H)</f>
        <v>closed</v>
      </c>
      <c r="D272" s="1" t="str">
        <f>_xlfn.XLOOKUP(_xlfn.CONCAT(A272,$D$1),PLANGRID!$A:$A,PLANGRID!$H:$H)</f>
        <v>closed</v>
      </c>
      <c r="E272" s="1" t="str">
        <f>_xlfn.XLOOKUP(_xlfn.CONCAT(A272,$E$1),PLANGRID!$A:$A,PLANGRID!$H:$H)</f>
        <v>closed</v>
      </c>
      <c r="F272" s="1" t="str">
        <f>_xlfn.XLOOKUP(_xlfn.CONCAT(A272,$F$1),PLANGRID!$A:$A,PLANGRID!$H:$H)</f>
        <v>closed</v>
      </c>
      <c r="G272" s="14" t="str">
        <f>_xlfn.XLOOKUP(_xlfn.CONCAT(A272,$G$1),PLANGRID!$A:$A,PLANGRID!$H:$H)</f>
        <v>closed</v>
      </c>
      <c r="H272" s="26"/>
    </row>
    <row r="273" spans="1:8" ht="22.5" customHeight="1" thickBot="1" x14ac:dyDescent="0.4">
      <c r="A273" s="8">
        <v>2902</v>
      </c>
      <c r="B273" s="1" t="str">
        <f>_xlfn.XLOOKUP(_xlfn.CONCAT(A273,$B$1),PLANGRID!$A:$A,PLANGRID!$H:$H)</f>
        <v>closed</v>
      </c>
      <c r="C273" s="1" t="str">
        <f>_xlfn.XLOOKUP(_xlfn.CONCAT(A273,$C$1),PLANGRID!$A:$A,PLANGRID!$H:$H)</f>
        <v>closed</v>
      </c>
      <c r="D273" s="1" t="str">
        <f>_xlfn.XLOOKUP(_xlfn.CONCAT(A273,$D$1),PLANGRID!$A:$A,PLANGRID!$H:$H)</f>
        <v>closed</v>
      </c>
      <c r="E273" s="1" t="str">
        <f>_xlfn.XLOOKUP(_xlfn.CONCAT(A273,$E$1),PLANGRID!$A:$A,PLANGRID!$H:$H)</f>
        <v>closed</v>
      </c>
      <c r="F273" s="1" t="str">
        <f>_xlfn.XLOOKUP(_xlfn.CONCAT(A273,$F$1),PLANGRID!$A:$A,PLANGRID!$H:$H)</f>
        <v>closed</v>
      </c>
      <c r="G273" s="14" t="str">
        <f>_xlfn.XLOOKUP(_xlfn.CONCAT(A273,$G$1),PLANGRID!$A:$A,PLANGRID!$H:$H)</f>
        <v>closed</v>
      </c>
      <c r="H273" s="26"/>
    </row>
    <row r="274" spans="1:8" ht="22.5" customHeight="1" thickBot="1" x14ac:dyDescent="0.4">
      <c r="A274" s="8">
        <v>2903</v>
      </c>
      <c r="B274" s="1" t="str">
        <f>_xlfn.XLOOKUP(_xlfn.CONCAT(A274,$B$1),PLANGRID!$A:$A,PLANGRID!$H:$H)</f>
        <v>closed</v>
      </c>
      <c r="C274" s="1" t="str">
        <f>_xlfn.XLOOKUP(_xlfn.CONCAT(A274,$C$1),PLANGRID!$A:$A,PLANGRID!$H:$H)</f>
        <v>closed</v>
      </c>
      <c r="D274" s="1" t="str">
        <f>_xlfn.XLOOKUP(_xlfn.CONCAT(A274,$D$1),PLANGRID!$A:$A,PLANGRID!$H:$H)</f>
        <v>closed</v>
      </c>
      <c r="E274" s="1" t="str">
        <f>_xlfn.XLOOKUP(_xlfn.CONCAT(A274,$E$1),PLANGRID!$A:$A,PLANGRID!$H:$H)</f>
        <v>closed</v>
      </c>
      <c r="F274" s="1" t="str">
        <f>_xlfn.XLOOKUP(_xlfn.CONCAT(A274,$F$1),PLANGRID!$A:$A,PLANGRID!$H:$H)</f>
        <v>closed</v>
      </c>
      <c r="G274" s="14" t="str">
        <f>_xlfn.XLOOKUP(_xlfn.CONCAT(A274,$G$1),PLANGRID!$A:$A,PLANGRID!$H:$H)</f>
        <v>closed</v>
      </c>
      <c r="H274" s="26"/>
    </row>
    <row r="275" spans="1:8" ht="22.5" customHeight="1" thickBot="1" x14ac:dyDescent="0.4">
      <c r="A275" s="8">
        <v>2904</v>
      </c>
      <c r="B275" s="1" t="str">
        <f>_xlfn.XLOOKUP(_xlfn.CONCAT(A275,$B$1),PLANGRID!$A:$A,PLANGRID!$H:$H)</f>
        <v>closed</v>
      </c>
      <c r="C275" s="1" t="str">
        <f>_xlfn.XLOOKUP(_xlfn.CONCAT(A275,$C$1),PLANGRID!$A:$A,PLANGRID!$H:$H)</f>
        <v>closed</v>
      </c>
      <c r="D275" s="1" t="str">
        <f>_xlfn.XLOOKUP(_xlfn.CONCAT(A275,$D$1),PLANGRID!$A:$A,PLANGRID!$H:$H)</f>
        <v>closed</v>
      </c>
      <c r="E275" s="1" t="str">
        <f>_xlfn.XLOOKUP(_xlfn.CONCAT(A275,$E$1),PLANGRID!$A:$A,PLANGRID!$H:$H)</f>
        <v>closed</v>
      </c>
      <c r="F275" s="1" t="str">
        <f>_xlfn.XLOOKUP(_xlfn.CONCAT(A275,$F$1),PLANGRID!$A:$A,PLANGRID!$H:$H)</f>
        <v>closed</v>
      </c>
      <c r="G275" s="14" t="str">
        <f>_xlfn.XLOOKUP(_xlfn.CONCAT(A275,$G$1),PLANGRID!$A:$A,PLANGRID!$H:$H)</f>
        <v>closed</v>
      </c>
      <c r="H275" s="26"/>
    </row>
    <row r="276" spans="1:8" ht="22.5" customHeight="1" thickBot="1" x14ac:dyDescent="0.4">
      <c r="A276" s="8">
        <v>2905</v>
      </c>
      <c r="B276" s="1" t="str">
        <f>_xlfn.XLOOKUP(_xlfn.CONCAT(A276,$B$1),PLANGRID!$A:$A,PLANGRID!$H:$H)</f>
        <v>closed</v>
      </c>
      <c r="C276" s="1" t="str">
        <f>_xlfn.XLOOKUP(_xlfn.CONCAT(A276,$C$1),PLANGRID!$A:$A,PLANGRID!$H:$H)</f>
        <v>closed</v>
      </c>
      <c r="D276" s="1" t="str">
        <f>_xlfn.XLOOKUP(_xlfn.CONCAT(A276,$D$1),PLANGRID!$A:$A,PLANGRID!$H:$H)</f>
        <v>closed</v>
      </c>
      <c r="E276" s="1" t="str">
        <f>_xlfn.XLOOKUP(_xlfn.CONCAT(A276,$E$1),PLANGRID!$A:$A,PLANGRID!$H:$H)</f>
        <v>closed</v>
      </c>
      <c r="F276" s="1" t="str">
        <f>_xlfn.XLOOKUP(_xlfn.CONCAT(A276,$F$1),PLANGRID!$A:$A,PLANGRID!$H:$H)</f>
        <v>closed</v>
      </c>
      <c r="G276" s="14" t="str">
        <f>_xlfn.XLOOKUP(_xlfn.CONCAT(A276,$G$1),PLANGRID!$A:$A,PLANGRID!$H:$H)</f>
        <v>closed</v>
      </c>
      <c r="H276" s="26"/>
    </row>
    <row r="277" spans="1:8" ht="22.5" customHeight="1" thickBot="1" x14ac:dyDescent="0.4">
      <c r="A277" s="8">
        <v>2906</v>
      </c>
      <c r="B277" s="1" t="str">
        <f>_xlfn.XLOOKUP(_xlfn.CONCAT(A277,$B$1),PLANGRID!$A:$A,PLANGRID!$H:$H)</f>
        <v>closed</v>
      </c>
      <c r="C277" s="1" t="str">
        <f>_xlfn.XLOOKUP(_xlfn.CONCAT(A277,$C$1),PLANGRID!$A:$A,PLANGRID!$H:$H)</f>
        <v>closed</v>
      </c>
      <c r="D277" s="1" t="str">
        <f>_xlfn.XLOOKUP(_xlfn.CONCAT(A277,$D$1),PLANGRID!$A:$A,PLANGRID!$H:$H)</f>
        <v>closed</v>
      </c>
      <c r="E277" s="1" t="str">
        <f>_xlfn.XLOOKUP(_xlfn.CONCAT(A277,$E$1),PLANGRID!$A:$A,PLANGRID!$H:$H)</f>
        <v>closed</v>
      </c>
      <c r="F277" s="1" t="str">
        <f>_xlfn.XLOOKUP(_xlfn.CONCAT(A277,$F$1),PLANGRID!$A:$A,PLANGRID!$H:$H)</f>
        <v>closed</v>
      </c>
      <c r="G277" s="14" t="str">
        <f>_xlfn.XLOOKUP(_xlfn.CONCAT(A277,$G$1),PLANGRID!$A:$A,PLANGRID!$H:$H)</f>
        <v>closed</v>
      </c>
      <c r="H277" s="26"/>
    </row>
    <row r="278" spans="1:8" ht="22.5" customHeight="1" thickBot="1" x14ac:dyDescent="0.4">
      <c r="A278" s="8">
        <v>2907</v>
      </c>
      <c r="B278" s="1" t="str">
        <f>_xlfn.XLOOKUP(_xlfn.CONCAT(A278,$B$1),PLANGRID!$A:$A,PLANGRID!$H:$H)</f>
        <v>closed</v>
      </c>
      <c r="C278" s="1" t="str">
        <f>_xlfn.XLOOKUP(_xlfn.CONCAT(A278,$C$1),PLANGRID!$A:$A,PLANGRID!$H:$H)</f>
        <v>closed</v>
      </c>
      <c r="D278" s="1" t="str">
        <f>_xlfn.XLOOKUP(_xlfn.CONCAT(A278,$D$1),PLANGRID!$A:$A,PLANGRID!$H:$H)</f>
        <v>closed</v>
      </c>
      <c r="E278" s="1" t="str">
        <f>_xlfn.XLOOKUP(_xlfn.CONCAT(A278,$E$1),PLANGRID!$A:$A,PLANGRID!$H:$H)</f>
        <v>closed</v>
      </c>
      <c r="F278" s="1" t="str">
        <f>_xlfn.XLOOKUP(_xlfn.CONCAT(A278,$F$1),PLANGRID!$A:$A,PLANGRID!$H:$H)</f>
        <v>closed</v>
      </c>
      <c r="G278" s="14" t="str">
        <f>_xlfn.XLOOKUP(_xlfn.CONCAT(A278,$G$1),PLANGRID!$A:$A,PLANGRID!$H:$H)</f>
        <v>closed</v>
      </c>
      <c r="H278" s="26"/>
    </row>
    <row r="279" spans="1:8" ht="22.5" customHeight="1" thickBot="1" x14ac:dyDescent="0.4">
      <c r="A279" s="8">
        <v>2908</v>
      </c>
      <c r="B279" s="1" t="str">
        <f>_xlfn.XLOOKUP(_xlfn.CONCAT(A279,$B$1),PLANGRID!$A:$A,PLANGRID!$H:$H)</f>
        <v>closed</v>
      </c>
      <c r="C279" s="1" t="str">
        <f>_xlfn.XLOOKUP(_xlfn.CONCAT(A279,$C$1),PLANGRID!$A:$A,PLANGRID!$H:$H)</f>
        <v>closed</v>
      </c>
      <c r="D279" s="1" t="str">
        <f>_xlfn.XLOOKUP(_xlfn.CONCAT(A279,$D$1),PLANGRID!$A:$A,PLANGRID!$H:$H)</f>
        <v>closed</v>
      </c>
      <c r="E279" s="1" t="str">
        <f>_xlfn.XLOOKUP(_xlfn.CONCAT(A279,$E$1),PLANGRID!$A:$A,PLANGRID!$H:$H)</f>
        <v>closed</v>
      </c>
      <c r="F279" s="1" t="str">
        <f>_xlfn.XLOOKUP(_xlfn.CONCAT(A279,$F$1),PLANGRID!$A:$A,PLANGRID!$H:$H)</f>
        <v>closed</v>
      </c>
      <c r="G279" s="14" t="str">
        <f>_xlfn.XLOOKUP(_xlfn.CONCAT(A279,$G$1),PLANGRID!$A:$A,PLANGRID!$H:$H)</f>
        <v>closed</v>
      </c>
      <c r="H279" s="26"/>
    </row>
    <row r="280" spans="1:8" ht="22.5" customHeight="1" thickBot="1" x14ac:dyDescent="0.4">
      <c r="A280" s="8">
        <v>2909</v>
      </c>
      <c r="B280" s="1" t="str">
        <f>_xlfn.XLOOKUP(_xlfn.CONCAT(A280,$B$1),PLANGRID!$A:$A,PLANGRID!$H:$H)</f>
        <v>closed</v>
      </c>
      <c r="C280" s="1" t="str">
        <f>_xlfn.XLOOKUP(_xlfn.CONCAT(A280,$C$1),PLANGRID!$A:$A,PLANGRID!$H:$H)</f>
        <v>closed</v>
      </c>
      <c r="D280" s="1" t="str">
        <f>_xlfn.XLOOKUP(_xlfn.CONCAT(A280,$D$1),PLANGRID!$A:$A,PLANGRID!$H:$H)</f>
        <v>closed</v>
      </c>
      <c r="E280" s="1" t="str">
        <f>_xlfn.XLOOKUP(_xlfn.CONCAT(A280,$E$1),PLANGRID!$A:$A,PLANGRID!$H:$H)</f>
        <v>closed</v>
      </c>
      <c r="F280" s="1" t="str">
        <f>_xlfn.XLOOKUP(_xlfn.CONCAT(A280,$F$1),PLANGRID!$A:$A,PLANGRID!$H:$H)</f>
        <v>closed</v>
      </c>
      <c r="G280" s="14" t="str">
        <f>_xlfn.XLOOKUP(_xlfn.CONCAT(A280,$G$1),PLANGRID!$A:$A,PLANGRID!$H:$H)</f>
        <v>closed</v>
      </c>
      <c r="H280" s="26"/>
    </row>
    <row r="281" spans="1:8" ht="22.5" customHeight="1" thickBot="1" x14ac:dyDescent="0.4">
      <c r="A281" s="8">
        <v>3001</v>
      </c>
      <c r="B281" s="1" t="str">
        <f>_xlfn.XLOOKUP(_xlfn.CONCAT(A281,$B$1),PLANGRID!$A:$A,PLANGRID!$H:$H)</f>
        <v>closed</v>
      </c>
      <c r="C281" s="1" t="str">
        <f>_xlfn.XLOOKUP(_xlfn.CONCAT(A281,$C$1),PLANGRID!$A:$A,PLANGRID!$H:$H)</f>
        <v>closed</v>
      </c>
      <c r="D281" s="1" t="str">
        <f>_xlfn.XLOOKUP(_xlfn.CONCAT(A281,$D$1),PLANGRID!$A:$A,PLANGRID!$H:$H)</f>
        <v>closed</v>
      </c>
      <c r="E281" s="1" t="str">
        <f>_xlfn.XLOOKUP(_xlfn.CONCAT(A281,$E$1),PLANGRID!$A:$A,PLANGRID!$H:$H)</f>
        <v>closed</v>
      </c>
      <c r="F281" s="1" t="str">
        <f>_xlfn.XLOOKUP(_xlfn.CONCAT(A281,$F$1),PLANGRID!$A:$A,PLANGRID!$H:$H)</f>
        <v>closed</v>
      </c>
      <c r="G281" s="14" t="str">
        <f>_xlfn.XLOOKUP(_xlfn.CONCAT(A281,$G$1),PLANGRID!$A:$A,PLANGRID!$H:$H)</f>
        <v>closed</v>
      </c>
      <c r="H281" s="26"/>
    </row>
    <row r="282" spans="1:8" ht="22.5" customHeight="1" thickBot="1" x14ac:dyDescent="0.4">
      <c r="A282" s="8">
        <v>3002</v>
      </c>
      <c r="B282" s="1" t="str">
        <f>_xlfn.XLOOKUP(_xlfn.CONCAT(A282,$B$1),PLANGRID!$A:$A,PLANGRID!$H:$H)</f>
        <v>closed</v>
      </c>
      <c r="C282" s="1" t="str">
        <f>_xlfn.XLOOKUP(_xlfn.CONCAT(A282,$C$1),PLANGRID!$A:$A,PLANGRID!$H:$H)</f>
        <v>closed</v>
      </c>
      <c r="D282" s="1" t="str">
        <f>_xlfn.XLOOKUP(_xlfn.CONCAT(A282,$D$1),PLANGRID!$A:$A,PLANGRID!$H:$H)</f>
        <v>closed</v>
      </c>
      <c r="E282" s="1" t="str">
        <f>_xlfn.XLOOKUP(_xlfn.CONCAT(A282,$E$1),PLANGRID!$A:$A,PLANGRID!$H:$H)</f>
        <v>closed</v>
      </c>
      <c r="F282" s="1" t="str">
        <f>_xlfn.XLOOKUP(_xlfn.CONCAT(A282,$F$1),PLANGRID!$A:$A,PLANGRID!$H:$H)</f>
        <v>closed</v>
      </c>
      <c r="G282" s="14" t="str">
        <f>_xlfn.XLOOKUP(_xlfn.CONCAT(A282,$G$1),PLANGRID!$A:$A,PLANGRID!$H:$H)</f>
        <v>closed</v>
      </c>
      <c r="H282" s="26"/>
    </row>
    <row r="283" spans="1:8" ht="22.5" customHeight="1" thickBot="1" x14ac:dyDescent="0.4">
      <c r="A283" s="8">
        <v>3003</v>
      </c>
      <c r="B283" s="1" t="str">
        <f>_xlfn.XLOOKUP(_xlfn.CONCAT(A283,$B$1),PLANGRID!$A:$A,PLANGRID!$H:$H)</f>
        <v>closed</v>
      </c>
      <c r="C283" s="1" t="str">
        <f>_xlfn.XLOOKUP(_xlfn.CONCAT(A283,$C$1),PLANGRID!$A:$A,PLANGRID!$H:$H)</f>
        <v>closed</v>
      </c>
      <c r="D283" s="1" t="str">
        <f>_xlfn.XLOOKUP(_xlfn.CONCAT(A283,$D$1),PLANGRID!$A:$A,PLANGRID!$H:$H)</f>
        <v>closed</v>
      </c>
      <c r="E283" s="1" t="str">
        <f>_xlfn.XLOOKUP(_xlfn.CONCAT(A283,$E$1),PLANGRID!$A:$A,PLANGRID!$H:$H)</f>
        <v>closed</v>
      </c>
      <c r="F283" s="1" t="str">
        <f>_xlfn.XLOOKUP(_xlfn.CONCAT(A283,$F$1),PLANGRID!$A:$A,PLANGRID!$H:$H)</f>
        <v>closed</v>
      </c>
      <c r="G283" s="14" t="str">
        <f>_xlfn.XLOOKUP(_xlfn.CONCAT(A283,$G$1),PLANGRID!$A:$A,PLANGRID!$H:$H)</f>
        <v>closed</v>
      </c>
      <c r="H283" s="26"/>
    </row>
    <row r="284" spans="1:8" ht="22.5" customHeight="1" thickBot="1" x14ac:dyDescent="0.4">
      <c r="A284" s="8">
        <v>3004</v>
      </c>
      <c r="B284" s="1" t="str">
        <f>_xlfn.XLOOKUP(_xlfn.CONCAT(A284,$B$1),PLANGRID!$A:$A,PLANGRID!$H:$H)</f>
        <v>closed</v>
      </c>
      <c r="C284" s="1" t="str">
        <f>_xlfn.XLOOKUP(_xlfn.CONCAT(A284,$C$1),PLANGRID!$A:$A,PLANGRID!$H:$H)</f>
        <v>closed</v>
      </c>
      <c r="D284" s="1" t="str">
        <f>_xlfn.XLOOKUP(_xlfn.CONCAT(A284,$D$1),PLANGRID!$A:$A,PLANGRID!$H:$H)</f>
        <v>closed</v>
      </c>
      <c r="E284" s="1" t="str">
        <f>_xlfn.XLOOKUP(_xlfn.CONCAT(A284,$E$1),PLANGRID!$A:$A,PLANGRID!$H:$H)</f>
        <v>closed</v>
      </c>
      <c r="F284" s="1" t="str">
        <f>_xlfn.XLOOKUP(_xlfn.CONCAT(A284,$F$1),PLANGRID!$A:$A,PLANGRID!$H:$H)</f>
        <v>closed</v>
      </c>
      <c r="G284" s="14" t="str">
        <f>_xlfn.XLOOKUP(_xlfn.CONCAT(A284,$G$1),PLANGRID!$A:$A,PLANGRID!$H:$H)</f>
        <v>closed</v>
      </c>
      <c r="H284" s="26"/>
    </row>
    <row r="285" spans="1:8" ht="22.5" customHeight="1" thickBot="1" x14ac:dyDescent="0.4">
      <c r="A285" s="8">
        <v>3005</v>
      </c>
      <c r="B285" s="1" t="str">
        <f>_xlfn.XLOOKUP(_xlfn.CONCAT(A285,$B$1),PLANGRID!$A:$A,PLANGRID!$H:$H)</f>
        <v>closed</v>
      </c>
      <c r="C285" s="1" t="str">
        <f>_xlfn.XLOOKUP(_xlfn.CONCAT(A285,$C$1),PLANGRID!$A:$A,PLANGRID!$H:$H)</f>
        <v>closed</v>
      </c>
      <c r="D285" s="1" t="str">
        <f>_xlfn.XLOOKUP(_xlfn.CONCAT(A285,$D$1),PLANGRID!$A:$A,PLANGRID!$H:$H)</f>
        <v>closed</v>
      </c>
      <c r="E285" s="1" t="str">
        <f>_xlfn.XLOOKUP(_xlfn.CONCAT(A285,$E$1),PLANGRID!$A:$A,PLANGRID!$H:$H)</f>
        <v>closed</v>
      </c>
      <c r="F285" s="1" t="str">
        <f>_xlfn.XLOOKUP(_xlfn.CONCAT(A285,$F$1),PLANGRID!$A:$A,PLANGRID!$H:$H)</f>
        <v>closed</v>
      </c>
      <c r="G285" s="14" t="str">
        <f>_xlfn.XLOOKUP(_xlfn.CONCAT(A285,$G$1),PLANGRID!$A:$A,PLANGRID!$H:$H)</f>
        <v>closed</v>
      </c>
      <c r="H285" s="26"/>
    </row>
    <row r="286" spans="1:8" ht="22.5" customHeight="1" thickBot="1" x14ac:dyDescent="0.4">
      <c r="A286" s="8">
        <v>3006</v>
      </c>
      <c r="B286" s="1" t="str">
        <f>_xlfn.XLOOKUP(_xlfn.CONCAT(A286,$B$1),PLANGRID!$A:$A,PLANGRID!$H:$H)</f>
        <v>closed</v>
      </c>
      <c r="C286" s="1" t="str">
        <f>_xlfn.XLOOKUP(_xlfn.CONCAT(A286,$C$1),PLANGRID!$A:$A,PLANGRID!$H:$H)</f>
        <v>closed</v>
      </c>
      <c r="D286" s="1" t="str">
        <f>_xlfn.XLOOKUP(_xlfn.CONCAT(A286,$D$1),PLANGRID!$A:$A,PLANGRID!$H:$H)</f>
        <v>closed</v>
      </c>
      <c r="E286" s="1" t="str">
        <f>_xlfn.XLOOKUP(_xlfn.CONCAT(A286,$E$1),PLANGRID!$A:$A,PLANGRID!$H:$H)</f>
        <v>closed</v>
      </c>
      <c r="F286" s="1" t="str">
        <f>_xlfn.XLOOKUP(_xlfn.CONCAT(A286,$F$1),PLANGRID!$A:$A,PLANGRID!$H:$H)</f>
        <v>closed</v>
      </c>
      <c r="G286" s="14" t="str">
        <f>_xlfn.XLOOKUP(_xlfn.CONCAT(A286,$G$1),PLANGRID!$A:$A,PLANGRID!$H:$H)</f>
        <v>closed</v>
      </c>
      <c r="H286" s="26"/>
    </row>
    <row r="287" spans="1:8" ht="22.5" customHeight="1" thickBot="1" x14ac:dyDescent="0.4">
      <c r="A287" s="8">
        <v>3007</v>
      </c>
      <c r="B287" s="1" t="str">
        <f>_xlfn.XLOOKUP(_xlfn.CONCAT(A287,$B$1),PLANGRID!$A:$A,PLANGRID!$H:$H)</f>
        <v>closed</v>
      </c>
      <c r="C287" s="1" t="str">
        <f>_xlfn.XLOOKUP(_xlfn.CONCAT(A287,$C$1),PLANGRID!$A:$A,PLANGRID!$H:$H)</f>
        <v>closed</v>
      </c>
      <c r="D287" s="1" t="str">
        <f>_xlfn.XLOOKUP(_xlfn.CONCAT(A287,$D$1),PLANGRID!$A:$A,PLANGRID!$H:$H)</f>
        <v>closed</v>
      </c>
      <c r="E287" s="1" t="str">
        <f>_xlfn.XLOOKUP(_xlfn.CONCAT(A287,$E$1),PLANGRID!$A:$A,PLANGRID!$H:$H)</f>
        <v>closed</v>
      </c>
      <c r="F287" s="1" t="str">
        <f>_xlfn.XLOOKUP(_xlfn.CONCAT(A287,$F$1),PLANGRID!$A:$A,PLANGRID!$H:$H)</f>
        <v>closed</v>
      </c>
      <c r="G287" s="14" t="str">
        <f>_xlfn.XLOOKUP(_xlfn.CONCAT(A287,$G$1),PLANGRID!$A:$A,PLANGRID!$H:$H)</f>
        <v>closed</v>
      </c>
      <c r="H287" s="26"/>
    </row>
    <row r="288" spans="1:8" ht="22.5" customHeight="1" thickBot="1" x14ac:dyDescent="0.4">
      <c r="A288" s="8">
        <v>3008</v>
      </c>
      <c r="B288" s="1" t="str">
        <f>_xlfn.XLOOKUP(_xlfn.CONCAT(A288,$B$1),PLANGRID!$A:$A,PLANGRID!$H:$H)</f>
        <v>closed</v>
      </c>
      <c r="C288" s="1" t="str">
        <f>_xlfn.XLOOKUP(_xlfn.CONCAT(A288,$C$1),PLANGRID!$A:$A,PLANGRID!$H:$H)</f>
        <v>closed</v>
      </c>
      <c r="D288" s="1" t="str">
        <f>_xlfn.XLOOKUP(_xlfn.CONCAT(A288,$D$1),PLANGRID!$A:$A,PLANGRID!$H:$H)</f>
        <v>closed</v>
      </c>
      <c r="E288" s="1" t="str">
        <f>_xlfn.XLOOKUP(_xlfn.CONCAT(A288,$E$1),PLANGRID!$A:$A,PLANGRID!$H:$H)</f>
        <v>closed</v>
      </c>
      <c r="F288" s="1" t="str">
        <f>_xlfn.XLOOKUP(_xlfn.CONCAT(A288,$F$1),PLANGRID!$A:$A,PLANGRID!$H:$H)</f>
        <v>closed</v>
      </c>
      <c r="G288" s="14" t="str">
        <f>_xlfn.XLOOKUP(_xlfn.CONCAT(A288,$G$1),PLANGRID!$A:$A,PLANGRID!$H:$H)</f>
        <v>closed</v>
      </c>
      <c r="H288" s="26"/>
    </row>
    <row r="289" spans="1:8" ht="22.5" customHeight="1" thickBot="1" x14ac:dyDescent="0.4">
      <c r="A289" s="8">
        <v>3009</v>
      </c>
      <c r="B289" s="1" t="str">
        <f>_xlfn.XLOOKUP(_xlfn.CONCAT(A289,$B$1),PLANGRID!$A:$A,PLANGRID!$H:$H)</f>
        <v>closed</v>
      </c>
      <c r="C289" s="1" t="str">
        <f>_xlfn.XLOOKUP(_xlfn.CONCAT(A289,$C$1),PLANGRID!$A:$A,PLANGRID!$H:$H)</f>
        <v>closed</v>
      </c>
      <c r="D289" s="1" t="str">
        <f>_xlfn.XLOOKUP(_xlfn.CONCAT(A289,$D$1),PLANGRID!$A:$A,PLANGRID!$H:$H)</f>
        <v>closed</v>
      </c>
      <c r="E289" s="1" t="str">
        <f>_xlfn.XLOOKUP(_xlfn.CONCAT(A289,$E$1),PLANGRID!$A:$A,PLANGRID!$H:$H)</f>
        <v>closed</v>
      </c>
      <c r="F289" s="1" t="str">
        <f>_xlfn.XLOOKUP(_xlfn.CONCAT(A289,$F$1),PLANGRID!$A:$A,PLANGRID!$H:$H)</f>
        <v>closed</v>
      </c>
      <c r="G289" s="14" t="str">
        <f>_xlfn.XLOOKUP(_xlfn.CONCAT(A289,$G$1),PLANGRID!$A:$A,PLANGRID!$H:$H)</f>
        <v>closed</v>
      </c>
      <c r="H289" s="26"/>
    </row>
    <row r="290" spans="1:8" ht="22.5" customHeight="1" thickBot="1" x14ac:dyDescent="0.4">
      <c r="A290" s="8">
        <v>3010</v>
      </c>
      <c r="B290" s="1" t="str">
        <f>_xlfn.XLOOKUP(_xlfn.CONCAT(A290,$B$1),PLANGRID!$A:$A,PLANGRID!$H:$H)</f>
        <v>closed</v>
      </c>
      <c r="C290" s="1" t="str">
        <f>_xlfn.XLOOKUP(_xlfn.CONCAT(A290,$C$1),PLANGRID!$A:$A,PLANGRID!$H:$H)</f>
        <v>closed</v>
      </c>
      <c r="D290" s="1" t="str">
        <f>_xlfn.XLOOKUP(_xlfn.CONCAT(A290,$D$1),PLANGRID!$A:$A,PLANGRID!$H:$H)</f>
        <v>closed</v>
      </c>
      <c r="E290" s="1" t="str">
        <f>_xlfn.XLOOKUP(_xlfn.CONCAT(A290,$E$1),PLANGRID!$A:$A,PLANGRID!$H:$H)</f>
        <v>closed</v>
      </c>
      <c r="F290" s="1" t="str">
        <f>_xlfn.XLOOKUP(_xlfn.CONCAT(A290,$F$1),PLANGRID!$A:$A,PLANGRID!$H:$H)</f>
        <v>closed</v>
      </c>
      <c r="G290" s="14" t="str">
        <f>_xlfn.XLOOKUP(_xlfn.CONCAT(A290,$G$1),PLANGRID!$A:$A,PLANGRID!$H:$H)</f>
        <v>closed</v>
      </c>
      <c r="H290" s="26"/>
    </row>
    <row r="291" spans="1:8" ht="22.5" customHeight="1" thickBot="1" x14ac:dyDescent="0.4">
      <c r="A291" s="8">
        <v>3101</v>
      </c>
      <c r="B291" s="1" t="str">
        <f>_xlfn.XLOOKUP(_xlfn.CONCAT(A291,$B$1),PLANGRID!$A:$A,PLANGRID!$H:$H)</f>
        <v>closed</v>
      </c>
      <c r="C291" s="1" t="str">
        <f>_xlfn.XLOOKUP(_xlfn.CONCAT(A291,$C$1),PLANGRID!$A:$A,PLANGRID!$H:$H)</f>
        <v>closed</v>
      </c>
      <c r="D291" s="1" t="str">
        <f>_xlfn.XLOOKUP(_xlfn.CONCAT(A291,$D$1),PLANGRID!$A:$A,PLANGRID!$H:$H)</f>
        <v>closed</v>
      </c>
      <c r="E291" s="1" t="str">
        <f>_xlfn.XLOOKUP(_xlfn.CONCAT(A291,$E$1),PLANGRID!$A:$A,PLANGRID!$H:$H)</f>
        <v>closed</v>
      </c>
      <c r="F291" s="1" t="str">
        <f>_xlfn.XLOOKUP(_xlfn.CONCAT(A291,$F$1),PLANGRID!$A:$A,PLANGRID!$H:$H)</f>
        <v>closed</v>
      </c>
      <c r="G291" s="14" t="str">
        <f>_xlfn.XLOOKUP(_xlfn.CONCAT(A291,$G$1),PLANGRID!$A:$A,PLANGRID!$H:$H)</f>
        <v>closed</v>
      </c>
      <c r="H291" s="26"/>
    </row>
    <row r="292" spans="1:8" ht="22.5" customHeight="1" thickBot="1" x14ac:dyDescent="0.4">
      <c r="A292" s="8">
        <v>3102</v>
      </c>
      <c r="B292" s="1" t="str">
        <f>_xlfn.XLOOKUP(_xlfn.CONCAT(A292,$B$1),PLANGRID!$A:$A,PLANGRID!$H:$H)</f>
        <v>closed</v>
      </c>
      <c r="C292" s="1" t="str">
        <f>_xlfn.XLOOKUP(_xlfn.CONCAT(A292,$C$1),PLANGRID!$A:$A,PLANGRID!$H:$H)</f>
        <v>closed</v>
      </c>
      <c r="D292" s="1" t="str">
        <f>_xlfn.XLOOKUP(_xlfn.CONCAT(A292,$D$1),PLANGRID!$A:$A,PLANGRID!$H:$H)</f>
        <v>closed</v>
      </c>
      <c r="E292" s="1" t="str">
        <f>_xlfn.XLOOKUP(_xlfn.CONCAT(A292,$E$1),PLANGRID!$A:$A,PLANGRID!$H:$H)</f>
        <v>closed</v>
      </c>
      <c r="F292" s="1" t="str">
        <f>_xlfn.XLOOKUP(_xlfn.CONCAT(A292,$F$1),PLANGRID!$A:$A,PLANGRID!$H:$H)</f>
        <v>closed</v>
      </c>
      <c r="G292" s="14" t="str">
        <f>_xlfn.XLOOKUP(_xlfn.CONCAT(A292,$G$1),PLANGRID!$A:$A,PLANGRID!$H:$H)</f>
        <v>closed</v>
      </c>
      <c r="H292" s="26"/>
    </row>
    <row r="293" spans="1:8" ht="22.5" customHeight="1" thickBot="1" x14ac:dyDescent="0.4">
      <c r="A293" s="8">
        <v>3103</v>
      </c>
      <c r="B293" s="1" t="str">
        <f>_xlfn.XLOOKUP(_xlfn.CONCAT(A293,$B$1),PLANGRID!$A:$A,PLANGRID!$H:$H)</f>
        <v>closed</v>
      </c>
      <c r="C293" s="1" t="str">
        <f>_xlfn.XLOOKUP(_xlfn.CONCAT(A293,$C$1),PLANGRID!$A:$A,PLANGRID!$H:$H)</f>
        <v>closed</v>
      </c>
      <c r="D293" s="1" t="str">
        <f>_xlfn.XLOOKUP(_xlfn.CONCAT(A293,$D$1),PLANGRID!$A:$A,PLANGRID!$H:$H)</f>
        <v>closed</v>
      </c>
      <c r="E293" s="1" t="str">
        <f>_xlfn.XLOOKUP(_xlfn.CONCAT(A293,$E$1),PLANGRID!$A:$A,PLANGRID!$H:$H)</f>
        <v>closed</v>
      </c>
      <c r="F293" s="1" t="str">
        <f>_xlfn.XLOOKUP(_xlfn.CONCAT(A293,$F$1),PLANGRID!$A:$A,PLANGRID!$H:$H)</f>
        <v>closed</v>
      </c>
      <c r="G293" s="14" t="str">
        <f>_xlfn.XLOOKUP(_xlfn.CONCAT(A293,$G$1),PLANGRID!$A:$A,PLANGRID!$H:$H)</f>
        <v>closed</v>
      </c>
      <c r="H293" s="26"/>
    </row>
    <row r="294" spans="1:8" ht="22.5" customHeight="1" thickBot="1" x14ac:dyDescent="0.4">
      <c r="A294" s="8">
        <v>3104</v>
      </c>
      <c r="B294" s="1" t="str">
        <f>_xlfn.XLOOKUP(_xlfn.CONCAT(A294,$B$1),PLANGRID!$A:$A,PLANGRID!$H:$H)</f>
        <v>closed</v>
      </c>
      <c r="C294" s="1" t="str">
        <f>_xlfn.XLOOKUP(_xlfn.CONCAT(A294,$C$1),PLANGRID!$A:$A,PLANGRID!$H:$H)</f>
        <v>closed</v>
      </c>
      <c r="D294" s="1" t="str">
        <f>_xlfn.XLOOKUP(_xlfn.CONCAT(A294,$D$1),PLANGRID!$A:$A,PLANGRID!$H:$H)</f>
        <v>closed</v>
      </c>
      <c r="E294" s="1" t="str">
        <f>_xlfn.XLOOKUP(_xlfn.CONCAT(A294,$E$1),PLANGRID!$A:$A,PLANGRID!$H:$H)</f>
        <v>closed</v>
      </c>
      <c r="F294" s="1" t="str">
        <f>_xlfn.XLOOKUP(_xlfn.CONCAT(A294,$F$1),PLANGRID!$A:$A,PLANGRID!$H:$H)</f>
        <v>closed</v>
      </c>
      <c r="G294" s="14" t="str">
        <f>_xlfn.XLOOKUP(_xlfn.CONCAT(A294,$G$1),PLANGRID!$A:$A,PLANGRID!$H:$H)</f>
        <v>closed</v>
      </c>
      <c r="H294" s="26"/>
    </row>
    <row r="295" spans="1:8" ht="22.5" customHeight="1" thickBot="1" x14ac:dyDescent="0.4">
      <c r="A295" s="8">
        <v>3105</v>
      </c>
      <c r="B295" s="1" t="str">
        <f>_xlfn.XLOOKUP(_xlfn.CONCAT(A295,$B$1),PLANGRID!$A:$A,PLANGRID!$H:$H)</f>
        <v>closed</v>
      </c>
      <c r="C295" s="1" t="str">
        <f>_xlfn.XLOOKUP(_xlfn.CONCAT(A295,$C$1),PLANGRID!$A:$A,PLANGRID!$H:$H)</f>
        <v>closed</v>
      </c>
      <c r="D295" s="1" t="str">
        <f>_xlfn.XLOOKUP(_xlfn.CONCAT(A295,$D$1),PLANGRID!$A:$A,PLANGRID!$H:$H)</f>
        <v>closed</v>
      </c>
      <c r="E295" s="1" t="str">
        <f>_xlfn.XLOOKUP(_xlfn.CONCAT(A295,$E$1),PLANGRID!$A:$A,PLANGRID!$H:$H)</f>
        <v>closed</v>
      </c>
      <c r="F295" s="1" t="str">
        <f>_xlfn.XLOOKUP(_xlfn.CONCAT(A295,$F$1),PLANGRID!$A:$A,PLANGRID!$H:$H)</f>
        <v>closed</v>
      </c>
      <c r="G295" s="14" t="str">
        <f>_xlfn.XLOOKUP(_xlfn.CONCAT(A295,$G$1),PLANGRID!$A:$A,PLANGRID!$H:$H)</f>
        <v>closed</v>
      </c>
      <c r="H295" s="26"/>
    </row>
    <row r="296" spans="1:8" ht="22.5" customHeight="1" thickBot="1" x14ac:dyDescent="0.4">
      <c r="A296" s="8">
        <v>3106</v>
      </c>
      <c r="B296" s="1" t="str">
        <f>_xlfn.XLOOKUP(_xlfn.CONCAT(A296,$B$1),PLANGRID!$A:$A,PLANGRID!$H:$H)</f>
        <v>closed</v>
      </c>
      <c r="C296" s="1" t="str">
        <f>_xlfn.XLOOKUP(_xlfn.CONCAT(A296,$C$1),PLANGRID!$A:$A,PLANGRID!$H:$H)</f>
        <v>closed</v>
      </c>
      <c r="D296" s="1" t="str">
        <f>_xlfn.XLOOKUP(_xlfn.CONCAT(A296,$D$1),PLANGRID!$A:$A,PLANGRID!$H:$H)</f>
        <v>closed</v>
      </c>
      <c r="E296" s="1" t="str">
        <f>_xlfn.XLOOKUP(_xlfn.CONCAT(A296,$E$1),PLANGRID!$A:$A,PLANGRID!$H:$H)</f>
        <v>closed</v>
      </c>
      <c r="F296" s="1" t="str">
        <f>_xlfn.XLOOKUP(_xlfn.CONCAT(A296,$F$1),PLANGRID!$A:$A,PLANGRID!$H:$H)</f>
        <v>closed</v>
      </c>
      <c r="G296" s="14" t="str">
        <f>_xlfn.XLOOKUP(_xlfn.CONCAT(A296,$G$1),PLANGRID!$A:$A,PLANGRID!$H:$H)</f>
        <v>closed</v>
      </c>
      <c r="H296" s="26"/>
    </row>
    <row r="297" spans="1:8" ht="22.5" customHeight="1" thickBot="1" x14ac:dyDescent="0.4">
      <c r="A297" s="8">
        <v>3107</v>
      </c>
      <c r="B297" s="1" t="str">
        <f>_xlfn.XLOOKUP(_xlfn.CONCAT(A297,$B$1),PLANGRID!$A:$A,PLANGRID!$H:$H)</f>
        <v>closed</v>
      </c>
      <c r="C297" s="1" t="str">
        <f>_xlfn.XLOOKUP(_xlfn.CONCAT(A297,$C$1),PLANGRID!$A:$A,PLANGRID!$H:$H)</f>
        <v>closed</v>
      </c>
      <c r="D297" s="1" t="str">
        <f>_xlfn.XLOOKUP(_xlfn.CONCAT(A297,$D$1),PLANGRID!$A:$A,PLANGRID!$H:$H)</f>
        <v>closed</v>
      </c>
      <c r="E297" s="1" t="str">
        <f>_xlfn.XLOOKUP(_xlfn.CONCAT(A297,$E$1),PLANGRID!$A:$A,PLANGRID!$H:$H)</f>
        <v>closed</v>
      </c>
      <c r="F297" s="1" t="str">
        <f>_xlfn.XLOOKUP(_xlfn.CONCAT(A297,$F$1),PLANGRID!$A:$A,PLANGRID!$H:$H)</f>
        <v>closed</v>
      </c>
      <c r="G297" s="14" t="str">
        <f>_xlfn.XLOOKUP(_xlfn.CONCAT(A297,$G$1),PLANGRID!$A:$A,PLANGRID!$H:$H)</f>
        <v>closed</v>
      </c>
      <c r="H297" s="26"/>
    </row>
    <row r="298" spans="1:8" ht="22.5" customHeight="1" thickBot="1" x14ac:dyDescent="0.4">
      <c r="A298" s="8">
        <v>3108</v>
      </c>
      <c r="B298" s="1" t="str">
        <f>_xlfn.XLOOKUP(_xlfn.CONCAT(A298,$B$1),PLANGRID!$A:$A,PLANGRID!$H:$H)</f>
        <v>closed</v>
      </c>
      <c r="C298" s="1" t="str">
        <f>_xlfn.XLOOKUP(_xlfn.CONCAT(A298,$C$1),PLANGRID!$A:$A,PLANGRID!$H:$H)</f>
        <v>closed</v>
      </c>
      <c r="D298" s="1" t="str">
        <f>_xlfn.XLOOKUP(_xlfn.CONCAT(A298,$D$1),PLANGRID!$A:$A,PLANGRID!$H:$H)</f>
        <v>closed</v>
      </c>
      <c r="E298" s="1" t="str">
        <f>_xlfn.XLOOKUP(_xlfn.CONCAT(A298,$E$1),PLANGRID!$A:$A,PLANGRID!$H:$H)</f>
        <v>closed</v>
      </c>
      <c r="F298" s="1" t="str">
        <f>_xlfn.XLOOKUP(_xlfn.CONCAT(A298,$F$1),PLANGRID!$A:$A,PLANGRID!$H:$H)</f>
        <v>closed</v>
      </c>
      <c r="G298" s="14" t="str">
        <f>_xlfn.XLOOKUP(_xlfn.CONCAT(A298,$G$1),PLANGRID!$A:$A,PLANGRID!$H:$H)</f>
        <v>closed</v>
      </c>
      <c r="H298" s="26"/>
    </row>
    <row r="299" spans="1:8" ht="22.5" customHeight="1" thickBot="1" x14ac:dyDescent="0.4">
      <c r="A299" s="8">
        <v>3109</v>
      </c>
      <c r="B299" s="1" t="str">
        <f>_xlfn.XLOOKUP(_xlfn.CONCAT(A299,$B$1),PLANGRID!$A:$A,PLANGRID!$H:$H)</f>
        <v>closed</v>
      </c>
      <c r="C299" s="1" t="str">
        <f>_xlfn.XLOOKUP(_xlfn.CONCAT(A299,$C$1),PLANGRID!$A:$A,PLANGRID!$H:$H)</f>
        <v>closed</v>
      </c>
      <c r="D299" s="1" t="str">
        <f>_xlfn.XLOOKUP(_xlfn.CONCAT(A299,$D$1),PLANGRID!$A:$A,PLANGRID!$H:$H)</f>
        <v>closed</v>
      </c>
      <c r="E299" s="1" t="str">
        <f>_xlfn.XLOOKUP(_xlfn.CONCAT(A299,$E$1),PLANGRID!$A:$A,PLANGRID!$H:$H)</f>
        <v>closed</v>
      </c>
      <c r="F299" s="1" t="str">
        <f>_xlfn.XLOOKUP(_xlfn.CONCAT(A299,$F$1),PLANGRID!$A:$A,PLANGRID!$H:$H)</f>
        <v>closed</v>
      </c>
      <c r="G299" s="14" t="str">
        <f>_xlfn.XLOOKUP(_xlfn.CONCAT(A299,$G$1),PLANGRID!$A:$A,PLANGRID!$H:$H)</f>
        <v>closed</v>
      </c>
      <c r="H299" s="26"/>
    </row>
    <row r="300" spans="1:8" ht="22.5" customHeight="1" thickBot="1" x14ac:dyDescent="0.4">
      <c r="A300" s="8">
        <v>3201</v>
      </c>
      <c r="B300" s="1" t="str">
        <f>_xlfn.XLOOKUP(_xlfn.CONCAT(A300,$B$1),PLANGRID!$A:$A,PLANGRID!$H:$H)</f>
        <v>closed</v>
      </c>
      <c r="C300" s="1" t="str">
        <f>_xlfn.XLOOKUP(_xlfn.CONCAT(A300,$C$1),PLANGRID!$A:$A,PLANGRID!$H:$H)</f>
        <v>closed</v>
      </c>
      <c r="D300" s="1" t="str">
        <f>_xlfn.XLOOKUP(_xlfn.CONCAT(A300,$D$1),PLANGRID!$A:$A,PLANGRID!$H:$H)</f>
        <v>closed</v>
      </c>
      <c r="E300" s="1" t="str">
        <f>_xlfn.XLOOKUP(_xlfn.CONCAT(A300,$E$1),PLANGRID!$A:$A,PLANGRID!$H:$H)</f>
        <v>closed</v>
      </c>
      <c r="F300" s="1" t="str">
        <f>_xlfn.XLOOKUP(_xlfn.CONCAT(A300,$F$1),PLANGRID!$A:$A,PLANGRID!$H:$H)</f>
        <v>closed</v>
      </c>
      <c r="G300" s="14" t="str">
        <f>_xlfn.XLOOKUP(_xlfn.CONCAT(A300,$G$1),PLANGRID!$A:$A,PLANGRID!$H:$H)</f>
        <v>closed</v>
      </c>
      <c r="H300" s="26"/>
    </row>
    <row r="301" spans="1:8" ht="22.5" customHeight="1" thickBot="1" x14ac:dyDescent="0.4">
      <c r="A301" s="8">
        <v>3202</v>
      </c>
      <c r="B301" s="1" t="str">
        <f>_xlfn.XLOOKUP(_xlfn.CONCAT(A301,$B$1),PLANGRID!$A:$A,PLANGRID!$H:$H)</f>
        <v>closed</v>
      </c>
      <c r="C301" s="1" t="str">
        <f>_xlfn.XLOOKUP(_xlfn.CONCAT(A301,$C$1),PLANGRID!$A:$A,PLANGRID!$H:$H)</f>
        <v>closed</v>
      </c>
      <c r="D301" s="1" t="str">
        <f>_xlfn.XLOOKUP(_xlfn.CONCAT(A301,$D$1),PLANGRID!$A:$A,PLANGRID!$H:$H)</f>
        <v>closed</v>
      </c>
      <c r="E301" s="1" t="str">
        <f>_xlfn.XLOOKUP(_xlfn.CONCAT(A301,$E$1),PLANGRID!$A:$A,PLANGRID!$H:$H)</f>
        <v>closed</v>
      </c>
      <c r="F301" s="1" t="str">
        <f>_xlfn.XLOOKUP(_xlfn.CONCAT(A301,$F$1),PLANGRID!$A:$A,PLANGRID!$H:$H)</f>
        <v>closed</v>
      </c>
      <c r="G301" s="14" t="str">
        <f>_xlfn.XLOOKUP(_xlfn.CONCAT(A301,$G$1),PLANGRID!$A:$A,PLANGRID!$H:$H)</f>
        <v>closed</v>
      </c>
      <c r="H301" s="26"/>
    </row>
    <row r="302" spans="1:8" ht="22.5" customHeight="1" thickBot="1" x14ac:dyDescent="0.4">
      <c r="A302" s="8">
        <v>3203</v>
      </c>
      <c r="B302" s="1" t="str">
        <f>_xlfn.XLOOKUP(_xlfn.CONCAT(A302,$B$1),PLANGRID!$A:$A,PLANGRID!$H:$H)</f>
        <v>closed</v>
      </c>
      <c r="C302" s="1" t="str">
        <f>_xlfn.XLOOKUP(_xlfn.CONCAT(A302,$C$1),PLANGRID!$A:$A,PLANGRID!$H:$H)</f>
        <v>closed</v>
      </c>
      <c r="D302" s="1" t="str">
        <f>_xlfn.XLOOKUP(_xlfn.CONCAT(A302,$D$1),PLANGRID!$A:$A,PLANGRID!$H:$H)</f>
        <v>closed</v>
      </c>
      <c r="E302" s="1" t="str">
        <f>_xlfn.XLOOKUP(_xlfn.CONCAT(A302,$E$1),PLANGRID!$A:$A,PLANGRID!$H:$H)</f>
        <v>closed</v>
      </c>
      <c r="F302" s="1" t="str">
        <f>_xlfn.XLOOKUP(_xlfn.CONCAT(A302,$F$1),PLANGRID!$A:$A,PLANGRID!$H:$H)</f>
        <v>closed</v>
      </c>
      <c r="G302" s="14" t="str">
        <f>_xlfn.XLOOKUP(_xlfn.CONCAT(A302,$G$1),PLANGRID!$A:$A,PLANGRID!$H:$H)</f>
        <v>closed</v>
      </c>
      <c r="H302" s="26"/>
    </row>
    <row r="303" spans="1:8" ht="22.5" customHeight="1" thickBot="1" x14ac:dyDescent="0.4">
      <c r="A303" s="8">
        <v>3204</v>
      </c>
      <c r="B303" s="1" t="str">
        <f>_xlfn.XLOOKUP(_xlfn.CONCAT(A303,$B$1),PLANGRID!$A:$A,PLANGRID!$H:$H)</f>
        <v>closed</v>
      </c>
      <c r="C303" s="1" t="str">
        <f>_xlfn.XLOOKUP(_xlfn.CONCAT(A303,$C$1),PLANGRID!$A:$A,PLANGRID!$H:$H)</f>
        <v>closed</v>
      </c>
      <c r="D303" s="1" t="str">
        <f>_xlfn.XLOOKUP(_xlfn.CONCAT(A303,$D$1),PLANGRID!$A:$A,PLANGRID!$H:$H)</f>
        <v>closed</v>
      </c>
      <c r="E303" s="1" t="str">
        <f>_xlfn.XLOOKUP(_xlfn.CONCAT(A303,$E$1),PLANGRID!$A:$A,PLANGRID!$H:$H)</f>
        <v>closed</v>
      </c>
      <c r="F303" s="1" t="str">
        <f>_xlfn.XLOOKUP(_xlfn.CONCAT(A303,$F$1),PLANGRID!$A:$A,PLANGRID!$H:$H)</f>
        <v>closed</v>
      </c>
      <c r="G303" s="14" t="str">
        <f>_xlfn.XLOOKUP(_xlfn.CONCAT(A303,$G$1),PLANGRID!$A:$A,PLANGRID!$H:$H)</f>
        <v>closed</v>
      </c>
      <c r="H303" s="26"/>
    </row>
    <row r="304" spans="1:8" ht="22.5" customHeight="1" thickBot="1" x14ac:dyDescent="0.4">
      <c r="A304" s="8">
        <v>3205</v>
      </c>
      <c r="B304" s="1" t="str">
        <f>_xlfn.XLOOKUP(_xlfn.CONCAT(A304,$B$1),PLANGRID!$A:$A,PLANGRID!$H:$H)</f>
        <v>closed</v>
      </c>
      <c r="C304" s="1" t="str">
        <f>_xlfn.XLOOKUP(_xlfn.CONCAT(A304,$C$1),PLANGRID!$A:$A,PLANGRID!$H:$H)</f>
        <v>closed</v>
      </c>
      <c r="D304" s="1" t="str">
        <f>_xlfn.XLOOKUP(_xlfn.CONCAT(A304,$D$1),PLANGRID!$A:$A,PLANGRID!$H:$H)</f>
        <v>closed</v>
      </c>
      <c r="E304" s="1" t="str">
        <f>_xlfn.XLOOKUP(_xlfn.CONCAT(A304,$E$1),PLANGRID!$A:$A,PLANGRID!$H:$H)</f>
        <v>closed</v>
      </c>
      <c r="F304" s="1" t="str">
        <f>_xlfn.XLOOKUP(_xlfn.CONCAT(A304,$F$1),PLANGRID!$A:$A,PLANGRID!$H:$H)</f>
        <v>closed</v>
      </c>
      <c r="G304" s="14" t="str">
        <f>_xlfn.XLOOKUP(_xlfn.CONCAT(A304,$G$1),PLANGRID!$A:$A,PLANGRID!$H:$H)</f>
        <v>closed</v>
      </c>
      <c r="H304" s="26"/>
    </row>
    <row r="305" spans="1:8" ht="22.5" customHeight="1" thickBot="1" x14ac:dyDescent="0.4">
      <c r="A305" s="8">
        <v>3206</v>
      </c>
      <c r="B305" s="1" t="str">
        <f>_xlfn.XLOOKUP(_xlfn.CONCAT(A305,$B$1),PLANGRID!$A:$A,PLANGRID!$H:$H)</f>
        <v>closed</v>
      </c>
      <c r="C305" s="1" t="str">
        <f>_xlfn.XLOOKUP(_xlfn.CONCAT(A305,$C$1),PLANGRID!$A:$A,PLANGRID!$H:$H)</f>
        <v>closed</v>
      </c>
      <c r="D305" s="1" t="str">
        <f>_xlfn.XLOOKUP(_xlfn.CONCAT(A305,$D$1),PLANGRID!$A:$A,PLANGRID!$H:$H)</f>
        <v>closed</v>
      </c>
      <c r="E305" s="1" t="str">
        <f>_xlfn.XLOOKUP(_xlfn.CONCAT(A305,$E$1),PLANGRID!$A:$A,PLANGRID!$H:$H)</f>
        <v>closed</v>
      </c>
      <c r="F305" s="1" t="str">
        <f>_xlfn.XLOOKUP(_xlfn.CONCAT(A305,$F$1),PLANGRID!$A:$A,PLANGRID!$H:$H)</f>
        <v>closed</v>
      </c>
      <c r="G305" s="14" t="str">
        <f>_xlfn.XLOOKUP(_xlfn.CONCAT(A305,$G$1),PLANGRID!$A:$A,PLANGRID!$H:$H)</f>
        <v>closed</v>
      </c>
      <c r="H305" s="26"/>
    </row>
    <row r="306" spans="1:8" ht="22.5" customHeight="1" thickBot="1" x14ac:dyDescent="0.4">
      <c r="A306" s="8">
        <v>3207</v>
      </c>
      <c r="B306" s="1" t="str">
        <f>_xlfn.XLOOKUP(_xlfn.CONCAT(A306,$B$1),PLANGRID!$A:$A,PLANGRID!$H:$H)</f>
        <v>closed</v>
      </c>
      <c r="C306" s="1" t="str">
        <f>_xlfn.XLOOKUP(_xlfn.CONCAT(A306,$C$1),PLANGRID!$A:$A,PLANGRID!$H:$H)</f>
        <v>closed</v>
      </c>
      <c r="D306" s="1" t="str">
        <f>_xlfn.XLOOKUP(_xlfn.CONCAT(A306,$D$1),PLANGRID!$A:$A,PLANGRID!$H:$H)</f>
        <v>closed</v>
      </c>
      <c r="E306" s="1" t="str">
        <f>_xlfn.XLOOKUP(_xlfn.CONCAT(A306,$E$1),PLANGRID!$A:$A,PLANGRID!$H:$H)</f>
        <v>closed</v>
      </c>
      <c r="F306" s="1" t="str">
        <f>_xlfn.XLOOKUP(_xlfn.CONCAT(A306,$F$1),PLANGRID!$A:$A,PLANGRID!$H:$H)</f>
        <v>closed</v>
      </c>
      <c r="G306" s="14" t="str">
        <f>_xlfn.XLOOKUP(_xlfn.CONCAT(A306,$G$1),PLANGRID!$A:$A,PLANGRID!$H:$H)</f>
        <v>closed</v>
      </c>
      <c r="H306" s="26"/>
    </row>
    <row r="307" spans="1:8" ht="22.5" customHeight="1" thickBot="1" x14ac:dyDescent="0.4">
      <c r="A307" s="8">
        <v>3208</v>
      </c>
      <c r="B307" s="1" t="str">
        <f>_xlfn.XLOOKUP(_xlfn.CONCAT(A307,$B$1),PLANGRID!$A:$A,PLANGRID!$H:$H)</f>
        <v>closed</v>
      </c>
      <c r="C307" s="1" t="str">
        <f>_xlfn.XLOOKUP(_xlfn.CONCAT(A307,$C$1),PLANGRID!$A:$A,PLANGRID!$H:$H)</f>
        <v>closed</v>
      </c>
      <c r="D307" s="1" t="str">
        <f>_xlfn.XLOOKUP(_xlfn.CONCAT(A307,$D$1),PLANGRID!$A:$A,PLANGRID!$H:$H)</f>
        <v>closed</v>
      </c>
      <c r="E307" s="1" t="str">
        <f>_xlfn.XLOOKUP(_xlfn.CONCAT(A307,$E$1),PLANGRID!$A:$A,PLANGRID!$H:$H)</f>
        <v>closed</v>
      </c>
      <c r="F307" s="1" t="str">
        <f>_xlfn.XLOOKUP(_xlfn.CONCAT(A307,$F$1),PLANGRID!$A:$A,PLANGRID!$H:$H)</f>
        <v>closed</v>
      </c>
      <c r="G307" s="14" t="str">
        <f>_xlfn.XLOOKUP(_xlfn.CONCAT(A307,$G$1),PLANGRID!$A:$A,PLANGRID!$H:$H)</f>
        <v>closed</v>
      </c>
      <c r="H307" s="26"/>
    </row>
    <row r="308" spans="1:8" ht="22.5" customHeight="1" thickBot="1" x14ac:dyDescent="0.4">
      <c r="A308" s="8">
        <v>3209</v>
      </c>
      <c r="B308" s="1" t="str">
        <f>_xlfn.XLOOKUP(_xlfn.CONCAT(A308,$B$1),PLANGRID!$A:$A,PLANGRID!$H:$H)</f>
        <v>closed</v>
      </c>
      <c r="C308" s="1" t="str">
        <f>_xlfn.XLOOKUP(_xlfn.CONCAT(A308,$C$1),PLANGRID!$A:$A,PLANGRID!$H:$H)</f>
        <v>closed</v>
      </c>
      <c r="D308" s="1" t="str">
        <f>_xlfn.XLOOKUP(_xlfn.CONCAT(A308,$D$1),PLANGRID!$A:$A,PLANGRID!$H:$H)</f>
        <v>closed</v>
      </c>
      <c r="E308" s="1" t="str">
        <f>_xlfn.XLOOKUP(_xlfn.CONCAT(A308,$E$1),PLANGRID!$A:$A,PLANGRID!$H:$H)</f>
        <v>closed</v>
      </c>
      <c r="F308" s="1" t="str">
        <f>_xlfn.XLOOKUP(_xlfn.CONCAT(A308,$F$1),PLANGRID!$A:$A,PLANGRID!$H:$H)</f>
        <v>closed</v>
      </c>
      <c r="G308" s="14" t="str">
        <f>_xlfn.XLOOKUP(_xlfn.CONCAT(A308,$G$1),PLANGRID!$A:$A,PLANGRID!$H:$H)</f>
        <v>closed</v>
      </c>
      <c r="H308" s="26"/>
    </row>
    <row r="309" spans="1:8" ht="22.5" customHeight="1" thickBot="1" x14ac:dyDescent="0.4">
      <c r="A309" s="8">
        <v>3210</v>
      </c>
      <c r="B309" s="1" t="str">
        <f>_xlfn.XLOOKUP(_xlfn.CONCAT(A309,$B$1),PLANGRID!$A:$A,PLANGRID!$H:$H)</f>
        <v>closed</v>
      </c>
      <c r="C309" s="1" t="str">
        <f>_xlfn.XLOOKUP(_xlfn.CONCAT(A309,$C$1),PLANGRID!$A:$A,PLANGRID!$H:$H)</f>
        <v>closed</v>
      </c>
      <c r="D309" s="1" t="str">
        <f>_xlfn.XLOOKUP(_xlfn.CONCAT(A309,$D$1),PLANGRID!$A:$A,PLANGRID!$H:$H)</f>
        <v>closed</v>
      </c>
      <c r="E309" s="1" t="str">
        <f>_xlfn.XLOOKUP(_xlfn.CONCAT(A309,$E$1),PLANGRID!$A:$A,PLANGRID!$H:$H)</f>
        <v>closed</v>
      </c>
      <c r="F309" s="1" t="str">
        <f>_xlfn.XLOOKUP(_xlfn.CONCAT(A309,$F$1),PLANGRID!$A:$A,PLANGRID!$H:$H)</f>
        <v>closed</v>
      </c>
      <c r="G309" s="14" t="str">
        <f>_xlfn.XLOOKUP(_xlfn.CONCAT(A309,$G$1),PLANGRID!$A:$A,PLANGRID!$H:$H)</f>
        <v>closed</v>
      </c>
      <c r="H309" s="26"/>
    </row>
    <row r="310" spans="1:8" ht="22.5" customHeight="1" thickBot="1" x14ac:dyDescent="0.4">
      <c r="A310" s="8">
        <v>3301</v>
      </c>
      <c r="B310" s="1" t="str">
        <f>_xlfn.XLOOKUP(_xlfn.CONCAT(A310,$B$1),PLANGRID!$A:$A,PLANGRID!$H:$H)</f>
        <v>closed</v>
      </c>
      <c r="C310" s="1" t="str">
        <f>_xlfn.XLOOKUP(_xlfn.CONCAT(A310,$C$1),PLANGRID!$A:$A,PLANGRID!$H:$H)</f>
        <v>closed</v>
      </c>
      <c r="D310" s="1" t="str">
        <f>_xlfn.XLOOKUP(_xlfn.CONCAT(A310,$D$1),PLANGRID!$A:$A,PLANGRID!$H:$H)</f>
        <v>closed</v>
      </c>
      <c r="E310" s="1" t="str">
        <f>_xlfn.XLOOKUP(_xlfn.CONCAT(A310,$E$1),PLANGRID!$A:$A,PLANGRID!$H:$H)</f>
        <v>closed</v>
      </c>
      <c r="F310" s="1" t="str">
        <f>_xlfn.XLOOKUP(_xlfn.CONCAT(A310,$F$1),PLANGRID!$A:$A,PLANGRID!$H:$H)</f>
        <v>closed</v>
      </c>
      <c r="G310" s="14" t="str">
        <f>_xlfn.XLOOKUP(_xlfn.CONCAT(A310,$G$1),PLANGRID!$A:$A,PLANGRID!$H:$H)</f>
        <v>closed</v>
      </c>
      <c r="H310" s="26"/>
    </row>
    <row r="311" spans="1:8" ht="22.5" customHeight="1" thickBot="1" x14ac:dyDescent="0.4">
      <c r="A311" s="8">
        <v>3302</v>
      </c>
      <c r="B311" s="1" t="str">
        <f>_xlfn.XLOOKUP(_xlfn.CONCAT(A311,$B$1),PLANGRID!$A:$A,PLANGRID!$H:$H)</f>
        <v>closed</v>
      </c>
      <c r="C311" s="1" t="str">
        <f>_xlfn.XLOOKUP(_xlfn.CONCAT(A311,$C$1),PLANGRID!$A:$A,PLANGRID!$H:$H)</f>
        <v>closed</v>
      </c>
      <c r="D311" s="1" t="str">
        <f>_xlfn.XLOOKUP(_xlfn.CONCAT(A311,$D$1),PLANGRID!$A:$A,PLANGRID!$H:$H)</f>
        <v>closed</v>
      </c>
      <c r="E311" s="1" t="str">
        <f>_xlfn.XLOOKUP(_xlfn.CONCAT(A311,$E$1),PLANGRID!$A:$A,PLANGRID!$H:$H)</f>
        <v>closed</v>
      </c>
      <c r="F311" s="1" t="str">
        <f>_xlfn.XLOOKUP(_xlfn.CONCAT(A311,$F$1),PLANGRID!$A:$A,PLANGRID!$H:$H)</f>
        <v>closed</v>
      </c>
      <c r="G311" s="14" t="str">
        <f>_xlfn.XLOOKUP(_xlfn.CONCAT(A311,$G$1),PLANGRID!$A:$A,PLANGRID!$H:$H)</f>
        <v>closed</v>
      </c>
      <c r="H311" s="26"/>
    </row>
    <row r="312" spans="1:8" ht="22.5" customHeight="1" thickBot="1" x14ac:dyDescent="0.4">
      <c r="A312" s="8">
        <v>3303</v>
      </c>
      <c r="B312" s="1" t="str">
        <f>_xlfn.XLOOKUP(_xlfn.CONCAT(A312,$B$1),PLANGRID!$A:$A,PLANGRID!$H:$H)</f>
        <v>closed</v>
      </c>
      <c r="C312" s="1" t="str">
        <f>_xlfn.XLOOKUP(_xlfn.CONCAT(A312,$C$1),PLANGRID!$A:$A,PLANGRID!$H:$H)</f>
        <v>closed</v>
      </c>
      <c r="D312" s="1" t="str">
        <f>_xlfn.XLOOKUP(_xlfn.CONCAT(A312,$D$1),PLANGRID!$A:$A,PLANGRID!$H:$H)</f>
        <v>closed</v>
      </c>
      <c r="E312" s="1" t="str">
        <f>_xlfn.XLOOKUP(_xlfn.CONCAT(A312,$E$1),PLANGRID!$A:$A,PLANGRID!$H:$H)</f>
        <v>closed</v>
      </c>
      <c r="F312" s="1" t="str">
        <f>_xlfn.XLOOKUP(_xlfn.CONCAT(A312,$F$1),PLANGRID!$A:$A,PLANGRID!$H:$H)</f>
        <v>closed</v>
      </c>
      <c r="G312" s="14" t="str">
        <f>_xlfn.XLOOKUP(_xlfn.CONCAT(A312,$G$1),PLANGRID!$A:$A,PLANGRID!$H:$H)</f>
        <v>closed</v>
      </c>
      <c r="H312" s="26"/>
    </row>
    <row r="313" spans="1:8" ht="22.5" customHeight="1" thickBot="1" x14ac:dyDescent="0.4">
      <c r="A313" s="8">
        <v>3304</v>
      </c>
      <c r="B313" s="1" t="str">
        <f>_xlfn.XLOOKUP(_xlfn.CONCAT(A313,$B$1),PLANGRID!$A:$A,PLANGRID!$H:$H)</f>
        <v>closed</v>
      </c>
      <c r="C313" s="1" t="str">
        <f>_xlfn.XLOOKUP(_xlfn.CONCAT(A313,$C$1),PLANGRID!$A:$A,PLANGRID!$H:$H)</f>
        <v>closed</v>
      </c>
      <c r="D313" s="1" t="str">
        <f>_xlfn.XLOOKUP(_xlfn.CONCAT(A313,$D$1),PLANGRID!$A:$A,PLANGRID!$H:$H)</f>
        <v>closed</v>
      </c>
      <c r="E313" s="1" t="str">
        <f>_xlfn.XLOOKUP(_xlfn.CONCAT(A313,$E$1),PLANGRID!$A:$A,PLANGRID!$H:$H)</f>
        <v>closed</v>
      </c>
      <c r="F313" s="1" t="str">
        <f>_xlfn.XLOOKUP(_xlfn.CONCAT(A313,$F$1),PLANGRID!$A:$A,PLANGRID!$H:$H)</f>
        <v>closed</v>
      </c>
      <c r="G313" s="14" t="str">
        <f>_xlfn.XLOOKUP(_xlfn.CONCAT(A313,$G$1),PLANGRID!$A:$A,PLANGRID!$H:$H)</f>
        <v>closed</v>
      </c>
      <c r="H313" s="26"/>
    </row>
    <row r="314" spans="1:8" ht="22.5" customHeight="1" thickBot="1" x14ac:dyDescent="0.4">
      <c r="A314" s="8">
        <v>3305</v>
      </c>
      <c r="B314" s="1" t="str">
        <f>_xlfn.XLOOKUP(_xlfn.CONCAT(A314,$B$1),PLANGRID!$A:$A,PLANGRID!$H:$H)</f>
        <v>closed</v>
      </c>
      <c r="C314" s="1" t="str">
        <f>_xlfn.XLOOKUP(_xlfn.CONCAT(A314,$C$1),PLANGRID!$A:$A,PLANGRID!$H:$H)</f>
        <v>closed</v>
      </c>
      <c r="D314" s="1" t="str">
        <f>_xlfn.XLOOKUP(_xlfn.CONCAT(A314,$D$1),PLANGRID!$A:$A,PLANGRID!$H:$H)</f>
        <v>closed</v>
      </c>
      <c r="E314" s="1" t="str">
        <f>_xlfn.XLOOKUP(_xlfn.CONCAT(A314,$E$1),PLANGRID!$A:$A,PLANGRID!$H:$H)</f>
        <v>closed</v>
      </c>
      <c r="F314" s="1" t="str">
        <f>_xlfn.XLOOKUP(_xlfn.CONCAT(A314,$F$1),PLANGRID!$A:$A,PLANGRID!$H:$H)</f>
        <v>closed</v>
      </c>
      <c r="G314" s="14" t="str">
        <f>_xlfn.XLOOKUP(_xlfn.CONCAT(A314,$G$1),PLANGRID!$A:$A,PLANGRID!$H:$H)</f>
        <v>closed</v>
      </c>
      <c r="H314" s="26"/>
    </row>
    <row r="315" spans="1:8" ht="22.5" customHeight="1" thickBot="1" x14ac:dyDescent="0.4">
      <c r="A315" s="8">
        <v>3306</v>
      </c>
      <c r="B315" s="1" t="str">
        <f>_xlfn.XLOOKUP(_xlfn.CONCAT(A315,$B$1),PLANGRID!$A:$A,PLANGRID!$H:$H)</f>
        <v>closed</v>
      </c>
      <c r="C315" s="1" t="str">
        <f>_xlfn.XLOOKUP(_xlfn.CONCAT(A315,$C$1),PLANGRID!$A:$A,PLANGRID!$H:$H)</f>
        <v>closed</v>
      </c>
      <c r="D315" s="1" t="str">
        <f>_xlfn.XLOOKUP(_xlfn.CONCAT(A315,$D$1),PLANGRID!$A:$A,PLANGRID!$H:$H)</f>
        <v>closed</v>
      </c>
      <c r="E315" s="1" t="str">
        <f>_xlfn.XLOOKUP(_xlfn.CONCAT(A315,$E$1),PLANGRID!$A:$A,PLANGRID!$H:$H)</f>
        <v>closed</v>
      </c>
      <c r="F315" s="1" t="str">
        <f>_xlfn.XLOOKUP(_xlfn.CONCAT(A315,$F$1),PLANGRID!$A:$A,PLANGRID!$H:$H)</f>
        <v>closed</v>
      </c>
      <c r="G315" s="14" t="str">
        <f>_xlfn.XLOOKUP(_xlfn.CONCAT(A315,$G$1),PLANGRID!$A:$A,PLANGRID!$H:$H)</f>
        <v>closed</v>
      </c>
      <c r="H315" s="26"/>
    </row>
    <row r="316" spans="1:8" ht="22.5" customHeight="1" thickBot="1" x14ac:dyDescent="0.4">
      <c r="A316" s="8">
        <v>3307</v>
      </c>
      <c r="B316" s="1" t="str">
        <f>_xlfn.XLOOKUP(_xlfn.CONCAT(A316,$B$1),PLANGRID!$A:$A,PLANGRID!$H:$H)</f>
        <v>closed</v>
      </c>
      <c r="C316" s="1" t="str">
        <f>_xlfn.XLOOKUP(_xlfn.CONCAT(A316,$C$1),PLANGRID!$A:$A,PLANGRID!$H:$H)</f>
        <v>closed</v>
      </c>
      <c r="D316" s="1" t="str">
        <f>_xlfn.XLOOKUP(_xlfn.CONCAT(A316,$D$1),PLANGRID!$A:$A,PLANGRID!$H:$H)</f>
        <v>closed</v>
      </c>
      <c r="E316" s="1" t="str">
        <f>_xlfn.XLOOKUP(_xlfn.CONCAT(A316,$E$1),PLANGRID!$A:$A,PLANGRID!$H:$H)</f>
        <v>closed</v>
      </c>
      <c r="F316" s="1" t="str">
        <f>_xlfn.XLOOKUP(_xlfn.CONCAT(A316,$F$1),PLANGRID!$A:$A,PLANGRID!$H:$H)</f>
        <v>closed</v>
      </c>
      <c r="G316" s="14" t="str">
        <f>_xlfn.XLOOKUP(_xlfn.CONCAT(A316,$G$1),PLANGRID!$A:$A,PLANGRID!$H:$H)</f>
        <v>closed</v>
      </c>
      <c r="H316" s="26"/>
    </row>
    <row r="317" spans="1:8" ht="22.5" customHeight="1" thickBot="1" x14ac:dyDescent="0.4">
      <c r="A317" s="8">
        <v>3308</v>
      </c>
      <c r="B317" s="1" t="str">
        <f>_xlfn.XLOOKUP(_xlfn.CONCAT(A317,$B$1),PLANGRID!$A:$A,PLANGRID!$H:$H)</f>
        <v>closed</v>
      </c>
      <c r="C317" s="1" t="str">
        <f>_xlfn.XLOOKUP(_xlfn.CONCAT(A317,$C$1),PLANGRID!$A:$A,PLANGRID!$H:$H)</f>
        <v>closed</v>
      </c>
      <c r="D317" s="1" t="str">
        <f>_xlfn.XLOOKUP(_xlfn.CONCAT(A317,$D$1),PLANGRID!$A:$A,PLANGRID!$H:$H)</f>
        <v>closed</v>
      </c>
      <c r="E317" s="1" t="str">
        <f>_xlfn.XLOOKUP(_xlfn.CONCAT(A317,$E$1),PLANGRID!$A:$A,PLANGRID!$H:$H)</f>
        <v>closed</v>
      </c>
      <c r="F317" s="1" t="str">
        <f>_xlfn.XLOOKUP(_xlfn.CONCAT(A317,$F$1),PLANGRID!$A:$A,PLANGRID!$H:$H)</f>
        <v>closed</v>
      </c>
      <c r="G317" s="14" t="str">
        <f>_xlfn.XLOOKUP(_xlfn.CONCAT(A317,$G$1),PLANGRID!$A:$A,PLANGRID!$H:$H)</f>
        <v>closed</v>
      </c>
      <c r="H317" s="26"/>
    </row>
    <row r="318" spans="1:8" ht="22.5" customHeight="1" thickBot="1" x14ac:dyDescent="0.4">
      <c r="A318" s="8">
        <v>3309</v>
      </c>
      <c r="B318" s="1" t="str">
        <f>_xlfn.XLOOKUP(_xlfn.CONCAT(A318,$B$1),PLANGRID!$A:$A,PLANGRID!$H:$H)</f>
        <v>closed</v>
      </c>
      <c r="C318" s="1" t="str">
        <f>_xlfn.XLOOKUP(_xlfn.CONCAT(A318,$C$1),PLANGRID!$A:$A,PLANGRID!$H:$H)</f>
        <v>closed</v>
      </c>
      <c r="D318" s="1" t="str">
        <f>_xlfn.XLOOKUP(_xlfn.CONCAT(A318,$D$1),PLANGRID!$A:$A,PLANGRID!$H:$H)</f>
        <v>closed</v>
      </c>
      <c r="E318" s="1" t="str">
        <f>_xlfn.XLOOKUP(_xlfn.CONCAT(A318,$E$1),PLANGRID!$A:$A,PLANGRID!$H:$H)</f>
        <v>closed</v>
      </c>
      <c r="F318" s="1" t="str">
        <f>_xlfn.XLOOKUP(_xlfn.CONCAT(A318,$F$1),PLANGRID!$A:$A,PLANGRID!$H:$H)</f>
        <v>closed</v>
      </c>
      <c r="G318" s="14" t="str">
        <f>_xlfn.XLOOKUP(_xlfn.CONCAT(A318,$G$1),PLANGRID!$A:$A,PLANGRID!$H:$H)</f>
        <v>closed</v>
      </c>
      <c r="H318" s="26"/>
    </row>
    <row r="319" spans="1:8" ht="22.5" customHeight="1" thickBot="1" x14ac:dyDescent="0.4">
      <c r="A319" s="8">
        <v>3401</v>
      </c>
      <c r="B319" s="1" t="str">
        <f>_xlfn.XLOOKUP(_xlfn.CONCAT(A319,$B$1),PLANGRID!$A:$A,PLANGRID!$H:$H)</f>
        <v>closed</v>
      </c>
      <c r="C319" s="1" t="str">
        <f>_xlfn.XLOOKUP(_xlfn.CONCAT(A319,$C$1),PLANGRID!$A:$A,PLANGRID!$H:$H)</f>
        <v>closed</v>
      </c>
      <c r="D319" s="1" t="str">
        <f>_xlfn.XLOOKUP(_xlfn.CONCAT(A319,$D$1),PLANGRID!$A:$A,PLANGRID!$H:$H)</f>
        <v>closed</v>
      </c>
      <c r="E319" s="1" t="str">
        <f>_xlfn.XLOOKUP(_xlfn.CONCAT(A319,$E$1),PLANGRID!$A:$A,PLANGRID!$H:$H)</f>
        <v>closed</v>
      </c>
      <c r="F319" s="1" t="str">
        <f>_xlfn.XLOOKUP(_xlfn.CONCAT(A319,$F$1),PLANGRID!$A:$A,PLANGRID!$H:$H)</f>
        <v>closed</v>
      </c>
      <c r="G319" s="14" t="str">
        <f>_xlfn.XLOOKUP(_xlfn.CONCAT(A319,$G$1),PLANGRID!$A:$A,PLANGRID!$H:$H)</f>
        <v>closed</v>
      </c>
      <c r="H319" s="26"/>
    </row>
    <row r="320" spans="1:8" ht="22.5" customHeight="1" thickBot="1" x14ac:dyDescent="0.4">
      <c r="A320" s="8">
        <v>3402</v>
      </c>
      <c r="B320" s="1" t="str">
        <f>_xlfn.XLOOKUP(_xlfn.CONCAT(A320,$B$1),PLANGRID!$A:$A,PLANGRID!$H:$H)</f>
        <v>closed</v>
      </c>
      <c r="C320" s="1" t="str">
        <f>_xlfn.XLOOKUP(_xlfn.CONCAT(A320,$C$1),PLANGRID!$A:$A,PLANGRID!$H:$H)</f>
        <v>closed</v>
      </c>
      <c r="D320" s="1" t="str">
        <f>_xlfn.XLOOKUP(_xlfn.CONCAT(A320,$D$1),PLANGRID!$A:$A,PLANGRID!$H:$H)</f>
        <v>closed</v>
      </c>
      <c r="E320" s="1" t="str">
        <f>_xlfn.XLOOKUP(_xlfn.CONCAT(A320,$E$1),PLANGRID!$A:$A,PLANGRID!$H:$H)</f>
        <v>closed</v>
      </c>
      <c r="F320" s="1" t="str">
        <f>_xlfn.XLOOKUP(_xlfn.CONCAT(A320,$F$1),PLANGRID!$A:$A,PLANGRID!$H:$H)</f>
        <v>closed</v>
      </c>
      <c r="G320" s="14" t="str">
        <f>_xlfn.XLOOKUP(_xlfn.CONCAT(A320,$G$1),PLANGRID!$A:$A,PLANGRID!$H:$H)</f>
        <v>closed</v>
      </c>
      <c r="H320" s="26"/>
    </row>
    <row r="321" spans="1:8" ht="22.5" customHeight="1" thickBot="1" x14ac:dyDescent="0.4">
      <c r="A321" s="8">
        <v>3403</v>
      </c>
      <c r="B321" s="1" t="str">
        <f>_xlfn.XLOOKUP(_xlfn.CONCAT(A321,$B$1),PLANGRID!$A:$A,PLANGRID!$H:$H)</f>
        <v>closed</v>
      </c>
      <c r="C321" s="1" t="str">
        <f>_xlfn.XLOOKUP(_xlfn.CONCAT(A321,$C$1),PLANGRID!$A:$A,PLANGRID!$H:$H)</f>
        <v>closed</v>
      </c>
      <c r="D321" s="1" t="str">
        <f>_xlfn.XLOOKUP(_xlfn.CONCAT(A321,$D$1),PLANGRID!$A:$A,PLANGRID!$H:$H)</f>
        <v>closed</v>
      </c>
      <c r="E321" s="1" t="str">
        <f>_xlfn.XLOOKUP(_xlfn.CONCAT(A321,$E$1),PLANGRID!$A:$A,PLANGRID!$H:$H)</f>
        <v>closed</v>
      </c>
      <c r="F321" s="1" t="str">
        <f>_xlfn.XLOOKUP(_xlfn.CONCAT(A321,$F$1),PLANGRID!$A:$A,PLANGRID!$H:$H)</f>
        <v>closed</v>
      </c>
      <c r="G321" s="14" t="str">
        <f>_xlfn.XLOOKUP(_xlfn.CONCAT(A321,$G$1),PLANGRID!$A:$A,PLANGRID!$H:$H)</f>
        <v>closed</v>
      </c>
      <c r="H321" s="26"/>
    </row>
    <row r="322" spans="1:8" ht="22.5" customHeight="1" thickBot="1" x14ac:dyDescent="0.4">
      <c r="A322" s="8">
        <v>3404</v>
      </c>
      <c r="B322" s="1" t="str">
        <f>_xlfn.XLOOKUP(_xlfn.CONCAT(A322,$B$1),PLANGRID!$A:$A,PLANGRID!$H:$H)</f>
        <v>closed</v>
      </c>
      <c r="C322" s="1" t="str">
        <f>_xlfn.XLOOKUP(_xlfn.CONCAT(A322,$C$1),PLANGRID!$A:$A,PLANGRID!$H:$H)</f>
        <v>closed</v>
      </c>
      <c r="D322" s="1" t="str">
        <f>_xlfn.XLOOKUP(_xlfn.CONCAT(A322,$D$1),PLANGRID!$A:$A,PLANGRID!$H:$H)</f>
        <v>closed</v>
      </c>
      <c r="E322" s="1" t="str">
        <f>_xlfn.XLOOKUP(_xlfn.CONCAT(A322,$E$1),PLANGRID!$A:$A,PLANGRID!$H:$H)</f>
        <v>closed</v>
      </c>
      <c r="F322" s="1" t="str">
        <f>_xlfn.XLOOKUP(_xlfn.CONCAT(A322,$F$1),PLANGRID!$A:$A,PLANGRID!$H:$H)</f>
        <v>closed</v>
      </c>
      <c r="G322" s="14" t="str">
        <f>_xlfn.XLOOKUP(_xlfn.CONCAT(A322,$G$1),PLANGRID!$A:$A,PLANGRID!$H:$H)</f>
        <v>closed</v>
      </c>
      <c r="H322" s="26"/>
    </row>
    <row r="323" spans="1:8" ht="22.5" customHeight="1" thickBot="1" x14ac:dyDescent="0.4">
      <c r="A323" s="8">
        <v>3405</v>
      </c>
      <c r="B323" s="1" t="str">
        <f>_xlfn.XLOOKUP(_xlfn.CONCAT(A323,$B$1),PLANGRID!$A:$A,PLANGRID!$H:$H)</f>
        <v>closed</v>
      </c>
      <c r="C323" s="1" t="str">
        <f>_xlfn.XLOOKUP(_xlfn.CONCAT(A323,$C$1),PLANGRID!$A:$A,PLANGRID!$H:$H)</f>
        <v>closed</v>
      </c>
      <c r="D323" s="1" t="str">
        <f>_xlfn.XLOOKUP(_xlfn.CONCAT(A323,$D$1),PLANGRID!$A:$A,PLANGRID!$H:$H)</f>
        <v>closed</v>
      </c>
      <c r="E323" s="1" t="str">
        <f>_xlfn.XLOOKUP(_xlfn.CONCAT(A323,$E$1),PLANGRID!$A:$A,PLANGRID!$H:$H)</f>
        <v>closed</v>
      </c>
      <c r="F323" s="1" t="str">
        <f>_xlfn.XLOOKUP(_xlfn.CONCAT(A323,$F$1),PLANGRID!$A:$A,PLANGRID!$H:$H)</f>
        <v>closed</v>
      </c>
      <c r="G323" s="14" t="str">
        <f>_xlfn.XLOOKUP(_xlfn.CONCAT(A323,$G$1),PLANGRID!$A:$A,PLANGRID!$H:$H)</f>
        <v>closed</v>
      </c>
      <c r="H323" s="26"/>
    </row>
    <row r="324" spans="1:8" ht="22.5" customHeight="1" thickBot="1" x14ac:dyDescent="0.4">
      <c r="A324" s="8">
        <v>3406</v>
      </c>
      <c r="B324" s="1" t="str">
        <f>_xlfn.XLOOKUP(_xlfn.CONCAT(A324,$B$1),PLANGRID!$A:$A,PLANGRID!$H:$H)</f>
        <v>closed</v>
      </c>
      <c r="C324" s="1" t="str">
        <f>_xlfn.XLOOKUP(_xlfn.CONCAT(A324,$C$1),PLANGRID!$A:$A,PLANGRID!$H:$H)</f>
        <v>closed</v>
      </c>
      <c r="D324" s="1" t="str">
        <f>_xlfn.XLOOKUP(_xlfn.CONCAT(A324,$D$1),PLANGRID!$A:$A,PLANGRID!$H:$H)</f>
        <v>closed</v>
      </c>
      <c r="E324" s="1" t="str">
        <f>_xlfn.XLOOKUP(_xlfn.CONCAT(A324,$E$1),PLANGRID!$A:$A,PLANGRID!$H:$H)</f>
        <v>closed</v>
      </c>
      <c r="F324" s="1" t="str">
        <f>_xlfn.XLOOKUP(_xlfn.CONCAT(A324,$F$1),PLANGRID!$A:$A,PLANGRID!$H:$H)</f>
        <v>closed</v>
      </c>
      <c r="G324" s="14" t="str">
        <f>_xlfn.XLOOKUP(_xlfn.CONCAT(A324,$G$1),PLANGRID!$A:$A,PLANGRID!$H:$H)</f>
        <v>closed</v>
      </c>
      <c r="H324" s="26"/>
    </row>
    <row r="325" spans="1:8" ht="22.5" customHeight="1" thickBot="1" x14ac:dyDescent="0.4">
      <c r="A325" s="8">
        <v>3407</v>
      </c>
      <c r="B325" s="1" t="str">
        <f>_xlfn.XLOOKUP(_xlfn.CONCAT(A325,$B$1),PLANGRID!$A:$A,PLANGRID!$H:$H)</f>
        <v>closed</v>
      </c>
      <c r="C325" s="1" t="str">
        <f>_xlfn.XLOOKUP(_xlfn.CONCAT(A325,$C$1),PLANGRID!$A:$A,PLANGRID!$H:$H)</f>
        <v>closed</v>
      </c>
      <c r="D325" s="1" t="str">
        <f>_xlfn.XLOOKUP(_xlfn.CONCAT(A325,$D$1),PLANGRID!$A:$A,PLANGRID!$H:$H)</f>
        <v>closed</v>
      </c>
      <c r="E325" s="1" t="str">
        <f>_xlfn.XLOOKUP(_xlfn.CONCAT(A325,$E$1),PLANGRID!$A:$A,PLANGRID!$H:$H)</f>
        <v>closed</v>
      </c>
      <c r="F325" s="1" t="str">
        <f>_xlfn.XLOOKUP(_xlfn.CONCAT(A325,$F$1),PLANGRID!$A:$A,PLANGRID!$H:$H)</f>
        <v>closed</v>
      </c>
      <c r="G325" s="14" t="str">
        <f>_xlfn.XLOOKUP(_xlfn.CONCAT(A325,$G$1),PLANGRID!$A:$A,PLANGRID!$H:$H)</f>
        <v>closed</v>
      </c>
      <c r="H325" s="26"/>
    </row>
    <row r="326" spans="1:8" ht="22.5" customHeight="1" thickBot="1" x14ac:dyDescent="0.4">
      <c r="A326" s="8">
        <v>3408</v>
      </c>
      <c r="B326" s="1" t="str">
        <f>_xlfn.XLOOKUP(_xlfn.CONCAT(A326,$B$1),PLANGRID!$A:$A,PLANGRID!$H:$H)</f>
        <v>closed</v>
      </c>
      <c r="C326" s="1" t="str">
        <f>_xlfn.XLOOKUP(_xlfn.CONCAT(A326,$C$1),PLANGRID!$A:$A,PLANGRID!$H:$H)</f>
        <v>closed</v>
      </c>
      <c r="D326" s="1" t="str">
        <f>_xlfn.XLOOKUP(_xlfn.CONCAT(A326,$D$1),PLANGRID!$A:$A,PLANGRID!$H:$H)</f>
        <v>closed</v>
      </c>
      <c r="E326" s="1" t="str">
        <f>_xlfn.XLOOKUP(_xlfn.CONCAT(A326,$E$1),PLANGRID!$A:$A,PLANGRID!$H:$H)</f>
        <v>closed</v>
      </c>
      <c r="F326" s="1" t="str">
        <f>_xlfn.XLOOKUP(_xlfn.CONCAT(A326,$F$1),PLANGRID!$A:$A,PLANGRID!$H:$H)</f>
        <v>closed</v>
      </c>
      <c r="G326" s="14" t="str">
        <f>_xlfn.XLOOKUP(_xlfn.CONCAT(A326,$G$1),PLANGRID!$A:$A,PLANGRID!$H:$H)</f>
        <v>closed</v>
      </c>
      <c r="H326" s="26"/>
    </row>
    <row r="327" spans="1:8" ht="22.5" customHeight="1" thickBot="1" x14ac:dyDescent="0.4">
      <c r="A327" s="8">
        <v>3409</v>
      </c>
      <c r="B327" s="1" t="str">
        <f>_xlfn.XLOOKUP(_xlfn.CONCAT(A327,$B$1),PLANGRID!$A:$A,PLANGRID!$H:$H)</f>
        <v>closed</v>
      </c>
      <c r="C327" s="1" t="str">
        <f>_xlfn.XLOOKUP(_xlfn.CONCAT(A327,$C$1),PLANGRID!$A:$A,PLANGRID!$H:$H)</f>
        <v>closed</v>
      </c>
      <c r="D327" s="1" t="str">
        <f>_xlfn.XLOOKUP(_xlfn.CONCAT(A327,$D$1),PLANGRID!$A:$A,PLANGRID!$H:$H)</f>
        <v>closed</v>
      </c>
      <c r="E327" s="1" t="str">
        <f>_xlfn.XLOOKUP(_xlfn.CONCAT(A327,$E$1),PLANGRID!$A:$A,PLANGRID!$H:$H)</f>
        <v>closed</v>
      </c>
      <c r="F327" s="1" t="str">
        <f>_xlfn.XLOOKUP(_xlfn.CONCAT(A327,$F$1),PLANGRID!$A:$A,PLANGRID!$H:$H)</f>
        <v>closed</v>
      </c>
      <c r="G327" s="14" t="str">
        <f>_xlfn.XLOOKUP(_xlfn.CONCAT(A327,$G$1),PLANGRID!$A:$A,PLANGRID!$H:$H)</f>
        <v>closed</v>
      </c>
      <c r="H327" s="26"/>
    </row>
    <row r="328" spans="1:8" ht="22.5" customHeight="1" thickBot="1" x14ac:dyDescent="0.4">
      <c r="A328" s="8">
        <v>3410</v>
      </c>
      <c r="B328" s="1" t="str">
        <f>_xlfn.XLOOKUP(_xlfn.CONCAT(A328,$B$1),PLANGRID!$A:$A,PLANGRID!$H:$H)</f>
        <v>closed</v>
      </c>
      <c r="C328" s="1" t="str">
        <f>_xlfn.XLOOKUP(_xlfn.CONCAT(A328,$C$1),PLANGRID!$A:$A,PLANGRID!$H:$H)</f>
        <v>closed</v>
      </c>
      <c r="D328" s="1" t="str">
        <f>_xlfn.XLOOKUP(_xlfn.CONCAT(A328,$D$1),PLANGRID!$A:$A,PLANGRID!$H:$H)</f>
        <v>closed</v>
      </c>
      <c r="E328" s="1" t="str">
        <f>_xlfn.XLOOKUP(_xlfn.CONCAT(A328,$E$1),PLANGRID!$A:$A,PLANGRID!$H:$H)</f>
        <v>closed</v>
      </c>
      <c r="F328" s="1" t="str">
        <f>_xlfn.XLOOKUP(_xlfn.CONCAT(A328,$F$1),PLANGRID!$A:$A,PLANGRID!$H:$H)</f>
        <v>closed</v>
      </c>
      <c r="G328" s="14" t="str">
        <f>_xlfn.XLOOKUP(_xlfn.CONCAT(A328,$G$1),PLANGRID!$A:$A,PLANGRID!$H:$H)</f>
        <v>closed</v>
      </c>
      <c r="H328" s="26"/>
    </row>
    <row r="329" spans="1:8" ht="22.5" customHeight="1" thickBot="1" x14ac:dyDescent="0.4">
      <c r="A329" s="8">
        <v>3501</v>
      </c>
      <c r="B329" s="1" t="str">
        <f>_xlfn.XLOOKUP(_xlfn.CONCAT(A329,$B$1),PLANGRID!$A:$A,PLANGRID!$H:$H)</f>
        <v>closed</v>
      </c>
      <c r="C329" s="1" t="str">
        <f>_xlfn.XLOOKUP(_xlfn.CONCAT(A329,$C$1),PLANGRID!$A:$A,PLANGRID!$H:$H)</f>
        <v>closed</v>
      </c>
      <c r="D329" s="1" t="str">
        <f>_xlfn.XLOOKUP(_xlfn.CONCAT(A329,$D$1),PLANGRID!$A:$A,PLANGRID!$H:$H)</f>
        <v>closed</v>
      </c>
      <c r="E329" s="1" t="str">
        <f>_xlfn.XLOOKUP(_xlfn.CONCAT(A329,$E$1),PLANGRID!$A:$A,PLANGRID!$H:$H)</f>
        <v>closed</v>
      </c>
      <c r="F329" s="1" t="str">
        <f>_xlfn.XLOOKUP(_xlfn.CONCAT(A329,$F$1),PLANGRID!$A:$A,PLANGRID!$H:$H)</f>
        <v>closed</v>
      </c>
      <c r="G329" s="14" t="str">
        <f>_xlfn.XLOOKUP(_xlfn.CONCAT(A329,$G$1),PLANGRID!$A:$A,PLANGRID!$H:$H)</f>
        <v>closed</v>
      </c>
      <c r="H329" s="26"/>
    </row>
    <row r="330" spans="1:8" ht="22.5" customHeight="1" thickBot="1" x14ac:dyDescent="0.4">
      <c r="A330" s="8">
        <v>3502</v>
      </c>
      <c r="B330" s="1" t="str">
        <f>_xlfn.XLOOKUP(_xlfn.CONCAT(A330,$B$1),PLANGRID!$A:$A,PLANGRID!$H:$H)</f>
        <v>closed</v>
      </c>
      <c r="C330" s="1" t="str">
        <f>_xlfn.XLOOKUP(_xlfn.CONCAT(A330,$C$1),PLANGRID!$A:$A,PLANGRID!$H:$H)</f>
        <v>closed</v>
      </c>
      <c r="D330" s="1" t="str">
        <f>_xlfn.XLOOKUP(_xlfn.CONCAT(A330,$D$1),PLANGRID!$A:$A,PLANGRID!$H:$H)</f>
        <v>closed</v>
      </c>
      <c r="E330" s="1" t="str">
        <f>_xlfn.XLOOKUP(_xlfn.CONCAT(A330,$E$1),PLANGRID!$A:$A,PLANGRID!$H:$H)</f>
        <v>closed</v>
      </c>
      <c r="F330" s="1" t="str">
        <f>_xlfn.XLOOKUP(_xlfn.CONCAT(A330,$F$1),PLANGRID!$A:$A,PLANGRID!$H:$H)</f>
        <v>closed</v>
      </c>
      <c r="G330" s="14" t="str">
        <f>_xlfn.XLOOKUP(_xlfn.CONCAT(A330,$G$1),PLANGRID!$A:$A,PLANGRID!$H:$H)</f>
        <v>closed</v>
      </c>
      <c r="H330" s="26"/>
    </row>
    <row r="331" spans="1:8" ht="22.5" customHeight="1" thickBot="1" x14ac:dyDescent="0.4">
      <c r="A331" s="8">
        <v>3503</v>
      </c>
      <c r="B331" s="1" t="str">
        <f>_xlfn.XLOOKUP(_xlfn.CONCAT(A331,$B$1),PLANGRID!$A:$A,PLANGRID!$H:$H)</f>
        <v>closed</v>
      </c>
      <c r="C331" s="1" t="str">
        <f>_xlfn.XLOOKUP(_xlfn.CONCAT(A331,$C$1),PLANGRID!$A:$A,PLANGRID!$H:$H)</f>
        <v>closed</v>
      </c>
      <c r="D331" s="1" t="str">
        <f>_xlfn.XLOOKUP(_xlfn.CONCAT(A331,$D$1),PLANGRID!$A:$A,PLANGRID!$H:$H)</f>
        <v>closed</v>
      </c>
      <c r="E331" s="1" t="str">
        <f>_xlfn.XLOOKUP(_xlfn.CONCAT(A331,$E$1),PLANGRID!$A:$A,PLANGRID!$H:$H)</f>
        <v>closed</v>
      </c>
      <c r="F331" s="1" t="str">
        <f>_xlfn.XLOOKUP(_xlfn.CONCAT(A331,$F$1),PLANGRID!$A:$A,PLANGRID!$H:$H)</f>
        <v>closed</v>
      </c>
      <c r="G331" s="14" t="str">
        <f>_xlfn.XLOOKUP(_xlfn.CONCAT(A331,$G$1),PLANGRID!$A:$A,PLANGRID!$H:$H)</f>
        <v>closed</v>
      </c>
      <c r="H331" s="26"/>
    </row>
    <row r="332" spans="1:8" ht="22.5" customHeight="1" thickBot="1" x14ac:dyDescent="0.4">
      <c r="A332" s="8">
        <v>3504</v>
      </c>
      <c r="B332" s="1" t="str">
        <f>_xlfn.XLOOKUP(_xlfn.CONCAT(A332,$B$1),PLANGRID!$A:$A,PLANGRID!$H:$H)</f>
        <v>closed</v>
      </c>
      <c r="C332" s="1" t="str">
        <f>_xlfn.XLOOKUP(_xlfn.CONCAT(A332,$C$1),PLANGRID!$A:$A,PLANGRID!$H:$H)</f>
        <v>closed</v>
      </c>
      <c r="D332" s="1" t="str">
        <f>_xlfn.XLOOKUP(_xlfn.CONCAT(A332,$D$1),PLANGRID!$A:$A,PLANGRID!$H:$H)</f>
        <v>closed</v>
      </c>
      <c r="E332" s="1" t="str">
        <f>_xlfn.XLOOKUP(_xlfn.CONCAT(A332,$E$1),PLANGRID!$A:$A,PLANGRID!$H:$H)</f>
        <v>closed</v>
      </c>
      <c r="F332" s="1" t="str">
        <f>_xlfn.XLOOKUP(_xlfn.CONCAT(A332,$F$1),PLANGRID!$A:$A,PLANGRID!$H:$H)</f>
        <v>closed</v>
      </c>
      <c r="G332" s="14" t="str">
        <f>_xlfn.XLOOKUP(_xlfn.CONCAT(A332,$G$1),PLANGRID!$A:$A,PLANGRID!$H:$H)</f>
        <v>closed</v>
      </c>
      <c r="H332" s="26"/>
    </row>
    <row r="333" spans="1:8" ht="22.5" customHeight="1" thickBot="1" x14ac:dyDescent="0.4">
      <c r="A333" s="8">
        <v>3505</v>
      </c>
      <c r="B333" s="1" t="str">
        <f>_xlfn.XLOOKUP(_xlfn.CONCAT(A333,$B$1),PLANGRID!$A:$A,PLANGRID!$H:$H)</f>
        <v>closed</v>
      </c>
      <c r="C333" s="1" t="str">
        <f>_xlfn.XLOOKUP(_xlfn.CONCAT(A333,$C$1),PLANGRID!$A:$A,PLANGRID!$H:$H)</f>
        <v>closed</v>
      </c>
      <c r="D333" s="1" t="str">
        <f>_xlfn.XLOOKUP(_xlfn.CONCAT(A333,$D$1),PLANGRID!$A:$A,PLANGRID!$H:$H)</f>
        <v>closed</v>
      </c>
      <c r="E333" s="1" t="str">
        <f>_xlfn.XLOOKUP(_xlfn.CONCAT(A333,$E$1),PLANGRID!$A:$A,PLANGRID!$H:$H)</f>
        <v>closed</v>
      </c>
      <c r="F333" s="1" t="str">
        <f>_xlfn.XLOOKUP(_xlfn.CONCAT(A333,$F$1),PLANGRID!$A:$A,PLANGRID!$H:$H)</f>
        <v>closed</v>
      </c>
      <c r="G333" s="14" t="str">
        <f>_xlfn.XLOOKUP(_xlfn.CONCAT(A333,$G$1),PLANGRID!$A:$A,PLANGRID!$H:$H)</f>
        <v>closed</v>
      </c>
      <c r="H333" s="26"/>
    </row>
    <row r="334" spans="1:8" ht="22.5" customHeight="1" thickBot="1" x14ac:dyDescent="0.4">
      <c r="A334" s="8">
        <v>3506</v>
      </c>
      <c r="B334" s="1" t="str">
        <f>_xlfn.XLOOKUP(_xlfn.CONCAT(A334,$B$1),PLANGRID!$A:$A,PLANGRID!$H:$H)</f>
        <v>closed</v>
      </c>
      <c r="C334" s="1" t="str">
        <f>_xlfn.XLOOKUP(_xlfn.CONCAT(A334,$C$1),PLANGRID!$A:$A,PLANGRID!$H:$H)</f>
        <v>closed</v>
      </c>
      <c r="D334" s="1" t="str">
        <f>_xlfn.XLOOKUP(_xlfn.CONCAT(A334,$D$1),PLANGRID!$A:$A,PLANGRID!$H:$H)</f>
        <v>closed</v>
      </c>
      <c r="E334" s="1" t="str">
        <f>_xlfn.XLOOKUP(_xlfn.CONCAT(A334,$E$1),PLANGRID!$A:$A,PLANGRID!$H:$H)</f>
        <v>closed</v>
      </c>
      <c r="F334" s="1" t="str">
        <f>_xlfn.XLOOKUP(_xlfn.CONCAT(A334,$F$1),PLANGRID!$A:$A,PLANGRID!$H:$H)</f>
        <v>closed</v>
      </c>
      <c r="G334" s="14" t="str">
        <f>_xlfn.XLOOKUP(_xlfn.CONCAT(A334,$G$1),PLANGRID!$A:$A,PLANGRID!$H:$H)</f>
        <v>closed</v>
      </c>
      <c r="H334" s="26"/>
    </row>
    <row r="335" spans="1:8" ht="22.5" customHeight="1" thickBot="1" x14ac:dyDescent="0.4">
      <c r="A335" s="8">
        <v>3507</v>
      </c>
      <c r="B335" s="1" t="str">
        <f>_xlfn.XLOOKUP(_xlfn.CONCAT(A335,$B$1),PLANGRID!$A:$A,PLANGRID!$H:$H)</f>
        <v>closed</v>
      </c>
      <c r="C335" s="1" t="str">
        <f>_xlfn.XLOOKUP(_xlfn.CONCAT(A335,$C$1),PLANGRID!$A:$A,PLANGRID!$H:$H)</f>
        <v>closed</v>
      </c>
      <c r="D335" s="1" t="str">
        <f>_xlfn.XLOOKUP(_xlfn.CONCAT(A335,$D$1),PLANGRID!$A:$A,PLANGRID!$H:$H)</f>
        <v>closed</v>
      </c>
      <c r="E335" s="1" t="str">
        <f>_xlfn.XLOOKUP(_xlfn.CONCAT(A335,$E$1),PLANGRID!$A:$A,PLANGRID!$H:$H)</f>
        <v>closed</v>
      </c>
      <c r="F335" s="1" t="str">
        <f>_xlfn.XLOOKUP(_xlfn.CONCAT(A335,$F$1),PLANGRID!$A:$A,PLANGRID!$H:$H)</f>
        <v>closed</v>
      </c>
      <c r="G335" s="14" t="str">
        <f>_xlfn.XLOOKUP(_xlfn.CONCAT(A335,$G$1),PLANGRID!$A:$A,PLANGRID!$H:$H)</f>
        <v>closed</v>
      </c>
      <c r="H335" s="26"/>
    </row>
    <row r="336" spans="1:8" ht="22.5" customHeight="1" thickBot="1" x14ac:dyDescent="0.4">
      <c r="A336" s="8">
        <v>3508</v>
      </c>
      <c r="B336" s="1" t="str">
        <f>_xlfn.XLOOKUP(_xlfn.CONCAT(A336,$B$1),PLANGRID!$A:$A,PLANGRID!$H:$H)</f>
        <v>closed</v>
      </c>
      <c r="C336" s="1" t="str">
        <f>_xlfn.XLOOKUP(_xlfn.CONCAT(A336,$C$1),PLANGRID!$A:$A,PLANGRID!$H:$H)</f>
        <v>closed</v>
      </c>
      <c r="D336" s="1" t="str">
        <f>_xlfn.XLOOKUP(_xlfn.CONCAT(A336,$D$1),PLANGRID!$A:$A,PLANGRID!$H:$H)</f>
        <v>closed</v>
      </c>
      <c r="E336" s="1" t="str">
        <f>_xlfn.XLOOKUP(_xlfn.CONCAT(A336,$E$1),PLANGRID!$A:$A,PLANGRID!$H:$H)</f>
        <v>closed</v>
      </c>
      <c r="F336" s="1" t="str">
        <f>_xlfn.XLOOKUP(_xlfn.CONCAT(A336,$F$1),PLANGRID!$A:$A,PLANGRID!$H:$H)</f>
        <v>closed</v>
      </c>
      <c r="G336" s="14" t="str">
        <f>_xlfn.XLOOKUP(_xlfn.CONCAT(A336,$G$1),PLANGRID!$A:$A,PLANGRID!$H:$H)</f>
        <v>closed</v>
      </c>
      <c r="H336" s="26"/>
    </row>
    <row r="337" spans="1:8" ht="22.5" customHeight="1" thickBot="1" x14ac:dyDescent="0.4">
      <c r="A337" s="8">
        <v>3509</v>
      </c>
      <c r="B337" s="1" t="str">
        <f>_xlfn.XLOOKUP(_xlfn.CONCAT(A337,$B$1),PLANGRID!$A:$A,PLANGRID!$H:$H)</f>
        <v>closed</v>
      </c>
      <c r="C337" s="1" t="str">
        <f>_xlfn.XLOOKUP(_xlfn.CONCAT(A337,$C$1),PLANGRID!$A:$A,PLANGRID!$H:$H)</f>
        <v>closed</v>
      </c>
      <c r="D337" s="1" t="str">
        <f>_xlfn.XLOOKUP(_xlfn.CONCAT(A337,$D$1),PLANGRID!$A:$A,PLANGRID!$H:$H)</f>
        <v>closed</v>
      </c>
      <c r="E337" s="1" t="str">
        <f>_xlfn.XLOOKUP(_xlfn.CONCAT(A337,$E$1),PLANGRID!$A:$A,PLANGRID!$H:$H)</f>
        <v>closed</v>
      </c>
      <c r="F337" s="1" t="str">
        <f>_xlfn.XLOOKUP(_xlfn.CONCAT(A337,$F$1),PLANGRID!$A:$A,PLANGRID!$H:$H)</f>
        <v>closed</v>
      </c>
      <c r="G337" s="14" t="str">
        <f>_xlfn.XLOOKUP(_xlfn.CONCAT(A337,$G$1),PLANGRID!$A:$A,PLANGRID!$H:$H)</f>
        <v>closed</v>
      </c>
      <c r="H337" s="26"/>
    </row>
    <row r="338" spans="1:8" ht="22.5" customHeight="1" thickBot="1" x14ac:dyDescent="0.4">
      <c r="A338" s="8">
        <v>3601</v>
      </c>
      <c r="B338" s="1" t="str">
        <f>_xlfn.XLOOKUP(_xlfn.CONCAT(A338,$B$1),PLANGRID!$A:$A,PLANGRID!$H:$H)</f>
        <v>closed</v>
      </c>
      <c r="C338" s="1" t="str">
        <f>_xlfn.XLOOKUP(_xlfn.CONCAT(A338,$C$1),PLANGRID!$A:$A,PLANGRID!$H:$H)</f>
        <v>closed</v>
      </c>
      <c r="D338" s="1" t="str">
        <f>_xlfn.XLOOKUP(_xlfn.CONCAT(A338,$D$1),PLANGRID!$A:$A,PLANGRID!$H:$H)</f>
        <v>closed</v>
      </c>
      <c r="E338" s="1" t="str">
        <f>_xlfn.XLOOKUP(_xlfn.CONCAT(A338,$E$1),PLANGRID!$A:$A,PLANGRID!$H:$H)</f>
        <v>closed</v>
      </c>
      <c r="F338" s="1" t="str">
        <f>_xlfn.XLOOKUP(_xlfn.CONCAT(A338,$F$1),PLANGRID!$A:$A,PLANGRID!$H:$H)</f>
        <v>closed</v>
      </c>
      <c r="G338" s="14" t="str">
        <f>_xlfn.XLOOKUP(_xlfn.CONCAT(A338,$G$1),PLANGRID!$A:$A,PLANGRID!$H:$H)</f>
        <v>closed</v>
      </c>
      <c r="H338" s="26"/>
    </row>
    <row r="339" spans="1:8" ht="22.5" customHeight="1" thickBot="1" x14ac:dyDescent="0.4">
      <c r="A339" s="8">
        <v>3602</v>
      </c>
      <c r="B339" s="1" t="str">
        <f>_xlfn.XLOOKUP(_xlfn.CONCAT(A339,$B$1),PLANGRID!$A:$A,PLANGRID!$H:$H)</f>
        <v>closed</v>
      </c>
      <c r="C339" s="1" t="str">
        <f>_xlfn.XLOOKUP(_xlfn.CONCAT(A339,$C$1),PLANGRID!$A:$A,PLANGRID!$H:$H)</f>
        <v>closed</v>
      </c>
      <c r="D339" s="1" t="str">
        <f>_xlfn.XLOOKUP(_xlfn.CONCAT(A339,$D$1),PLANGRID!$A:$A,PLANGRID!$H:$H)</f>
        <v>closed</v>
      </c>
      <c r="E339" s="1" t="str">
        <f>_xlfn.XLOOKUP(_xlfn.CONCAT(A339,$E$1),PLANGRID!$A:$A,PLANGRID!$H:$H)</f>
        <v>closed</v>
      </c>
      <c r="F339" s="1" t="str">
        <f>_xlfn.XLOOKUP(_xlfn.CONCAT(A339,$F$1),PLANGRID!$A:$A,PLANGRID!$H:$H)</f>
        <v>closed</v>
      </c>
      <c r="G339" s="14" t="str">
        <f>_xlfn.XLOOKUP(_xlfn.CONCAT(A339,$G$1),PLANGRID!$A:$A,PLANGRID!$H:$H)</f>
        <v>closed</v>
      </c>
      <c r="H339" s="26"/>
    </row>
    <row r="340" spans="1:8" ht="22.5" customHeight="1" thickBot="1" x14ac:dyDescent="0.4">
      <c r="A340" s="8">
        <v>3603</v>
      </c>
      <c r="B340" s="1" t="str">
        <f>_xlfn.XLOOKUP(_xlfn.CONCAT(A340,$B$1),PLANGRID!$A:$A,PLANGRID!$H:$H)</f>
        <v>closed</v>
      </c>
      <c r="C340" s="1" t="str">
        <f>_xlfn.XLOOKUP(_xlfn.CONCAT(A340,$C$1),PLANGRID!$A:$A,PLANGRID!$H:$H)</f>
        <v>closed</v>
      </c>
      <c r="D340" s="1" t="str">
        <f>_xlfn.XLOOKUP(_xlfn.CONCAT(A340,$D$1),PLANGRID!$A:$A,PLANGRID!$H:$H)</f>
        <v>closed</v>
      </c>
      <c r="E340" s="1" t="str">
        <f>_xlfn.XLOOKUP(_xlfn.CONCAT(A340,$E$1),PLANGRID!$A:$A,PLANGRID!$H:$H)</f>
        <v>closed</v>
      </c>
      <c r="F340" s="1" t="str">
        <f>_xlfn.XLOOKUP(_xlfn.CONCAT(A340,$F$1),PLANGRID!$A:$A,PLANGRID!$H:$H)</f>
        <v>closed</v>
      </c>
      <c r="G340" s="14" t="str">
        <f>_xlfn.XLOOKUP(_xlfn.CONCAT(A340,$G$1),PLANGRID!$A:$A,PLANGRID!$H:$H)</f>
        <v>closed</v>
      </c>
      <c r="H340" s="26"/>
    </row>
    <row r="341" spans="1:8" ht="22.5" customHeight="1" thickBot="1" x14ac:dyDescent="0.4">
      <c r="A341" s="8">
        <v>3604</v>
      </c>
      <c r="B341" s="1" t="str">
        <f>_xlfn.XLOOKUP(_xlfn.CONCAT(A341,$B$1),PLANGRID!$A:$A,PLANGRID!$H:$H)</f>
        <v>closed</v>
      </c>
      <c r="C341" s="1" t="str">
        <f>_xlfn.XLOOKUP(_xlfn.CONCAT(A341,$C$1),PLANGRID!$A:$A,PLANGRID!$H:$H)</f>
        <v>closed</v>
      </c>
      <c r="D341" s="1" t="str">
        <f>_xlfn.XLOOKUP(_xlfn.CONCAT(A341,$D$1),PLANGRID!$A:$A,PLANGRID!$H:$H)</f>
        <v>closed</v>
      </c>
      <c r="E341" s="1" t="str">
        <f>_xlfn.XLOOKUP(_xlfn.CONCAT(A341,$E$1),PLANGRID!$A:$A,PLANGRID!$H:$H)</f>
        <v>closed</v>
      </c>
      <c r="F341" s="1" t="str">
        <f>_xlfn.XLOOKUP(_xlfn.CONCAT(A341,$F$1),PLANGRID!$A:$A,PLANGRID!$H:$H)</f>
        <v>closed</v>
      </c>
      <c r="G341" s="14" t="str">
        <f>_xlfn.XLOOKUP(_xlfn.CONCAT(A341,$G$1),PLANGRID!$A:$A,PLANGRID!$H:$H)</f>
        <v>closed</v>
      </c>
      <c r="H341" s="26"/>
    </row>
    <row r="342" spans="1:8" ht="22.5" customHeight="1" thickBot="1" x14ac:dyDescent="0.4">
      <c r="A342" s="8">
        <v>3605</v>
      </c>
      <c r="B342" s="1" t="str">
        <f>_xlfn.XLOOKUP(_xlfn.CONCAT(A342,$B$1),PLANGRID!$A:$A,PLANGRID!$H:$H)</f>
        <v>closed</v>
      </c>
      <c r="C342" s="1" t="str">
        <f>_xlfn.XLOOKUP(_xlfn.CONCAT(A342,$C$1),PLANGRID!$A:$A,PLANGRID!$H:$H)</f>
        <v>closed</v>
      </c>
      <c r="D342" s="1" t="str">
        <f>_xlfn.XLOOKUP(_xlfn.CONCAT(A342,$D$1),PLANGRID!$A:$A,PLANGRID!$H:$H)</f>
        <v>closed</v>
      </c>
      <c r="E342" s="1" t="str">
        <f>_xlfn.XLOOKUP(_xlfn.CONCAT(A342,$E$1),PLANGRID!$A:$A,PLANGRID!$H:$H)</f>
        <v>closed</v>
      </c>
      <c r="F342" s="1" t="str">
        <f>_xlfn.XLOOKUP(_xlfn.CONCAT(A342,$F$1),PLANGRID!$A:$A,PLANGRID!$H:$H)</f>
        <v>closed</v>
      </c>
      <c r="G342" s="14" t="str">
        <f>_xlfn.XLOOKUP(_xlfn.CONCAT(A342,$G$1),PLANGRID!$A:$A,PLANGRID!$H:$H)</f>
        <v>closed</v>
      </c>
      <c r="H342" s="26"/>
    </row>
    <row r="343" spans="1:8" ht="22.5" customHeight="1" thickBot="1" x14ac:dyDescent="0.4">
      <c r="A343" s="8">
        <v>3606</v>
      </c>
      <c r="B343" s="1" t="str">
        <f>_xlfn.XLOOKUP(_xlfn.CONCAT(A343,$B$1),PLANGRID!$A:$A,PLANGRID!$H:$H)</f>
        <v>closed</v>
      </c>
      <c r="C343" s="1" t="str">
        <f>_xlfn.XLOOKUP(_xlfn.CONCAT(A343,$C$1),PLANGRID!$A:$A,PLANGRID!$H:$H)</f>
        <v>closed</v>
      </c>
      <c r="D343" s="1" t="str">
        <f>_xlfn.XLOOKUP(_xlfn.CONCAT(A343,$D$1),PLANGRID!$A:$A,PLANGRID!$H:$H)</f>
        <v>closed</v>
      </c>
      <c r="E343" s="1" t="str">
        <f>_xlfn.XLOOKUP(_xlfn.CONCAT(A343,$E$1),PLANGRID!$A:$A,PLANGRID!$H:$H)</f>
        <v>closed</v>
      </c>
      <c r="F343" s="1" t="str">
        <f>_xlfn.XLOOKUP(_xlfn.CONCAT(A343,$F$1),PLANGRID!$A:$A,PLANGRID!$H:$H)</f>
        <v>closed</v>
      </c>
      <c r="G343" s="14" t="str">
        <f>_xlfn.XLOOKUP(_xlfn.CONCAT(A343,$G$1),PLANGRID!$A:$A,PLANGRID!$H:$H)</f>
        <v>closed</v>
      </c>
      <c r="H343" s="26"/>
    </row>
    <row r="344" spans="1:8" ht="22.5" customHeight="1" thickBot="1" x14ac:dyDescent="0.4">
      <c r="A344" s="8">
        <v>3607</v>
      </c>
      <c r="B344" s="1" t="str">
        <f>_xlfn.XLOOKUP(_xlfn.CONCAT(A344,$B$1),PLANGRID!$A:$A,PLANGRID!$H:$H)</f>
        <v>closed</v>
      </c>
      <c r="C344" s="1" t="str">
        <f>_xlfn.XLOOKUP(_xlfn.CONCAT(A344,$C$1),PLANGRID!$A:$A,PLANGRID!$H:$H)</f>
        <v>closed</v>
      </c>
      <c r="D344" s="1" t="str">
        <f>_xlfn.XLOOKUP(_xlfn.CONCAT(A344,$D$1),PLANGRID!$A:$A,PLANGRID!$H:$H)</f>
        <v>closed</v>
      </c>
      <c r="E344" s="1" t="str">
        <f>_xlfn.XLOOKUP(_xlfn.CONCAT(A344,$E$1),PLANGRID!$A:$A,PLANGRID!$H:$H)</f>
        <v>closed</v>
      </c>
      <c r="F344" s="1" t="str">
        <f>_xlfn.XLOOKUP(_xlfn.CONCAT(A344,$F$1),PLANGRID!$A:$A,PLANGRID!$H:$H)</f>
        <v>closed</v>
      </c>
      <c r="G344" s="14" t="str">
        <f>_xlfn.XLOOKUP(_xlfn.CONCAT(A344,$G$1),PLANGRID!$A:$A,PLANGRID!$H:$H)</f>
        <v>closed</v>
      </c>
      <c r="H344" s="26"/>
    </row>
    <row r="345" spans="1:8" ht="22.5" customHeight="1" thickBot="1" x14ac:dyDescent="0.4">
      <c r="A345" s="8">
        <v>3608</v>
      </c>
      <c r="B345" s="1" t="str">
        <f>_xlfn.XLOOKUP(_xlfn.CONCAT(A345,$B$1),PLANGRID!$A:$A,PLANGRID!$H:$H)</f>
        <v>closed</v>
      </c>
      <c r="C345" s="1" t="str">
        <f>_xlfn.XLOOKUP(_xlfn.CONCAT(A345,$C$1),PLANGRID!$A:$A,PLANGRID!$H:$H)</f>
        <v>closed</v>
      </c>
      <c r="D345" s="1" t="str">
        <f>_xlfn.XLOOKUP(_xlfn.CONCAT(A345,$D$1),PLANGRID!$A:$A,PLANGRID!$H:$H)</f>
        <v>closed</v>
      </c>
      <c r="E345" s="1" t="str">
        <f>_xlfn.XLOOKUP(_xlfn.CONCAT(A345,$E$1),PLANGRID!$A:$A,PLANGRID!$H:$H)</f>
        <v>closed</v>
      </c>
      <c r="F345" s="1" t="str">
        <f>_xlfn.XLOOKUP(_xlfn.CONCAT(A345,$F$1),PLANGRID!$A:$A,PLANGRID!$H:$H)</f>
        <v>closed</v>
      </c>
      <c r="G345" s="14" t="str">
        <f>_xlfn.XLOOKUP(_xlfn.CONCAT(A345,$G$1),PLANGRID!$A:$A,PLANGRID!$H:$H)</f>
        <v>closed</v>
      </c>
      <c r="H345" s="26"/>
    </row>
    <row r="346" spans="1:8" ht="22.5" customHeight="1" thickBot="1" x14ac:dyDescent="0.4">
      <c r="A346" s="8">
        <v>3609</v>
      </c>
      <c r="B346" s="1" t="str">
        <f>_xlfn.XLOOKUP(_xlfn.CONCAT(A346,$B$1),PLANGRID!$A:$A,PLANGRID!$H:$H)</f>
        <v>closed</v>
      </c>
      <c r="C346" s="1" t="str">
        <f>_xlfn.XLOOKUP(_xlfn.CONCAT(A346,$C$1),PLANGRID!$A:$A,PLANGRID!$H:$H)</f>
        <v>closed</v>
      </c>
      <c r="D346" s="1" t="str">
        <f>_xlfn.XLOOKUP(_xlfn.CONCAT(A346,$D$1),PLANGRID!$A:$A,PLANGRID!$H:$H)</f>
        <v>closed</v>
      </c>
      <c r="E346" s="1" t="str">
        <f>_xlfn.XLOOKUP(_xlfn.CONCAT(A346,$E$1),PLANGRID!$A:$A,PLANGRID!$H:$H)</f>
        <v>closed</v>
      </c>
      <c r="F346" s="1" t="str">
        <f>_xlfn.XLOOKUP(_xlfn.CONCAT(A346,$F$1),PLANGRID!$A:$A,PLANGRID!$H:$H)</f>
        <v>closed</v>
      </c>
      <c r="G346" s="14" t="str">
        <f>_xlfn.XLOOKUP(_xlfn.CONCAT(A346,$G$1),PLANGRID!$A:$A,PLANGRID!$H:$H)</f>
        <v>closed</v>
      </c>
      <c r="H346" s="26"/>
    </row>
    <row r="347" spans="1:8" ht="22.5" customHeight="1" thickBot="1" x14ac:dyDescent="0.4">
      <c r="A347" s="8">
        <v>3610</v>
      </c>
      <c r="B347" s="1" t="str">
        <f>_xlfn.XLOOKUP(_xlfn.CONCAT(A347,$B$1),PLANGRID!$A:$A,PLANGRID!$H:$H)</f>
        <v>closed</v>
      </c>
      <c r="C347" s="1" t="str">
        <f>_xlfn.XLOOKUP(_xlfn.CONCAT(A347,$C$1),PLANGRID!$A:$A,PLANGRID!$H:$H)</f>
        <v>closed</v>
      </c>
      <c r="D347" s="1" t="str">
        <f>_xlfn.XLOOKUP(_xlfn.CONCAT(A347,$D$1),PLANGRID!$A:$A,PLANGRID!$H:$H)</f>
        <v>closed</v>
      </c>
      <c r="E347" s="1" t="str">
        <f>_xlfn.XLOOKUP(_xlfn.CONCAT(A347,$E$1),PLANGRID!$A:$A,PLANGRID!$H:$H)</f>
        <v>closed</v>
      </c>
      <c r="F347" s="1" t="str">
        <f>_xlfn.XLOOKUP(_xlfn.CONCAT(A347,$F$1),PLANGRID!$A:$A,PLANGRID!$H:$H)</f>
        <v>closed</v>
      </c>
      <c r="G347" s="14" t="str">
        <f>_xlfn.XLOOKUP(_xlfn.CONCAT(A347,$G$1),PLANGRID!$A:$A,PLANGRID!$H:$H)</f>
        <v>closed</v>
      </c>
    </row>
    <row r="348" spans="1:8" ht="22.5" customHeight="1" thickBot="1" x14ac:dyDescent="0.4">
      <c r="A348" s="8">
        <v>3701</v>
      </c>
      <c r="B348" s="1" t="str">
        <f>_xlfn.XLOOKUP(_xlfn.CONCAT(A348,$B$1),PLANGRID!$A:$A,PLANGRID!$H:$H)</f>
        <v>closed</v>
      </c>
      <c r="C348" s="1" t="str">
        <f>_xlfn.XLOOKUP(_xlfn.CONCAT(A348,$C$1),PLANGRID!$A:$A,PLANGRID!$H:$H)</f>
        <v>closed</v>
      </c>
      <c r="D348" s="1" t="str">
        <f>_xlfn.XLOOKUP(_xlfn.CONCAT(A348,$D$1),PLANGRID!$A:$A,PLANGRID!$H:$H)</f>
        <v>closed</v>
      </c>
      <c r="E348" s="1" t="str">
        <f>_xlfn.XLOOKUP(_xlfn.CONCAT(A348,$E$1),PLANGRID!$A:$A,PLANGRID!$H:$H)</f>
        <v>closed</v>
      </c>
      <c r="F348" s="1" t="str">
        <f>_xlfn.XLOOKUP(_xlfn.CONCAT(A348,$F$1),PLANGRID!$A:$A,PLANGRID!$H:$H)</f>
        <v>closed</v>
      </c>
      <c r="G348" s="14" t="str">
        <f>_xlfn.XLOOKUP(_xlfn.CONCAT(A348,$G$1),PLANGRID!$A:$A,PLANGRID!$H:$H)</f>
        <v>closed</v>
      </c>
      <c r="H348" s="26"/>
    </row>
    <row r="349" spans="1:8" ht="22.5" customHeight="1" thickBot="1" x14ac:dyDescent="0.4">
      <c r="A349" s="8">
        <v>3702</v>
      </c>
      <c r="B349" s="1" t="str">
        <f>_xlfn.XLOOKUP(_xlfn.CONCAT(A349,$B$1),PLANGRID!$A:$A,PLANGRID!$H:$H)</f>
        <v>closed</v>
      </c>
      <c r="C349" s="1" t="str">
        <f>_xlfn.XLOOKUP(_xlfn.CONCAT(A349,$C$1),PLANGRID!$A:$A,PLANGRID!$H:$H)</f>
        <v>closed</v>
      </c>
      <c r="D349" s="1" t="str">
        <f>_xlfn.XLOOKUP(_xlfn.CONCAT(A349,$D$1),PLANGRID!$A:$A,PLANGRID!$H:$H)</f>
        <v>closed</v>
      </c>
      <c r="E349" s="1" t="str">
        <f>_xlfn.XLOOKUP(_xlfn.CONCAT(A349,$E$1),PLANGRID!$A:$A,PLANGRID!$H:$H)</f>
        <v>closed</v>
      </c>
      <c r="F349" s="1" t="str">
        <f>_xlfn.XLOOKUP(_xlfn.CONCAT(A349,$F$1),PLANGRID!$A:$A,PLANGRID!$H:$H)</f>
        <v>closed</v>
      </c>
      <c r="G349" s="14" t="str">
        <f>_xlfn.XLOOKUP(_xlfn.CONCAT(A349,$G$1),PLANGRID!$A:$A,PLANGRID!$H:$H)</f>
        <v>closed</v>
      </c>
      <c r="H349" s="26"/>
    </row>
    <row r="350" spans="1:8" ht="22.5" customHeight="1" thickBot="1" x14ac:dyDescent="0.4">
      <c r="A350" s="8">
        <v>3703</v>
      </c>
      <c r="B350" s="1" t="str">
        <f>_xlfn.XLOOKUP(_xlfn.CONCAT(A350,$B$1),PLANGRID!$A:$A,PLANGRID!$H:$H)</f>
        <v>closed</v>
      </c>
      <c r="C350" s="1" t="str">
        <f>_xlfn.XLOOKUP(_xlfn.CONCAT(A350,$C$1),PLANGRID!$A:$A,PLANGRID!$H:$H)</f>
        <v>closed</v>
      </c>
      <c r="D350" s="1" t="str">
        <f>_xlfn.XLOOKUP(_xlfn.CONCAT(A350,$D$1),PLANGRID!$A:$A,PLANGRID!$H:$H)</f>
        <v>closed</v>
      </c>
      <c r="E350" s="1" t="str">
        <f>_xlfn.XLOOKUP(_xlfn.CONCAT(A350,$E$1),PLANGRID!$A:$A,PLANGRID!$H:$H)</f>
        <v>closed</v>
      </c>
      <c r="F350" s="1" t="str">
        <f>_xlfn.XLOOKUP(_xlfn.CONCAT(A350,$F$1),PLANGRID!$A:$A,PLANGRID!$H:$H)</f>
        <v>closed</v>
      </c>
      <c r="G350" s="14" t="str">
        <f>_xlfn.XLOOKUP(_xlfn.CONCAT(A350,$G$1),PLANGRID!$A:$A,PLANGRID!$H:$H)</f>
        <v>closed</v>
      </c>
      <c r="H350" s="26"/>
    </row>
    <row r="351" spans="1:8" ht="22.5" customHeight="1" thickBot="1" x14ac:dyDescent="0.4">
      <c r="A351" s="8">
        <v>3704</v>
      </c>
      <c r="B351" s="1" t="str">
        <f>_xlfn.XLOOKUP(_xlfn.CONCAT(A351,$B$1),PLANGRID!$A:$A,PLANGRID!$H:$H)</f>
        <v>closed</v>
      </c>
      <c r="C351" s="1" t="str">
        <f>_xlfn.XLOOKUP(_xlfn.CONCAT(A351,$C$1),PLANGRID!$A:$A,PLANGRID!$H:$H)</f>
        <v>closed</v>
      </c>
      <c r="D351" s="1" t="str">
        <f>_xlfn.XLOOKUP(_xlfn.CONCAT(A351,$D$1),PLANGRID!$A:$A,PLANGRID!$H:$H)</f>
        <v>closed</v>
      </c>
      <c r="E351" s="1" t="str">
        <f>_xlfn.XLOOKUP(_xlfn.CONCAT(A351,$E$1),PLANGRID!$A:$A,PLANGRID!$H:$H)</f>
        <v>closed</v>
      </c>
      <c r="F351" s="1" t="str">
        <f>_xlfn.XLOOKUP(_xlfn.CONCAT(A351,$F$1),PLANGRID!$A:$A,PLANGRID!$H:$H)</f>
        <v>closed</v>
      </c>
      <c r="G351" s="14" t="str">
        <f>_xlfn.XLOOKUP(_xlfn.CONCAT(A351,$G$1),PLANGRID!$A:$A,PLANGRID!$H:$H)</f>
        <v>closed</v>
      </c>
      <c r="H351" s="26"/>
    </row>
    <row r="352" spans="1:8" ht="22.5" customHeight="1" thickBot="1" x14ac:dyDescent="0.4">
      <c r="A352" s="8">
        <v>3705</v>
      </c>
      <c r="B352" s="1" t="str">
        <f>_xlfn.XLOOKUP(_xlfn.CONCAT(A352,$B$1),PLANGRID!$A:$A,PLANGRID!$H:$H)</f>
        <v>closed</v>
      </c>
      <c r="C352" s="1" t="str">
        <f>_xlfn.XLOOKUP(_xlfn.CONCAT(A352,$C$1),PLANGRID!$A:$A,PLANGRID!$H:$H)</f>
        <v>closed</v>
      </c>
      <c r="D352" s="1" t="str">
        <f>_xlfn.XLOOKUP(_xlfn.CONCAT(A352,$D$1),PLANGRID!$A:$A,PLANGRID!$H:$H)</f>
        <v>closed</v>
      </c>
      <c r="E352" s="1" t="str">
        <f>_xlfn.XLOOKUP(_xlfn.CONCAT(A352,$E$1),PLANGRID!$A:$A,PLANGRID!$H:$H)</f>
        <v>closed</v>
      </c>
      <c r="F352" s="1" t="str">
        <f>_xlfn.XLOOKUP(_xlfn.CONCAT(A352,$F$1),PLANGRID!$A:$A,PLANGRID!$H:$H)</f>
        <v>closed</v>
      </c>
      <c r="G352" s="14" t="str">
        <f>_xlfn.XLOOKUP(_xlfn.CONCAT(A352,$G$1),PLANGRID!$A:$A,PLANGRID!$H:$H)</f>
        <v>closed</v>
      </c>
      <c r="H352" s="26"/>
    </row>
    <row r="353" spans="1:8" ht="22.5" customHeight="1" thickBot="1" x14ac:dyDescent="0.4">
      <c r="A353" s="8">
        <v>3706</v>
      </c>
      <c r="B353" s="1" t="str">
        <f>_xlfn.XLOOKUP(_xlfn.CONCAT(A353,$B$1),PLANGRID!$A:$A,PLANGRID!$H:$H)</f>
        <v>closed</v>
      </c>
      <c r="C353" s="1" t="str">
        <f>_xlfn.XLOOKUP(_xlfn.CONCAT(A353,$C$1),PLANGRID!$A:$A,PLANGRID!$H:$H)</f>
        <v>closed</v>
      </c>
      <c r="D353" s="1" t="str">
        <f>_xlfn.XLOOKUP(_xlfn.CONCAT(A353,$D$1),PLANGRID!$A:$A,PLANGRID!$H:$H)</f>
        <v>closed</v>
      </c>
      <c r="E353" s="1" t="str">
        <f>_xlfn.XLOOKUP(_xlfn.CONCAT(A353,$E$1),PLANGRID!$A:$A,PLANGRID!$H:$H)</f>
        <v>closed</v>
      </c>
      <c r="F353" s="1" t="str">
        <f>_xlfn.XLOOKUP(_xlfn.CONCAT(A353,$F$1),PLANGRID!$A:$A,PLANGRID!$H:$H)</f>
        <v>closed</v>
      </c>
      <c r="G353" s="14" t="str">
        <f>_xlfn.XLOOKUP(_xlfn.CONCAT(A353,$G$1),PLANGRID!$A:$A,PLANGRID!$H:$H)</f>
        <v>closed</v>
      </c>
      <c r="H353" s="26"/>
    </row>
    <row r="354" spans="1:8" ht="22.5" customHeight="1" thickBot="1" x14ac:dyDescent="0.4">
      <c r="A354" s="8">
        <v>3707</v>
      </c>
      <c r="B354" s="1" t="str">
        <f>_xlfn.XLOOKUP(_xlfn.CONCAT(A354,$B$1),PLANGRID!$A:$A,PLANGRID!$H:$H)</f>
        <v>closed</v>
      </c>
      <c r="C354" s="1" t="str">
        <f>_xlfn.XLOOKUP(_xlfn.CONCAT(A354,$C$1),PLANGRID!$A:$A,PLANGRID!$H:$H)</f>
        <v>closed</v>
      </c>
      <c r="D354" s="1" t="str">
        <f>_xlfn.XLOOKUP(_xlfn.CONCAT(A354,$D$1),PLANGRID!$A:$A,PLANGRID!$H:$H)</f>
        <v>closed</v>
      </c>
      <c r="E354" s="1" t="str">
        <f>_xlfn.XLOOKUP(_xlfn.CONCAT(A354,$E$1),PLANGRID!$A:$A,PLANGRID!$H:$H)</f>
        <v>closed</v>
      </c>
      <c r="F354" s="1" t="str">
        <f>_xlfn.XLOOKUP(_xlfn.CONCAT(A354,$F$1),PLANGRID!$A:$A,PLANGRID!$H:$H)</f>
        <v>closed</v>
      </c>
      <c r="G354" s="14" t="str">
        <f>_xlfn.XLOOKUP(_xlfn.CONCAT(A354,$G$1),PLANGRID!$A:$A,PLANGRID!$H:$H)</f>
        <v>closed</v>
      </c>
      <c r="H354" s="26"/>
    </row>
    <row r="355" spans="1:8" ht="22.5" customHeight="1" thickBot="1" x14ac:dyDescent="0.4">
      <c r="A355" s="8">
        <v>3708</v>
      </c>
      <c r="B355" s="1" t="str">
        <f>_xlfn.XLOOKUP(_xlfn.CONCAT(A355,$B$1),PLANGRID!$A:$A,PLANGRID!$H:$H)</f>
        <v>closed</v>
      </c>
      <c r="C355" s="1" t="str">
        <f>_xlfn.XLOOKUP(_xlfn.CONCAT(A355,$C$1),PLANGRID!$A:$A,PLANGRID!$H:$H)</f>
        <v>closed</v>
      </c>
      <c r="D355" s="1" t="str">
        <f>_xlfn.XLOOKUP(_xlfn.CONCAT(A355,$D$1),PLANGRID!$A:$A,PLANGRID!$H:$H)</f>
        <v>closed</v>
      </c>
      <c r="E355" s="1" t="str">
        <f>_xlfn.XLOOKUP(_xlfn.CONCAT(A355,$E$1),PLANGRID!$A:$A,PLANGRID!$H:$H)</f>
        <v>closed</v>
      </c>
      <c r="F355" s="1" t="str">
        <f>_xlfn.XLOOKUP(_xlfn.CONCAT(A355,$F$1),PLANGRID!$A:$A,PLANGRID!$H:$H)</f>
        <v>closed</v>
      </c>
      <c r="G355" s="14" t="str">
        <f>_xlfn.XLOOKUP(_xlfn.CONCAT(A355,$G$1),PLANGRID!$A:$A,PLANGRID!$H:$H)</f>
        <v>closed</v>
      </c>
      <c r="H355" s="26"/>
    </row>
    <row r="356" spans="1:8" ht="22.5" customHeight="1" thickBot="1" x14ac:dyDescent="0.4">
      <c r="A356" s="8">
        <v>3709</v>
      </c>
      <c r="B356" s="1" t="str">
        <f>_xlfn.XLOOKUP(_xlfn.CONCAT(A356,$B$1),PLANGRID!$A:$A,PLANGRID!$H:$H)</f>
        <v>closed</v>
      </c>
      <c r="C356" s="1" t="str">
        <f>_xlfn.XLOOKUP(_xlfn.CONCAT(A356,$C$1),PLANGRID!$A:$A,PLANGRID!$H:$H)</f>
        <v>closed</v>
      </c>
      <c r="D356" s="1" t="str">
        <f>_xlfn.XLOOKUP(_xlfn.CONCAT(A356,$D$1),PLANGRID!$A:$A,PLANGRID!$H:$H)</f>
        <v>closed</v>
      </c>
      <c r="E356" s="1" t="str">
        <f>_xlfn.XLOOKUP(_xlfn.CONCAT(A356,$E$1),PLANGRID!$A:$A,PLANGRID!$H:$H)</f>
        <v>closed</v>
      </c>
      <c r="F356" s="1" t="str">
        <f>_xlfn.XLOOKUP(_xlfn.CONCAT(A356,$F$1),PLANGRID!$A:$A,PLANGRID!$H:$H)</f>
        <v>closed</v>
      </c>
      <c r="G356" s="14" t="str">
        <f>_xlfn.XLOOKUP(_xlfn.CONCAT(A356,$G$1),PLANGRID!$A:$A,PLANGRID!$H:$H)</f>
        <v>closed</v>
      </c>
      <c r="H356" s="26"/>
    </row>
    <row r="357" spans="1:8" ht="22.5" customHeight="1" x14ac:dyDescent="0.35">
      <c r="G357" s="2"/>
    </row>
    <row r="358" spans="1:8" ht="22.5" customHeight="1" x14ac:dyDescent="0.35">
      <c r="G358" s="2"/>
    </row>
    <row r="359" spans="1:8" ht="21.5" customHeight="1" x14ac:dyDescent="0.35"/>
    <row r="360" spans="1:8" ht="21.5" customHeight="1" x14ac:dyDescent="0.35"/>
    <row r="361" spans="1:8" ht="21.5" customHeight="1" x14ac:dyDescent="0.35"/>
    <row r="362" spans="1:8" ht="21.5" customHeight="1" x14ac:dyDescent="0.35"/>
    <row r="363" spans="1:8" ht="21.5" customHeight="1" x14ac:dyDescent="0.35"/>
    <row r="364" spans="1:8" ht="21.5" customHeight="1" x14ac:dyDescent="0.35"/>
    <row r="365" spans="1:8" ht="21.5" customHeight="1" x14ac:dyDescent="0.35"/>
    <row r="366" spans="1:8" ht="21.5" customHeight="1" x14ac:dyDescent="0.35"/>
    <row r="367" spans="1:8" ht="21.5" customHeight="1" x14ac:dyDescent="0.35"/>
    <row r="368" spans="1:8" ht="21.5" customHeight="1" x14ac:dyDescent="0.35"/>
    <row r="369" ht="21.5" customHeight="1" x14ac:dyDescent="0.35"/>
    <row r="370" ht="21.5" customHeight="1" x14ac:dyDescent="0.35"/>
    <row r="371" ht="21.5" customHeight="1" x14ac:dyDescent="0.35"/>
    <row r="372" ht="21.5" customHeight="1" x14ac:dyDescent="0.35"/>
    <row r="373" ht="21.5" customHeight="1" x14ac:dyDescent="0.35"/>
    <row r="374" ht="21.5" customHeight="1" x14ac:dyDescent="0.35"/>
    <row r="375" ht="21.5" customHeight="1" x14ac:dyDescent="0.35"/>
    <row r="376" ht="21.5" customHeight="1" x14ac:dyDescent="0.35"/>
    <row r="377" ht="21.5" customHeight="1" x14ac:dyDescent="0.35"/>
    <row r="378" ht="21.5" customHeight="1" x14ac:dyDescent="0.35"/>
    <row r="379" ht="21.5" customHeight="1" x14ac:dyDescent="0.35"/>
    <row r="380" ht="21.5" customHeight="1" x14ac:dyDescent="0.35"/>
    <row r="381" ht="21.5" customHeight="1" x14ac:dyDescent="0.35"/>
    <row r="382" ht="21.5" customHeight="1" x14ac:dyDescent="0.35"/>
    <row r="383" ht="21.5" customHeight="1" x14ac:dyDescent="0.35"/>
    <row r="384" ht="21.5" customHeight="1" x14ac:dyDescent="0.35"/>
    <row r="385" ht="21.5" customHeight="1" x14ac:dyDescent="0.35"/>
    <row r="386" ht="21.5" customHeight="1" x14ac:dyDescent="0.35"/>
    <row r="387" ht="21.5" customHeight="1" x14ac:dyDescent="0.35"/>
    <row r="388" ht="21.5" customHeight="1" x14ac:dyDescent="0.35"/>
    <row r="389" ht="21.5" customHeight="1" x14ac:dyDescent="0.35"/>
    <row r="390" ht="21.5" customHeight="1" x14ac:dyDescent="0.35"/>
    <row r="391" ht="21.5" customHeight="1" x14ac:dyDescent="0.35"/>
    <row r="392" ht="21.5" customHeight="1" x14ac:dyDescent="0.35"/>
    <row r="393" ht="21.5" customHeight="1" x14ac:dyDescent="0.35"/>
    <row r="394" ht="21.5" customHeight="1" x14ac:dyDescent="0.35"/>
    <row r="395" ht="21.5" customHeight="1" x14ac:dyDescent="0.35"/>
    <row r="396" ht="21.5" customHeight="1" x14ac:dyDescent="0.35"/>
    <row r="397" ht="21.5" customHeight="1" x14ac:dyDescent="0.35"/>
    <row r="398" ht="21.5" customHeight="1" x14ac:dyDescent="0.35"/>
    <row r="399" ht="21.5" customHeight="1" x14ac:dyDescent="0.35"/>
    <row r="400" ht="21.5" customHeight="1" x14ac:dyDescent="0.35"/>
    <row r="401" ht="21.5" customHeight="1" x14ac:dyDescent="0.35"/>
    <row r="402" ht="21.5" customHeight="1" x14ac:dyDescent="0.35"/>
    <row r="403" ht="21.5" customHeight="1" x14ac:dyDescent="0.35"/>
    <row r="404" ht="21.5" customHeight="1" x14ac:dyDescent="0.35"/>
    <row r="405" ht="21.5" customHeight="1" x14ac:dyDescent="0.35"/>
    <row r="406" ht="21.5" customHeight="1" x14ac:dyDescent="0.35"/>
    <row r="407" ht="21.5" customHeight="1" x14ac:dyDescent="0.35"/>
    <row r="408" ht="21.5" customHeight="1" x14ac:dyDescent="0.35"/>
    <row r="409" ht="21.5" customHeight="1" x14ac:dyDescent="0.35"/>
    <row r="410" ht="21.5" customHeight="1" x14ac:dyDescent="0.35"/>
    <row r="411" ht="21.5" customHeight="1" x14ac:dyDescent="0.35"/>
    <row r="412" ht="21.5" customHeight="1" x14ac:dyDescent="0.35"/>
    <row r="413" ht="21.5" customHeight="1" x14ac:dyDescent="0.35"/>
    <row r="414" ht="21.5" customHeight="1" x14ac:dyDescent="0.35"/>
    <row r="415" ht="21.5" customHeight="1" x14ac:dyDescent="0.35"/>
    <row r="416" ht="21.5" customHeight="1" x14ac:dyDescent="0.35"/>
    <row r="417" ht="21.5" customHeight="1" x14ac:dyDescent="0.35"/>
    <row r="418" ht="21.5" customHeight="1" x14ac:dyDescent="0.35"/>
    <row r="419" ht="21.5" customHeight="1" x14ac:dyDescent="0.35"/>
    <row r="420" ht="21.5" customHeight="1" x14ac:dyDescent="0.35"/>
    <row r="421" ht="21.5" customHeight="1" x14ac:dyDescent="0.35"/>
    <row r="422" ht="21.5" customHeight="1" x14ac:dyDescent="0.35"/>
    <row r="423" ht="21.5" customHeight="1" x14ac:dyDescent="0.35"/>
    <row r="424" ht="21.5" customHeight="1" x14ac:dyDescent="0.35"/>
    <row r="425" ht="21.5" customHeight="1" x14ac:dyDescent="0.35"/>
    <row r="426" ht="21.5" customHeight="1" x14ac:dyDescent="0.35"/>
    <row r="427" ht="21.5" customHeight="1" x14ac:dyDescent="0.35"/>
    <row r="428" ht="21.5" customHeight="1" x14ac:dyDescent="0.35"/>
    <row r="429" ht="21.5" customHeight="1" x14ac:dyDescent="0.35"/>
    <row r="430" ht="21.5" customHeight="1" x14ac:dyDescent="0.35"/>
    <row r="431" ht="21.5" customHeight="1" x14ac:dyDescent="0.35"/>
    <row r="432" ht="21.5" customHeight="1" x14ac:dyDescent="0.35"/>
    <row r="433" ht="21.5" customHeight="1" x14ac:dyDescent="0.35"/>
    <row r="434" ht="21.5" customHeight="1" x14ac:dyDescent="0.35"/>
    <row r="435" ht="21.5" customHeight="1" x14ac:dyDescent="0.35"/>
    <row r="436" ht="21.5" customHeight="1" x14ac:dyDescent="0.35"/>
    <row r="437" ht="21.5" customHeight="1" x14ac:dyDescent="0.35"/>
    <row r="438" ht="21.5" customHeight="1" x14ac:dyDescent="0.35"/>
    <row r="439" ht="21.5" customHeight="1" x14ac:dyDescent="0.35"/>
    <row r="440" ht="21.5" customHeight="1" x14ac:dyDescent="0.35"/>
    <row r="441" ht="21.5" customHeight="1" x14ac:dyDescent="0.35"/>
    <row r="442" ht="21.5" customHeight="1" x14ac:dyDescent="0.35"/>
    <row r="443" ht="21.5" customHeight="1" x14ac:dyDescent="0.35"/>
    <row r="444" ht="21.5" customHeight="1" x14ac:dyDescent="0.35"/>
    <row r="445" ht="21.5" customHeight="1" x14ac:dyDescent="0.35"/>
    <row r="446" ht="21.5" customHeight="1" x14ac:dyDescent="0.35"/>
  </sheetData>
  <autoFilter ref="A1:L356" xr:uid="{6C2DB711-F945-4D8B-85A5-4654A9B99F03}">
    <sortState xmlns:xlrd2="http://schemas.microsoft.com/office/spreadsheetml/2017/richdata2" ref="A2:H356">
      <sortCondition ref="H1:H356"/>
    </sortState>
  </autoFilter>
  <phoneticPr fontId="10" type="noConversion"/>
  <conditionalFormatting sqref="A124:A181">
    <cfRule type="duplicateValues" dxfId="202" priority="10"/>
    <cfRule type="duplicateValues" dxfId="201" priority="11"/>
  </conditionalFormatting>
  <conditionalFormatting sqref="A182:A356 A2:A123">
    <cfRule type="duplicateValues" dxfId="200" priority="12"/>
  </conditionalFormatting>
  <conditionalFormatting sqref="A1:I1 O1:XFD7 I2:I7 A2:H92 I8:XFD43 I44:K44 M44:XFD44 J44:L52 I45:XFD48 I49:J52 M49:XFD55 I53 I54:J55 I56:XFD352 A93:G99 A100:H101 A102:G137 A138:H139 A140:G156 A157:H158 A159:G318 A319:H321 A322:G337 A338:H346 A347:G347 A348:H356 I353:K353 M353:XFD353 I354:XFD389 G357:H358 D359 G359 G360:H389 G390:G396 M390:XFD396 G397:H398 I397:XFD1048576 A399:H1048576">
    <cfRule type="containsText" dxfId="199" priority="5" operator="containsText" text="pending">
      <formula>NOT(ISERROR(SEARCH("pending",A1)))</formula>
    </cfRule>
    <cfRule type="containsText" dxfId="198" priority="6" operator="containsText" text="pending">
      <formula>NOT(ISERROR(SEARCH("pending",A1)))</formula>
    </cfRule>
    <cfRule type="containsText" dxfId="197" priority="7" operator="containsText" text="review">
      <formula>NOT(ISERROR(SEARCH("review",A1)))</formula>
    </cfRule>
    <cfRule type="containsText" dxfId="196" priority="8" operator="containsText" text="closed">
      <formula>NOT(ISERROR(SEARCH("closed",A1)))</formula>
    </cfRule>
    <cfRule type="containsText" dxfId="195" priority="9" operator="containsText" text="open">
      <formula>NOT(ISERROR(SEARCH("open",A1)))</formula>
    </cfRule>
  </conditionalFormatting>
  <conditionalFormatting sqref="A1:XFD346 A347:G347 I347:XFD347 A348:XFD358 A359:G359 I359:XFD359 A360:XFD1048576">
    <cfRule type="containsText" dxfId="194" priority="1" operator="containsText" text="REVIEW">
      <formula>NOT(ISERROR(SEARCH("REVIEW",A1)))</formula>
    </cfRule>
    <cfRule type="containsText" dxfId="193" priority="2" operator="containsText" text="PENDING">
      <formula>NOT(ISERROR(SEARCH("PENDING",A1)))</formula>
    </cfRule>
    <cfRule type="containsText" dxfId="192" priority="3" operator="containsText" text="OPEN">
      <formula>NOT(ISERROR(SEARCH("OPEN",A1)))</formula>
    </cfRule>
    <cfRule type="containsText" dxfId="191" priority="4" operator="containsText" text="CLOSED">
      <formula>NOT(ISERROR(SEARCH("CLOSED",A1)))</formula>
    </cfRule>
  </conditionalFormatting>
  <pageMargins left="0" right="0" top="0" bottom="0" header="0" footer="0"/>
  <pageSetup paperSize="9" scale="75" orientation="portrait" r:id="rId1"/>
  <headerFooter>
    <oddHeader>&amp;LPENDING PHOTOS</oddHeader>
  </headerFooter>
  <cellWatches>
    <cellWatch r="I334"/>
  </cellWatch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349B-A8C4-4424-8AE2-9450AF206E7A}">
  <dimension ref="A1:H196"/>
  <sheetViews>
    <sheetView zoomScale="95" zoomScaleNormal="205" workbookViewId="0">
      <pane xSplit="1" ySplit="2" topLeftCell="B55" activePane="bottomRight" state="frozen"/>
      <selection pane="topRight" activeCell="B1" sqref="B1"/>
      <selection pane="bottomLeft" activeCell="A3" sqref="A3"/>
      <selection pane="bottomRight" activeCell="B57" sqref="B57"/>
    </sheetView>
  </sheetViews>
  <sheetFormatPr defaultRowHeight="24.5" customHeight="1" x14ac:dyDescent="0.35"/>
  <cols>
    <col min="1" max="1" width="23.26953125" customWidth="1"/>
    <col min="2" max="2" width="11.81640625" customWidth="1"/>
    <col min="3" max="3" width="18.7265625" customWidth="1"/>
    <col min="4" max="4" width="87.7265625" bestFit="1" customWidth="1"/>
    <col min="5" max="5" width="17.54296875" customWidth="1"/>
    <col min="6" max="6" width="12.453125" style="2" customWidth="1"/>
    <col min="7" max="7" width="43.7265625" customWidth="1"/>
    <col min="8" max="8" width="14.453125" customWidth="1"/>
  </cols>
  <sheetData>
    <row r="1" spans="1:8" ht="24.5" customHeight="1" x14ac:dyDescent="0.35">
      <c r="A1" s="91" t="s">
        <v>3696</v>
      </c>
      <c r="B1" s="90" t="s">
        <v>3697</v>
      </c>
      <c r="C1" s="90" t="s">
        <v>3698</v>
      </c>
      <c r="D1" s="90" t="s">
        <v>17</v>
      </c>
      <c r="E1" s="92" t="s">
        <v>3699</v>
      </c>
      <c r="F1" s="90" t="s">
        <v>3815</v>
      </c>
      <c r="G1" s="90" t="s">
        <v>3829</v>
      </c>
      <c r="H1" s="90" t="s">
        <v>3830</v>
      </c>
    </row>
    <row r="2" spans="1:8" ht="24.5" customHeight="1" x14ac:dyDescent="0.35">
      <c r="A2" s="91"/>
      <c r="B2" s="90"/>
      <c r="C2" s="90"/>
      <c r="D2" s="90"/>
      <c r="E2" s="92"/>
      <c r="F2" s="90"/>
      <c r="G2" s="90"/>
      <c r="H2" s="90"/>
    </row>
    <row r="3" spans="1:8" ht="31" customHeight="1" x14ac:dyDescent="0.35">
      <c r="A3" s="53" t="s">
        <v>3805</v>
      </c>
      <c r="B3" s="54" t="s">
        <v>3806</v>
      </c>
      <c r="C3" s="54" t="s">
        <v>3807</v>
      </c>
      <c r="D3" s="55" t="s">
        <v>3808</v>
      </c>
      <c r="E3" s="52" t="s">
        <v>3612</v>
      </c>
      <c r="F3" s="1" t="s">
        <v>3818</v>
      </c>
      <c r="G3" s="49"/>
      <c r="H3" s="51"/>
    </row>
    <row r="4" spans="1:8" ht="31" customHeight="1" x14ac:dyDescent="0.35">
      <c r="A4" s="53" t="s">
        <v>3780</v>
      </c>
      <c r="B4" s="54" t="s">
        <v>3781</v>
      </c>
      <c r="C4" s="54" t="s">
        <v>3718</v>
      </c>
      <c r="D4" s="55" t="s">
        <v>3782</v>
      </c>
      <c r="E4" s="52" t="s">
        <v>3612</v>
      </c>
      <c r="F4" s="1" t="s">
        <v>3818</v>
      </c>
      <c r="G4" s="49"/>
      <c r="H4" s="51"/>
    </row>
    <row r="5" spans="1:8" ht="31" customHeight="1" x14ac:dyDescent="0.35">
      <c r="A5" s="53" t="s">
        <v>3783</v>
      </c>
      <c r="B5" s="54" t="s">
        <v>3784</v>
      </c>
      <c r="C5" s="54" t="s">
        <v>3785</v>
      </c>
      <c r="D5" s="55" t="s">
        <v>3786</v>
      </c>
      <c r="E5" s="52" t="s">
        <v>3612</v>
      </c>
      <c r="F5" s="1" t="s">
        <v>3818</v>
      </c>
      <c r="G5" s="49"/>
      <c r="H5" s="51"/>
    </row>
    <row r="6" spans="1:8" ht="31" customHeight="1" x14ac:dyDescent="0.35">
      <c r="A6" s="53" t="s">
        <v>3787</v>
      </c>
      <c r="B6" s="54" t="s">
        <v>3788</v>
      </c>
      <c r="C6" s="54" t="s">
        <v>3772</v>
      </c>
      <c r="D6" s="55" t="s">
        <v>3789</v>
      </c>
      <c r="E6" s="52" t="s">
        <v>3612</v>
      </c>
      <c r="F6" s="1" t="s">
        <v>3818</v>
      </c>
      <c r="G6" s="49"/>
      <c r="H6" s="51"/>
    </row>
    <row r="7" spans="1:8" ht="31" customHeight="1" x14ac:dyDescent="0.35">
      <c r="A7" s="53" t="s">
        <v>3790</v>
      </c>
      <c r="B7" s="54" t="s">
        <v>3791</v>
      </c>
      <c r="C7" s="54" t="s">
        <v>3761</v>
      </c>
      <c r="D7" s="55" t="s">
        <v>3792</v>
      </c>
      <c r="E7" s="52" t="s">
        <v>3612</v>
      </c>
      <c r="F7" s="1" t="s">
        <v>3818</v>
      </c>
      <c r="G7" s="49"/>
      <c r="H7" s="51"/>
    </row>
    <row r="8" spans="1:8" ht="31" customHeight="1" x14ac:dyDescent="0.35">
      <c r="A8" s="53" t="s">
        <v>3793</v>
      </c>
      <c r="B8" s="54" t="s">
        <v>3794</v>
      </c>
      <c r="C8" s="54" t="s">
        <v>3718</v>
      </c>
      <c r="D8" s="55" t="s">
        <v>3795</v>
      </c>
      <c r="E8" s="52" t="s">
        <v>3612</v>
      </c>
      <c r="F8" s="1" t="s">
        <v>3818</v>
      </c>
      <c r="G8" s="49"/>
      <c r="H8" s="51"/>
    </row>
    <row r="9" spans="1:8" ht="31" customHeight="1" x14ac:dyDescent="0.35">
      <c r="A9" s="53" t="s">
        <v>3796</v>
      </c>
      <c r="B9" s="54" t="s">
        <v>3797</v>
      </c>
      <c r="C9" s="54" t="s">
        <v>3785</v>
      </c>
      <c r="D9" s="55" t="s">
        <v>3798</v>
      </c>
      <c r="E9" s="52" t="s">
        <v>3612</v>
      </c>
      <c r="F9" s="1" t="s">
        <v>3818</v>
      </c>
      <c r="G9" s="49"/>
      <c r="H9" s="51"/>
    </row>
    <row r="10" spans="1:8" ht="31" customHeight="1" x14ac:dyDescent="0.35">
      <c r="A10" s="53" t="s">
        <v>3799</v>
      </c>
      <c r="B10" s="54" t="s">
        <v>3800</v>
      </c>
      <c r="C10" s="54" t="s">
        <v>3718</v>
      </c>
      <c r="D10" s="55" t="s">
        <v>3801</v>
      </c>
      <c r="E10" s="52" t="s">
        <v>3612</v>
      </c>
      <c r="F10" s="1" t="s">
        <v>3818</v>
      </c>
      <c r="G10" s="49"/>
      <c r="H10" s="51"/>
    </row>
    <row r="11" spans="1:8" ht="31" customHeight="1" x14ac:dyDescent="0.35">
      <c r="A11" s="53" t="s">
        <v>3802</v>
      </c>
      <c r="B11" s="54" t="s">
        <v>3803</v>
      </c>
      <c r="C11" s="54" t="s">
        <v>3785</v>
      </c>
      <c r="D11" s="55" t="s">
        <v>3804</v>
      </c>
      <c r="E11" s="52" t="s">
        <v>3612</v>
      </c>
      <c r="F11" s="1" t="s">
        <v>3818</v>
      </c>
      <c r="G11" s="49"/>
      <c r="H11" s="51"/>
    </row>
    <row r="12" spans="1:8" ht="31" customHeight="1" x14ac:dyDescent="0.35">
      <c r="A12" s="53" t="s">
        <v>3766</v>
      </c>
      <c r="B12" s="56" t="s">
        <v>3767</v>
      </c>
      <c r="C12" s="54" t="s">
        <v>3768</v>
      </c>
      <c r="D12" s="55" t="s">
        <v>3769</v>
      </c>
      <c r="E12" s="52" t="s">
        <v>3612</v>
      </c>
      <c r="F12" s="1" t="s">
        <v>3818</v>
      </c>
      <c r="G12" s="49"/>
      <c r="H12" s="51"/>
    </row>
    <row r="13" spans="1:8" ht="31" customHeight="1" x14ac:dyDescent="0.35">
      <c r="A13" s="53" t="s">
        <v>3770</v>
      </c>
      <c r="B13" s="56" t="s">
        <v>3771</v>
      </c>
      <c r="C13" s="54" t="s">
        <v>3772</v>
      </c>
      <c r="D13" s="55" t="s">
        <v>3773</v>
      </c>
      <c r="E13" s="52" t="s">
        <v>3612</v>
      </c>
      <c r="F13" s="1" t="s">
        <v>3818</v>
      </c>
      <c r="G13" s="49"/>
      <c r="H13" s="51"/>
    </row>
    <row r="14" spans="1:8" ht="31" customHeight="1" x14ac:dyDescent="0.35">
      <c r="A14" s="53" t="s">
        <v>3774</v>
      </c>
      <c r="B14" s="56" t="s">
        <v>3775</v>
      </c>
      <c r="C14" s="54" t="s">
        <v>3768</v>
      </c>
      <c r="D14" s="55" t="s">
        <v>3776</v>
      </c>
      <c r="E14" s="52" t="s">
        <v>3612</v>
      </c>
      <c r="F14" s="1" t="s">
        <v>3818</v>
      </c>
      <c r="G14" s="49"/>
      <c r="H14" s="51"/>
    </row>
    <row r="15" spans="1:8" ht="31" customHeight="1" x14ac:dyDescent="0.35">
      <c r="A15" s="53" t="s">
        <v>3777</v>
      </c>
      <c r="B15" s="56" t="s">
        <v>3778</v>
      </c>
      <c r="C15" s="54" t="s">
        <v>3772</v>
      </c>
      <c r="D15" s="55" t="s">
        <v>3779</v>
      </c>
      <c r="E15" s="52" t="s">
        <v>3612</v>
      </c>
      <c r="F15" s="1" t="s">
        <v>3818</v>
      </c>
      <c r="G15" s="49"/>
      <c r="H15" s="51"/>
    </row>
    <row r="16" spans="1:8" ht="31" customHeight="1" x14ac:dyDescent="0.35">
      <c r="A16" s="53" t="s">
        <v>3759</v>
      </c>
      <c r="B16" s="54" t="s">
        <v>3760</v>
      </c>
      <c r="C16" s="54" t="s">
        <v>3761</v>
      </c>
      <c r="D16" s="55" t="s">
        <v>3762</v>
      </c>
      <c r="E16" s="52" t="s">
        <v>3612</v>
      </c>
      <c r="F16" s="1" t="s">
        <v>3818</v>
      </c>
      <c r="G16" s="49"/>
      <c r="H16" s="51"/>
    </row>
    <row r="17" spans="1:8" ht="31" customHeight="1" x14ac:dyDescent="0.35">
      <c r="A17" s="53" t="s">
        <v>3763</v>
      </c>
      <c r="B17" s="54" t="s">
        <v>3764</v>
      </c>
      <c r="C17" s="54" t="s">
        <v>3761</v>
      </c>
      <c r="D17" s="55" t="s">
        <v>3765</v>
      </c>
      <c r="E17" s="52" t="s">
        <v>3612</v>
      </c>
      <c r="F17" s="1" t="s">
        <v>3818</v>
      </c>
      <c r="G17" s="49"/>
      <c r="H17" s="51"/>
    </row>
    <row r="18" spans="1:8" ht="31" customHeight="1" x14ac:dyDescent="0.35">
      <c r="A18" s="53" t="s">
        <v>3739</v>
      </c>
      <c r="B18" s="54" t="s">
        <v>3740</v>
      </c>
      <c r="C18" s="54" t="s">
        <v>3741</v>
      </c>
      <c r="D18" s="55" t="s">
        <v>3742</v>
      </c>
      <c r="E18" s="52" t="s">
        <v>3612</v>
      </c>
      <c r="F18" s="1" t="s">
        <v>3818</v>
      </c>
      <c r="G18" s="49"/>
      <c r="H18" s="51"/>
    </row>
    <row r="19" spans="1:8" ht="31" customHeight="1" x14ac:dyDescent="0.35">
      <c r="A19" s="53" t="s">
        <v>3743</v>
      </c>
      <c r="B19" s="54" t="s">
        <v>3744</v>
      </c>
      <c r="C19" s="54" t="s">
        <v>3745</v>
      </c>
      <c r="D19" s="55" t="s">
        <v>3746</v>
      </c>
      <c r="E19" s="52" t="s">
        <v>3612</v>
      </c>
      <c r="F19" s="1" t="s">
        <v>3818</v>
      </c>
      <c r="G19" s="49"/>
      <c r="H19" s="51"/>
    </row>
    <row r="20" spans="1:8" ht="31" customHeight="1" x14ac:dyDescent="0.35">
      <c r="A20" s="53" t="s">
        <v>3747</v>
      </c>
      <c r="B20" s="54" t="s">
        <v>3748</v>
      </c>
      <c r="C20" s="54" t="s">
        <v>3745</v>
      </c>
      <c r="D20" s="55" t="s">
        <v>3749</v>
      </c>
      <c r="E20" s="52" t="s">
        <v>3612</v>
      </c>
      <c r="F20" s="1" t="s">
        <v>3818</v>
      </c>
      <c r="G20" s="49"/>
      <c r="H20" s="51"/>
    </row>
    <row r="21" spans="1:8" ht="31" customHeight="1" x14ac:dyDescent="0.35">
      <c r="A21" s="53" t="s">
        <v>3750</v>
      </c>
      <c r="B21" s="54" t="s">
        <v>3751</v>
      </c>
      <c r="C21" s="54" t="s">
        <v>3741</v>
      </c>
      <c r="D21" s="55" t="s">
        <v>3752</v>
      </c>
      <c r="E21" s="52" t="s">
        <v>3612</v>
      </c>
      <c r="F21" s="1" t="s">
        <v>3818</v>
      </c>
      <c r="G21" s="49"/>
      <c r="H21" s="51"/>
    </row>
    <row r="22" spans="1:8" ht="31" customHeight="1" x14ac:dyDescent="0.35">
      <c r="A22" s="53" t="s">
        <v>3753</v>
      </c>
      <c r="B22" s="54" t="s">
        <v>3754</v>
      </c>
      <c r="C22" s="54" t="s">
        <v>3745</v>
      </c>
      <c r="D22" s="55" t="s">
        <v>3755</v>
      </c>
      <c r="E22" s="52" t="s">
        <v>3612</v>
      </c>
      <c r="F22" s="1" t="s">
        <v>3818</v>
      </c>
      <c r="G22" s="49"/>
      <c r="H22" s="51"/>
    </row>
    <row r="23" spans="1:8" ht="31" customHeight="1" x14ac:dyDescent="0.35">
      <c r="A23" s="53" t="s">
        <v>3756</v>
      </c>
      <c r="B23" s="54" t="s">
        <v>3757</v>
      </c>
      <c r="C23" s="54" t="s">
        <v>3741</v>
      </c>
      <c r="D23" s="55" t="s">
        <v>3758</v>
      </c>
      <c r="E23" s="52" t="s">
        <v>3612</v>
      </c>
      <c r="F23" s="1" t="s">
        <v>3818</v>
      </c>
      <c r="G23" s="49"/>
      <c r="H23" s="51"/>
    </row>
    <row r="24" spans="1:8" ht="31" customHeight="1" x14ac:dyDescent="0.35">
      <c r="A24" s="53" t="s">
        <v>3727</v>
      </c>
      <c r="B24" s="54" t="s">
        <v>3728</v>
      </c>
      <c r="C24" s="54" t="s">
        <v>3725</v>
      </c>
      <c r="D24" s="55" t="s">
        <v>3729</v>
      </c>
      <c r="E24" s="52" t="s">
        <v>3612</v>
      </c>
      <c r="F24" s="1" t="s">
        <v>3818</v>
      </c>
      <c r="G24" s="49"/>
      <c r="H24" s="51"/>
    </row>
    <row r="25" spans="1:8" ht="31" customHeight="1" x14ac:dyDescent="0.35">
      <c r="A25" s="53" t="s">
        <v>3730</v>
      </c>
      <c r="B25" s="54" t="s">
        <v>3731</v>
      </c>
      <c r="C25" s="54" t="s">
        <v>3714</v>
      </c>
      <c r="D25" s="55" t="s">
        <v>3732</v>
      </c>
      <c r="E25" s="52" t="s">
        <v>3612</v>
      </c>
      <c r="F25" s="1" t="s">
        <v>3818</v>
      </c>
      <c r="G25" s="49"/>
      <c r="H25" s="51"/>
    </row>
    <row r="26" spans="1:8" ht="31" customHeight="1" x14ac:dyDescent="0.35">
      <c r="A26" s="53" t="s">
        <v>3733</v>
      </c>
      <c r="B26" s="54" t="s">
        <v>3734</v>
      </c>
      <c r="C26" s="54" t="s">
        <v>3610</v>
      </c>
      <c r="D26" s="55" t="s">
        <v>3735</v>
      </c>
      <c r="E26" s="52" t="s">
        <v>3612</v>
      </c>
      <c r="F26" s="1" t="s">
        <v>3818</v>
      </c>
      <c r="G26" s="49"/>
      <c r="H26" s="51"/>
    </row>
    <row r="27" spans="1:8" ht="31" customHeight="1" x14ac:dyDescent="0.35">
      <c r="A27" s="53" t="s">
        <v>3736</v>
      </c>
      <c r="B27" s="54" t="s">
        <v>3737</v>
      </c>
      <c r="C27" s="54" t="s">
        <v>3725</v>
      </c>
      <c r="D27" s="55" t="s">
        <v>3738</v>
      </c>
      <c r="E27" s="52" t="s">
        <v>3612</v>
      </c>
      <c r="F27" s="1" t="s">
        <v>3818</v>
      </c>
      <c r="G27" s="49"/>
      <c r="H27" s="51"/>
    </row>
    <row r="28" spans="1:8" ht="31" customHeight="1" x14ac:dyDescent="0.35">
      <c r="A28" s="53" t="s">
        <v>3723</v>
      </c>
      <c r="B28" s="54" t="s">
        <v>3724</v>
      </c>
      <c r="C28" s="54" t="s">
        <v>3725</v>
      </c>
      <c r="D28" s="55" t="s">
        <v>3726</v>
      </c>
      <c r="E28" s="52" t="s">
        <v>3612</v>
      </c>
      <c r="F28" s="1" t="s">
        <v>3818</v>
      </c>
      <c r="G28" s="49"/>
      <c r="H28" s="51"/>
    </row>
    <row r="29" spans="1:8" ht="31" customHeight="1" x14ac:dyDescent="0.35">
      <c r="A29" s="53" t="s">
        <v>3716</v>
      </c>
      <c r="B29" s="54" t="s">
        <v>3717</v>
      </c>
      <c r="C29" s="54" t="s">
        <v>3718</v>
      </c>
      <c r="D29" s="55" t="s">
        <v>3719</v>
      </c>
      <c r="E29" s="52" t="s">
        <v>3612</v>
      </c>
      <c r="F29" s="1" t="s">
        <v>3818</v>
      </c>
      <c r="G29" s="49"/>
      <c r="H29" s="51"/>
    </row>
    <row r="30" spans="1:8" ht="31" customHeight="1" x14ac:dyDescent="0.35">
      <c r="A30" s="53" t="s">
        <v>3712</v>
      </c>
      <c r="B30" s="54" t="s">
        <v>3713</v>
      </c>
      <c r="C30" s="54" t="s">
        <v>3714</v>
      </c>
      <c r="D30" s="55" t="s">
        <v>3715</v>
      </c>
      <c r="E30" s="52" t="s">
        <v>3612</v>
      </c>
      <c r="F30" s="1" t="s">
        <v>3818</v>
      </c>
      <c r="G30" s="49"/>
      <c r="H30" s="51"/>
    </row>
    <row r="31" spans="1:8" ht="31" customHeight="1" x14ac:dyDescent="0.35">
      <c r="A31" s="53" t="s">
        <v>3720</v>
      </c>
      <c r="B31" s="54" t="s">
        <v>3721</v>
      </c>
      <c r="C31" s="54" t="s">
        <v>3714</v>
      </c>
      <c r="D31" s="55" t="s">
        <v>3722</v>
      </c>
      <c r="E31" s="52" t="s">
        <v>3612</v>
      </c>
      <c r="F31" s="1" t="s">
        <v>3818</v>
      </c>
      <c r="G31" s="49"/>
      <c r="H31" s="51"/>
    </row>
    <row r="32" spans="1:8" ht="31" customHeight="1" x14ac:dyDescent="0.35">
      <c r="A32" s="53" t="s">
        <v>3704</v>
      </c>
      <c r="B32" s="54" t="s">
        <v>3705</v>
      </c>
      <c r="C32" s="54" t="s">
        <v>3706</v>
      </c>
      <c r="D32" s="55" t="s">
        <v>3707</v>
      </c>
      <c r="E32" s="52" t="s">
        <v>3612</v>
      </c>
      <c r="F32" s="1" t="s">
        <v>3819</v>
      </c>
      <c r="G32" s="49"/>
      <c r="H32" s="51"/>
    </row>
    <row r="33" spans="1:8" ht="31" customHeight="1" x14ac:dyDescent="0.35">
      <c r="A33" s="53" t="s">
        <v>3704</v>
      </c>
      <c r="B33" s="54" t="s">
        <v>3856</v>
      </c>
      <c r="C33" s="54" t="s">
        <v>3857</v>
      </c>
      <c r="D33" s="55" t="s">
        <v>3858</v>
      </c>
      <c r="E33" s="52" t="s">
        <v>3612</v>
      </c>
      <c r="F33" s="1" t="s">
        <v>3819</v>
      </c>
      <c r="G33" s="49"/>
      <c r="H33" s="51"/>
    </row>
    <row r="34" spans="1:8" ht="30" customHeight="1" x14ac:dyDescent="0.35">
      <c r="A34" s="53" t="s">
        <v>3704</v>
      </c>
      <c r="B34" s="54" t="s">
        <v>3874</v>
      </c>
      <c r="C34" s="54" t="s">
        <v>3857</v>
      </c>
      <c r="D34" s="55" t="s">
        <v>3858</v>
      </c>
      <c r="E34" s="52" t="s">
        <v>3612</v>
      </c>
      <c r="F34" s="1" t="s">
        <v>3816</v>
      </c>
      <c r="G34" s="49"/>
      <c r="H34" s="51"/>
    </row>
    <row r="35" spans="1:8" ht="30" customHeight="1" x14ac:dyDescent="0.35">
      <c r="A35" s="53" t="s">
        <v>3708</v>
      </c>
      <c r="B35" s="54" t="s">
        <v>3709</v>
      </c>
      <c r="C35" s="54" t="s">
        <v>3710</v>
      </c>
      <c r="D35" s="55" t="s">
        <v>3711</v>
      </c>
      <c r="E35" s="52" t="s">
        <v>3612</v>
      </c>
      <c r="F35" s="1" t="s">
        <v>3818</v>
      </c>
      <c r="G35" s="49"/>
      <c r="H35" s="51"/>
    </row>
    <row r="36" spans="1:8" ht="30" customHeight="1" x14ac:dyDescent="0.35">
      <c r="A36" s="53" t="s">
        <v>3620</v>
      </c>
      <c r="B36" s="54" t="s">
        <v>3621</v>
      </c>
      <c r="C36" s="54" t="s">
        <v>3618</v>
      </c>
      <c r="D36" s="55" t="s">
        <v>3622</v>
      </c>
      <c r="E36" s="52" t="s">
        <v>3612</v>
      </c>
      <c r="F36" s="1" t="s">
        <v>3818</v>
      </c>
      <c r="G36" s="49"/>
      <c r="H36" s="51"/>
    </row>
    <row r="37" spans="1:8" ht="30" customHeight="1" x14ac:dyDescent="0.35">
      <c r="A37" s="53" t="s">
        <v>3623</v>
      </c>
      <c r="B37" s="54" t="s">
        <v>3624</v>
      </c>
      <c r="C37" s="54" t="s">
        <v>3618</v>
      </c>
      <c r="D37" s="55" t="s">
        <v>3625</v>
      </c>
      <c r="E37" s="52" t="s">
        <v>3612</v>
      </c>
      <c r="F37" s="1" t="s">
        <v>3818</v>
      </c>
      <c r="G37" s="49"/>
      <c r="H37" s="51"/>
    </row>
    <row r="38" spans="1:8" ht="30" customHeight="1" x14ac:dyDescent="0.35">
      <c r="A38" s="53" t="s">
        <v>3608</v>
      </c>
      <c r="B38" s="54" t="s">
        <v>3609</v>
      </c>
      <c r="C38" s="54" t="s">
        <v>3610</v>
      </c>
      <c r="D38" s="55" t="s">
        <v>3611</v>
      </c>
      <c r="E38" s="52" t="s">
        <v>3612</v>
      </c>
      <c r="F38" s="1" t="s">
        <v>3818</v>
      </c>
      <c r="G38" s="49"/>
      <c r="H38" s="51"/>
    </row>
    <row r="39" spans="1:8" ht="30" customHeight="1" x14ac:dyDescent="0.35">
      <c r="A39" s="53" t="s">
        <v>3616</v>
      </c>
      <c r="B39" s="54" t="s">
        <v>3617</v>
      </c>
      <c r="C39" s="54" t="s">
        <v>3618</v>
      </c>
      <c r="D39" s="55" t="s">
        <v>3619</v>
      </c>
      <c r="E39" s="52" t="s">
        <v>3612</v>
      </c>
      <c r="F39" s="1" t="s">
        <v>3818</v>
      </c>
      <c r="G39" s="49"/>
      <c r="H39" s="51"/>
    </row>
    <row r="40" spans="1:8" ht="30" customHeight="1" x14ac:dyDescent="0.35">
      <c r="A40" s="57" t="s">
        <v>3626</v>
      </c>
      <c r="B40" s="58" t="s">
        <v>3627</v>
      </c>
      <c r="C40" s="58" t="s">
        <v>3628</v>
      </c>
      <c r="D40" s="55" t="s">
        <v>3629</v>
      </c>
      <c r="E40" s="52" t="s">
        <v>3612</v>
      </c>
      <c r="F40" s="1" t="s">
        <v>3818</v>
      </c>
      <c r="G40" s="49"/>
      <c r="H40" s="51"/>
    </row>
    <row r="41" spans="1:8" ht="30" customHeight="1" x14ac:dyDescent="0.35">
      <c r="A41" s="53" t="s">
        <v>3613</v>
      </c>
      <c r="B41" s="54" t="s">
        <v>3614</v>
      </c>
      <c r="C41" s="54" t="s">
        <v>3610</v>
      </c>
      <c r="D41" s="55" t="s">
        <v>3615</v>
      </c>
      <c r="E41" s="52" t="s">
        <v>3612</v>
      </c>
      <c r="F41" s="1" t="s">
        <v>3818</v>
      </c>
      <c r="G41" s="49"/>
      <c r="H41" s="51"/>
    </row>
    <row r="42" spans="1:8" ht="31" customHeight="1" x14ac:dyDescent="0.35">
      <c r="A42" s="53" t="s">
        <v>3700</v>
      </c>
      <c r="B42" s="54" t="s">
        <v>3701</v>
      </c>
      <c r="C42" s="54" t="s">
        <v>3702</v>
      </c>
      <c r="D42" s="65" t="s">
        <v>3703</v>
      </c>
      <c r="E42" s="52" t="s">
        <v>3612</v>
      </c>
      <c r="F42" s="49" t="s">
        <v>3819</v>
      </c>
      <c r="G42" s="50" t="s">
        <v>3828</v>
      </c>
      <c r="H42" s="1" t="s">
        <v>3818</v>
      </c>
    </row>
    <row r="43" spans="1:8" ht="31" customHeight="1" x14ac:dyDescent="0.35">
      <c r="A43" s="53" t="s">
        <v>3630</v>
      </c>
      <c r="B43" s="54" t="s">
        <v>3631</v>
      </c>
      <c r="C43" s="54" t="s">
        <v>3632</v>
      </c>
      <c r="D43" s="65" t="s">
        <v>3633</v>
      </c>
      <c r="E43" s="52" t="s">
        <v>3612</v>
      </c>
      <c r="F43" s="1" t="s">
        <v>3818</v>
      </c>
      <c r="G43" s="49"/>
      <c r="H43" s="51"/>
    </row>
    <row r="44" spans="1:8" ht="31" customHeight="1" x14ac:dyDescent="0.35">
      <c r="A44" s="53" t="s">
        <v>3639</v>
      </c>
      <c r="B44" s="54" t="s">
        <v>3640</v>
      </c>
      <c r="C44" s="54" t="s">
        <v>3632</v>
      </c>
      <c r="D44" s="65" t="s">
        <v>3641</v>
      </c>
      <c r="E44" s="52" t="s">
        <v>3612</v>
      </c>
      <c r="F44" s="1" t="s">
        <v>3817</v>
      </c>
      <c r="G44" s="50" t="s">
        <v>3828</v>
      </c>
      <c r="H44" s="1" t="s">
        <v>3818</v>
      </c>
    </row>
    <row r="45" spans="1:8" ht="33" customHeight="1" x14ac:dyDescent="0.35">
      <c r="A45" s="53" t="s">
        <v>3661</v>
      </c>
      <c r="B45" s="54" t="s">
        <v>3662</v>
      </c>
      <c r="C45" s="54" t="s">
        <v>3610</v>
      </c>
      <c r="D45" s="65" t="s">
        <v>3663</v>
      </c>
      <c r="E45" s="52" t="s">
        <v>3612</v>
      </c>
      <c r="F45" s="1" t="s">
        <v>3818</v>
      </c>
      <c r="G45" s="49"/>
      <c r="H45" s="51"/>
    </row>
    <row r="46" spans="1:8" ht="33" customHeight="1" x14ac:dyDescent="0.35">
      <c r="A46" s="53" t="s">
        <v>3664</v>
      </c>
      <c r="B46" s="54" t="s">
        <v>3665</v>
      </c>
      <c r="C46" s="54" t="s">
        <v>3632</v>
      </c>
      <c r="D46" s="65" t="s">
        <v>3820</v>
      </c>
      <c r="E46" s="52" t="s">
        <v>3612</v>
      </c>
      <c r="F46" s="1" t="s">
        <v>3817</v>
      </c>
      <c r="H46" s="51"/>
    </row>
    <row r="47" spans="1:8" ht="33" customHeight="1" x14ac:dyDescent="0.35">
      <c r="A47" s="53" t="s">
        <v>3667</v>
      </c>
      <c r="B47" s="54" t="s">
        <v>3668</v>
      </c>
      <c r="C47" s="54" t="s">
        <v>3669</v>
      </c>
      <c r="D47" s="65" t="s">
        <v>3670</v>
      </c>
      <c r="E47" s="52" t="s">
        <v>3612</v>
      </c>
      <c r="F47" s="1" t="s">
        <v>3818</v>
      </c>
      <c r="G47" s="49"/>
      <c r="H47" s="51"/>
    </row>
    <row r="48" spans="1:8" ht="33" customHeight="1" x14ac:dyDescent="0.35">
      <c r="A48" s="53" t="s">
        <v>3693</v>
      </c>
      <c r="B48" s="54" t="s">
        <v>3694</v>
      </c>
      <c r="C48" s="54" t="s">
        <v>3669</v>
      </c>
      <c r="D48" s="65" t="s">
        <v>3821</v>
      </c>
      <c r="E48" s="52" t="s">
        <v>3612</v>
      </c>
      <c r="F48" s="1" t="s">
        <v>3818</v>
      </c>
      <c r="G48" s="49"/>
      <c r="H48" s="51"/>
    </row>
    <row r="49" spans="1:8" ht="34" customHeight="1" x14ac:dyDescent="0.35">
      <c r="A49" s="53" t="s">
        <v>3671</v>
      </c>
      <c r="B49" s="54" t="s">
        <v>3672</v>
      </c>
      <c r="C49" s="54" t="s">
        <v>3673</v>
      </c>
      <c r="D49" s="65" t="s">
        <v>3674</v>
      </c>
      <c r="E49" s="52" t="s">
        <v>3612</v>
      </c>
      <c r="F49" s="1" t="s">
        <v>3818</v>
      </c>
      <c r="G49" s="49"/>
      <c r="H49" s="51"/>
    </row>
    <row r="50" spans="1:8" ht="34" customHeight="1" x14ac:dyDescent="0.35">
      <c r="A50" s="53" t="s">
        <v>3690</v>
      </c>
      <c r="B50" s="54" t="s">
        <v>3691</v>
      </c>
      <c r="C50" s="54" t="s">
        <v>3632</v>
      </c>
      <c r="D50" s="65" t="s">
        <v>3692</v>
      </c>
      <c r="E50" s="52" t="s">
        <v>3612</v>
      </c>
      <c r="F50" s="1" t="s">
        <v>3818</v>
      </c>
      <c r="G50" s="49"/>
      <c r="H50" s="51"/>
    </row>
    <row r="51" spans="1:8" ht="34" customHeight="1" thickBot="1" x14ac:dyDescent="0.4">
      <c r="A51" s="53" t="s">
        <v>3809</v>
      </c>
      <c r="B51" s="54" t="s">
        <v>3810</v>
      </c>
      <c r="C51" s="54" t="s">
        <v>3673</v>
      </c>
      <c r="D51" s="65" t="s">
        <v>3822</v>
      </c>
      <c r="E51" s="52" t="s">
        <v>3612</v>
      </c>
      <c r="F51" s="1" t="s">
        <v>3818</v>
      </c>
      <c r="G51" s="49"/>
      <c r="H51" s="51"/>
    </row>
    <row r="52" spans="1:8" ht="34" customHeight="1" thickBot="1" x14ac:dyDescent="0.4">
      <c r="A52" s="27" t="s">
        <v>3812</v>
      </c>
      <c r="B52" s="28" t="s">
        <v>3813</v>
      </c>
      <c r="C52" s="28" t="s">
        <v>3628</v>
      </c>
      <c r="D52" s="66" t="s">
        <v>3823</v>
      </c>
      <c r="E52" s="16" t="s">
        <v>3612</v>
      </c>
      <c r="F52" s="2" t="s">
        <v>3818</v>
      </c>
      <c r="G52" s="10"/>
    </row>
    <row r="53" spans="1:8" ht="34" customHeight="1" thickBot="1" x14ac:dyDescent="0.4">
      <c r="A53" s="27" t="s">
        <v>3824</v>
      </c>
      <c r="B53" s="28" t="s">
        <v>3825</v>
      </c>
      <c r="C53" s="28" t="s">
        <v>3826</v>
      </c>
      <c r="D53" s="66" t="s">
        <v>3827</v>
      </c>
      <c r="E53" s="16" t="s">
        <v>3612</v>
      </c>
      <c r="F53" s="2" t="s">
        <v>3818</v>
      </c>
      <c r="G53" s="10"/>
    </row>
    <row r="54" spans="1:8" ht="34" customHeight="1" thickBot="1" x14ac:dyDescent="0.4">
      <c r="A54" s="27" t="s">
        <v>3859</v>
      </c>
      <c r="B54" s="28" t="s">
        <v>3860</v>
      </c>
      <c r="C54" s="28" t="s">
        <v>3861</v>
      </c>
      <c r="D54" s="15" t="s">
        <v>3862</v>
      </c>
      <c r="E54" s="16" t="s">
        <v>3612</v>
      </c>
      <c r="F54" s="2" t="s">
        <v>3816</v>
      </c>
      <c r="G54" s="10"/>
    </row>
    <row r="55" spans="1:8" ht="34" customHeight="1" thickBot="1" x14ac:dyDescent="0.4">
      <c r="A55" s="17" t="s">
        <v>3875</v>
      </c>
      <c r="B55" s="18" t="s">
        <v>3876</v>
      </c>
      <c r="C55" s="18" t="s">
        <v>3702</v>
      </c>
      <c r="D55" s="19" t="s">
        <v>3863</v>
      </c>
      <c r="E55" s="64" t="s">
        <v>3612</v>
      </c>
      <c r="F55" s="2" t="s">
        <v>3816</v>
      </c>
      <c r="G55" s="10"/>
    </row>
    <row r="56" spans="1:8" ht="34" customHeight="1" x14ac:dyDescent="0.35">
      <c r="G56" s="10"/>
    </row>
    <row r="57" spans="1:8" ht="34" customHeight="1" x14ac:dyDescent="0.35">
      <c r="G57" s="10"/>
    </row>
    <row r="58" spans="1:8" ht="34" customHeight="1" x14ac:dyDescent="0.35">
      <c r="G58" s="10"/>
    </row>
    <row r="59" spans="1:8" ht="34" customHeight="1" x14ac:dyDescent="0.35">
      <c r="G59" s="10"/>
    </row>
    <row r="60" spans="1:8" ht="34" customHeight="1" x14ac:dyDescent="0.35">
      <c r="G60" s="10"/>
    </row>
    <row r="61" spans="1:8" ht="34" customHeight="1" x14ac:dyDescent="0.35">
      <c r="G61" s="10"/>
    </row>
    <row r="62" spans="1:8" ht="34" customHeight="1" x14ac:dyDescent="0.35">
      <c r="G62" s="10"/>
    </row>
    <row r="63" spans="1:8" ht="34" customHeight="1" x14ac:dyDescent="0.35">
      <c r="D63" s="49"/>
      <c r="G63" s="10"/>
    </row>
    <row r="64" spans="1:8" ht="34" customHeight="1" x14ac:dyDescent="0.35">
      <c r="G64" s="10"/>
    </row>
    <row r="65" spans="7:7" ht="34" customHeight="1" x14ac:dyDescent="0.35">
      <c r="G65" s="10"/>
    </row>
    <row r="66" spans="7:7" ht="34" customHeight="1" x14ac:dyDescent="0.35">
      <c r="G66" s="10"/>
    </row>
    <row r="67" spans="7:7" ht="34" customHeight="1" x14ac:dyDescent="0.35">
      <c r="G67" s="10"/>
    </row>
    <row r="68" spans="7:7" ht="34" customHeight="1" x14ac:dyDescent="0.35">
      <c r="G68" s="10"/>
    </row>
    <row r="69" spans="7:7" ht="34" customHeight="1" x14ac:dyDescent="0.35">
      <c r="G69" s="10"/>
    </row>
    <row r="70" spans="7:7" ht="34" customHeight="1" x14ac:dyDescent="0.35">
      <c r="G70" s="10"/>
    </row>
    <row r="71" spans="7:7" ht="34" customHeight="1" x14ac:dyDescent="0.35">
      <c r="G71" s="10"/>
    </row>
    <row r="72" spans="7:7" ht="34" customHeight="1" x14ac:dyDescent="0.35">
      <c r="G72" s="10"/>
    </row>
    <row r="73" spans="7:7" ht="34" customHeight="1" x14ac:dyDescent="0.35">
      <c r="G73" s="10"/>
    </row>
    <row r="74" spans="7:7" ht="34" customHeight="1" x14ac:dyDescent="0.35">
      <c r="G74" s="10"/>
    </row>
    <row r="75" spans="7:7" ht="34" customHeight="1" x14ac:dyDescent="0.35">
      <c r="G75" s="10"/>
    </row>
    <row r="76" spans="7:7" ht="34" customHeight="1" x14ac:dyDescent="0.35">
      <c r="G76" s="10"/>
    </row>
    <row r="77" spans="7:7" ht="34" customHeight="1" x14ac:dyDescent="0.35">
      <c r="G77" s="10"/>
    </row>
    <row r="78" spans="7:7" ht="34" customHeight="1" x14ac:dyDescent="0.35">
      <c r="G78" s="10"/>
    </row>
    <row r="79" spans="7:7" ht="34" customHeight="1" x14ac:dyDescent="0.35">
      <c r="G79" s="10"/>
    </row>
    <row r="80" spans="7:7" ht="34" customHeight="1" x14ac:dyDescent="0.35">
      <c r="G80" s="10"/>
    </row>
    <row r="81" spans="7:7" ht="34" customHeight="1" x14ac:dyDescent="0.35">
      <c r="G81" s="10"/>
    </row>
    <row r="82" spans="7:7" ht="34" customHeight="1" x14ac:dyDescent="0.35">
      <c r="G82" s="10"/>
    </row>
    <row r="83" spans="7:7" ht="34" customHeight="1" x14ac:dyDescent="0.35">
      <c r="G83" s="10"/>
    </row>
    <row r="84" spans="7:7" ht="34" customHeight="1" x14ac:dyDescent="0.35">
      <c r="G84" s="10"/>
    </row>
    <row r="85" spans="7:7" ht="34" customHeight="1" x14ac:dyDescent="0.35">
      <c r="G85" s="10"/>
    </row>
    <row r="86" spans="7:7" ht="34" customHeight="1" x14ac:dyDescent="0.35">
      <c r="G86" s="10"/>
    </row>
    <row r="87" spans="7:7" ht="34" customHeight="1" x14ac:dyDescent="0.35">
      <c r="G87" s="10"/>
    </row>
    <row r="88" spans="7:7" ht="34" customHeight="1" x14ac:dyDescent="0.35">
      <c r="G88" s="10"/>
    </row>
    <row r="89" spans="7:7" ht="34" customHeight="1" x14ac:dyDescent="0.35">
      <c r="G89" s="10"/>
    </row>
    <row r="90" spans="7:7" ht="34" customHeight="1" x14ac:dyDescent="0.35">
      <c r="G90" s="10"/>
    </row>
    <row r="91" spans="7:7" ht="34" customHeight="1" x14ac:dyDescent="0.35">
      <c r="G91" s="10"/>
    </row>
    <row r="92" spans="7:7" ht="34" customHeight="1" x14ac:dyDescent="0.35">
      <c r="G92" s="10"/>
    </row>
    <row r="93" spans="7:7" ht="34" customHeight="1" x14ac:dyDescent="0.35">
      <c r="G93" s="10"/>
    </row>
    <row r="94" spans="7:7" ht="34" customHeight="1" x14ac:dyDescent="0.35">
      <c r="G94" s="10"/>
    </row>
    <row r="95" spans="7:7" ht="34" customHeight="1" x14ac:dyDescent="0.35">
      <c r="G95" s="10"/>
    </row>
    <row r="96" spans="7:7" ht="34" customHeight="1" x14ac:dyDescent="0.35">
      <c r="G96" s="10"/>
    </row>
    <row r="97" spans="7:7" ht="34" customHeight="1" x14ac:dyDescent="0.35">
      <c r="G97" s="10"/>
    </row>
    <row r="98" spans="7:7" ht="34" customHeight="1" x14ac:dyDescent="0.35">
      <c r="G98" s="10"/>
    </row>
    <row r="99" spans="7:7" ht="34" customHeight="1" x14ac:dyDescent="0.35">
      <c r="G99" s="10"/>
    </row>
    <row r="100" spans="7:7" ht="34" customHeight="1" x14ac:dyDescent="0.35">
      <c r="G100" s="10"/>
    </row>
    <row r="101" spans="7:7" ht="34" customHeight="1" x14ac:dyDescent="0.35">
      <c r="G101" s="10"/>
    </row>
    <row r="102" spans="7:7" ht="34" customHeight="1" x14ac:dyDescent="0.35">
      <c r="G102" s="10"/>
    </row>
    <row r="103" spans="7:7" ht="34" customHeight="1" x14ac:dyDescent="0.35">
      <c r="G103" s="10"/>
    </row>
    <row r="104" spans="7:7" ht="34" customHeight="1" x14ac:dyDescent="0.35">
      <c r="G104" s="10"/>
    </row>
    <row r="105" spans="7:7" ht="34" customHeight="1" x14ac:dyDescent="0.35">
      <c r="G105" s="10"/>
    </row>
    <row r="106" spans="7:7" ht="34" customHeight="1" x14ac:dyDescent="0.35">
      <c r="G106" s="10"/>
    </row>
    <row r="107" spans="7:7" ht="34" customHeight="1" x14ac:dyDescent="0.35">
      <c r="G107" s="10"/>
    </row>
    <row r="108" spans="7:7" ht="34" customHeight="1" x14ac:dyDescent="0.35">
      <c r="G108" s="10"/>
    </row>
    <row r="109" spans="7:7" ht="34" customHeight="1" x14ac:dyDescent="0.35">
      <c r="G109" s="10"/>
    </row>
    <row r="110" spans="7:7" ht="34" customHeight="1" x14ac:dyDescent="0.35">
      <c r="G110" s="10"/>
    </row>
    <row r="111" spans="7:7" ht="34" customHeight="1" x14ac:dyDescent="0.35">
      <c r="G111" s="10"/>
    </row>
    <row r="112" spans="7:7" ht="34" customHeight="1" x14ac:dyDescent="0.35">
      <c r="G112" s="10"/>
    </row>
    <row r="113" spans="7:7" ht="34" customHeight="1" x14ac:dyDescent="0.35">
      <c r="G113" s="10"/>
    </row>
    <row r="114" spans="7:7" ht="34" customHeight="1" x14ac:dyDescent="0.35">
      <c r="G114" s="10"/>
    </row>
    <row r="115" spans="7:7" ht="34" customHeight="1" x14ac:dyDescent="0.35">
      <c r="G115" s="10"/>
    </row>
    <row r="116" spans="7:7" ht="34" customHeight="1" x14ac:dyDescent="0.35">
      <c r="G116" s="10"/>
    </row>
    <row r="117" spans="7:7" ht="34" customHeight="1" x14ac:dyDescent="0.35">
      <c r="G117" s="10"/>
    </row>
    <row r="118" spans="7:7" ht="34" customHeight="1" x14ac:dyDescent="0.35">
      <c r="G118" s="10"/>
    </row>
    <row r="119" spans="7:7" ht="34" customHeight="1" x14ac:dyDescent="0.35">
      <c r="G119" s="10"/>
    </row>
    <row r="120" spans="7:7" ht="34" customHeight="1" x14ac:dyDescent="0.35">
      <c r="G120" s="10"/>
    </row>
    <row r="121" spans="7:7" ht="34" customHeight="1" x14ac:dyDescent="0.35">
      <c r="G121" s="10"/>
    </row>
    <row r="122" spans="7:7" ht="34" customHeight="1" x14ac:dyDescent="0.35">
      <c r="G122" s="10"/>
    </row>
    <row r="123" spans="7:7" ht="34" customHeight="1" x14ac:dyDescent="0.35">
      <c r="G123" s="10"/>
    </row>
    <row r="124" spans="7:7" ht="34" customHeight="1" x14ac:dyDescent="0.35">
      <c r="G124" s="10"/>
    </row>
    <row r="125" spans="7:7" ht="34" customHeight="1" x14ac:dyDescent="0.35">
      <c r="G125" s="10"/>
    </row>
    <row r="126" spans="7:7" ht="34" customHeight="1" x14ac:dyDescent="0.35">
      <c r="G126" s="10"/>
    </row>
    <row r="127" spans="7:7" ht="34" customHeight="1" x14ac:dyDescent="0.35">
      <c r="G127" s="10"/>
    </row>
    <row r="128" spans="7:7" ht="34" customHeight="1" x14ac:dyDescent="0.35">
      <c r="G128" s="10"/>
    </row>
    <row r="129" spans="7:7" ht="34" customHeight="1" x14ac:dyDescent="0.35">
      <c r="G129" s="10"/>
    </row>
    <row r="130" spans="7:7" ht="34" customHeight="1" x14ac:dyDescent="0.35">
      <c r="G130" s="10"/>
    </row>
    <row r="131" spans="7:7" ht="34" customHeight="1" x14ac:dyDescent="0.35">
      <c r="G131" s="10"/>
    </row>
    <row r="132" spans="7:7" ht="34" customHeight="1" x14ac:dyDescent="0.35">
      <c r="G132" s="10"/>
    </row>
    <row r="133" spans="7:7" ht="34" customHeight="1" x14ac:dyDescent="0.35">
      <c r="G133" s="10"/>
    </row>
    <row r="134" spans="7:7" ht="34" customHeight="1" x14ac:dyDescent="0.35">
      <c r="G134" s="10"/>
    </row>
    <row r="135" spans="7:7" ht="34" customHeight="1" x14ac:dyDescent="0.35">
      <c r="G135" s="10"/>
    </row>
    <row r="136" spans="7:7" ht="34" customHeight="1" x14ac:dyDescent="0.35">
      <c r="G136" s="10"/>
    </row>
    <row r="137" spans="7:7" ht="34" customHeight="1" x14ac:dyDescent="0.35">
      <c r="G137" s="10"/>
    </row>
    <row r="138" spans="7:7" ht="34" customHeight="1" x14ac:dyDescent="0.35">
      <c r="G138" s="10"/>
    </row>
    <row r="139" spans="7:7" ht="34" customHeight="1" x14ac:dyDescent="0.35">
      <c r="G139" s="10"/>
    </row>
    <row r="140" spans="7:7" ht="34" customHeight="1" x14ac:dyDescent="0.35">
      <c r="G140" s="10"/>
    </row>
    <row r="141" spans="7:7" ht="34" customHeight="1" x14ac:dyDescent="0.35">
      <c r="G141" s="10"/>
    </row>
    <row r="142" spans="7:7" ht="34" customHeight="1" x14ac:dyDescent="0.35">
      <c r="G142" s="10"/>
    </row>
    <row r="143" spans="7:7" ht="34" customHeight="1" x14ac:dyDescent="0.35">
      <c r="G143" s="10"/>
    </row>
    <row r="144" spans="7:7" ht="34" customHeight="1" x14ac:dyDescent="0.35">
      <c r="G144" s="10"/>
    </row>
    <row r="145" spans="7:7" ht="34" customHeight="1" x14ac:dyDescent="0.35">
      <c r="G145" s="10"/>
    </row>
    <row r="146" spans="7:7" ht="34" customHeight="1" x14ac:dyDescent="0.35">
      <c r="G146" s="10"/>
    </row>
    <row r="147" spans="7:7" ht="34" customHeight="1" x14ac:dyDescent="0.35">
      <c r="G147" s="10"/>
    </row>
    <row r="148" spans="7:7" ht="34" customHeight="1" x14ac:dyDescent="0.35">
      <c r="G148" s="10"/>
    </row>
    <row r="149" spans="7:7" ht="34" customHeight="1" x14ac:dyDescent="0.35">
      <c r="G149" s="10"/>
    </row>
    <row r="150" spans="7:7" ht="34" customHeight="1" x14ac:dyDescent="0.35">
      <c r="G150" s="10"/>
    </row>
    <row r="151" spans="7:7" ht="34" customHeight="1" x14ac:dyDescent="0.35">
      <c r="G151" s="10"/>
    </row>
    <row r="152" spans="7:7" ht="34" customHeight="1" x14ac:dyDescent="0.35">
      <c r="G152" s="10"/>
    </row>
    <row r="153" spans="7:7" ht="34" customHeight="1" x14ac:dyDescent="0.35">
      <c r="G153" s="10"/>
    </row>
    <row r="154" spans="7:7" ht="34" customHeight="1" x14ac:dyDescent="0.35">
      <c r="G154" s="10"/>
    </row>
    <row r="155" spans="7:7" ht="34" customHeight="1" x14ac:dyDescent="0.35">
      <c r="G155" s="10"/>
    </row>
    <row r="156" spans="7:7" ht="34" customHeight="1" x14ac:dyDescent="0.35">
      <c r="G156" s="10"/>
    </row>
    <row r="157" spans="7:7" ht="34" customHeight="1" x14ac:dyDescent="0.35">
      <c r="G157" s="10"/>
    </row>
    <row r="158" spans="7:7" ht="34" customHeight="1" x14ac:dyDescent="0.35">
      <c r="G158" s="10"/>
    </row>
    <row r="159" spans="7:7" ht="34" customHeight="1" x14ac:dyDescent="0.35">
      <c r="G159" s="10"/>
    </row>
    <row r="160" spans="7:7" ht="34" customHeight="1" x14ac:dyDescent="0.35">
      <c r="G160" s="10"/>
    </row>
    <row r="161" spans="7:7" ht="34" customHeight="1" x14ac:dyDescent="0.35">
      <c r="G161" s="10"/>
    </row>
    <row r="162" spans="7:7" ht="34" customHeight="1" x14ac:dyDescent="0.35">
      <c r="G162" s="10"/>
    </row>
    <row r="163" spans="7:7" ht="34" customHeight="1" x14ac:dyDescent="0.35">
      <c r="G163" s="10"/>
    </row>
    <row r="164" spans="7:7" ht="34" customHeight="1" x14ac:dyDescent="0.35">
      <c r="G164" s="10"/>
    </row>
    <row r="165" spans="7:7" ht="34" customHeight="1" x14ac:dyDescent="0.35">
      <c r="G165" s="10"/>
    </row>
    <row r="166" spans="7:7" ht="34" customHeight="1" x14ac:dyDescent="0.35">
      <c r="G166" s="10"/>
    </row>
    <row r="167" spans="7:7" ht="34" customHeight="1" x14ac:dyDescent="0.35">
      <c r="G167" s="10"/>
    </row>
    <row r="168" spans="7:7" ht="34" customHeight="1" x14ac:dyDescent="0.35">
      <c r="G168" s="10"/>
    </row>
    <row r="169" spans="7:7" ht="34" customHeight="1" x14ac:dyDescent="0.35">
      <c r="G169" s="10"/>
    </row>
    <row r="170" spans="7:7" ht="34" customHeight="1" x14ac:dyDescent="0.35">
      <c r="G170" s="10"/>
    </row>
    <row r="171" spans="7:7" ht="34" customHeight="1" x14ac:dyDescent="0.35">
      <c r="G171" s="10"/>
    </row>
    <row r="172" spans="7:7" ht="34" customHeight="1" x14ac:dyDescent="0.35">
      <c r="G172" s="10"/>
    </row>
    <row r="173" spans="7:7" ht="34" customHeight="1" x14ac:dyDescent="0.35">
      <c r="G173" s="10"/>
    </row>
    <row r="174" spans="7:7" ht="34" customHeight="1" x14ac:dyDescent="0.35">
      <c r="G174" s="10"/>
    </row>
    <row r="175" spans="7:7" ht="34" customHeight="1" x14ac:dyDescent="0.35">
      <c r="G175" s="10"/>
    </row>
    <row r="176" spans="7:7" ht="34" customHeight="1" x14ac:dyDescent="0.35">
      <c r="G176" s="10"/>
    </row>
    <row r="177" spans="7:7" ht="34" customHeight="1" x14ac:dyDescent="0.35">
      <c r="G177" s="10"/>
    </row>
    <row r="178" spans="7:7" ht="34" customHeight="1" x14ac:dyDescent="0.35">
      <c r="G178" s="10"/>
    </row>
    <row r="179" spans="7:7" ht="34" customHeight="1" x14ac:dyDescent="0.35">
      <c r="G179" s="10"/>
    </row>
    <row r="180" spans="7:7" ht="34" customHeight="1" x14ac:dyDescent="0.35">
      <c r="G180" s="10"/>
    </row>
    <row r="181" spans="7:7" ht="34" customHeight="1" x14ac:dyDescent="0.35">
      <c r="G181" s="10"/>
    </row>
    <row r="182" spans="7:7" ht="34" customHeight="1" x14ac:dyDescent="0.35">
      <c r="G182" s="10"/>
    </row>
    <row r="183" spans="7:7" ht="34" customHeight="1" x14ac:dyDescent="0.35">
      <c r="G183" s="10"/>
    </row>
    <row r="184" spans="7:7" ht="34" customHeight="1" x14ac:dyDescent="0.35">
      <c r="G184" s="10"/>
    </row>
    <row r="185" spans="7:7" ht="34" customHeight="1" x14ac:dyDescent="0.35">
      <c r="G185" s="10"/>
    </row>
    <row r="186" spans="7:7" ht="34" customHeight="1" x14ac:dyDescent="0.35">
      <c r="G186" s="10"/>
    </row>
    <row r="187" spans="7:7" ht="34" customHeight="1" x14ac:dyDescent="0.35">
      <c r="G187" s="10"/>
    </row>
    <row r="188" spans="7:7" ht="34" customHeight="1" x14ac:dyDescent="0.35">
      <c r="G188" s="10"/>
    </row>
    <row r="189" spans="7:7" ht="34" customHeight="1" x14ac:dyDescent="0.35">
      <c r="G189" s="10"/>
    </row>
    <row r="190" spans="7:7" ht="34" customHeight="1" x14ac:dyDescent="0.35">
      <c r="G190" s="10"/>
    </row>
    <row r="191" spans="7:7" ht="34" customHeight="1" x14ac:dyDescent="0.35">
      <c r="G191" s="10"/>
    </row>
    <row r="192" spans="7:7" ht="34" customHeight="1" x14ac:dyDescent="0.35">
      <c r="G192" s="10"/>
    </row>
    <row r="193" spans="7:7" ht="34" customHeight="1" x14ac:dyDescent="0.35">
      <c r="G193" s="10"/>
    </row>
    <row r="194" spans="7:7" ht="34" customHeight="1" x14ac:dyDescent="0.35">
      <c r="G194" s="10"/>
    </row>
    <row r="195" spans="7:7" ht="34" customHeight="1" x14ac:dyDescent="0.35">
      <c r="G195" s="10"/>
    </row>
    <row r="196" spans="7:7" ht="34" customHeight="1" x14ac:dyDescent="0.35">
      <c r="G196" s="10"/>
    </row>
  </sheetData>
  <autoFilter ref="A1:F50" xr:uid="{1BD4349B-A8C4-4424-8AE2-9450AF206E7A}">
    <sortState xmlns:xlrd2="http://schemas.microsoft.com/office/spreadsheetml/2017/richdata2" ref="A4:F55">
      <sortCondition ref="A1:A50"/>
    </sortState>
  </autoFilter>
  <mergeCells count="8">
    <mergeCell ref="F1:F2"/>
    <mergeCell ref="G1:G2"/>
    <mergeCell ref="H1:H2"/>
    <mergeCell ref="A1:A2"/>
    <mergeCell ref="B1:B2"/>
    <mergeCell ref="C1:C2"/>
    <mergeCell ref="D1:D2"/>
    <mergeCell ref="E1:E2"/>
  </mergeCells>
  <conditionalFormatting sqref="A1:A2">
    <cfRule type="duplicateValues" dxfId="190" priority="37"/>
    <cfRule type="duplicateValues" dxfId="189" priority="36"/>
    <cfRule type="duplicateValues" dxfId="188" priority="35"/>
    <cfRule type="duplicateValues" dxfId="187" priority="34"/>
  </conditionalFormatting>
  <conditionalFormatting sqref="A56:A1048576 A1:A48">
    <cfRule type="duplicateValues" dxfId="186" priority="31"/>
    <cfRule type="duplicateValues" dxfId="185" priority="30"/>
  </conditionalFormatting>
  <conditionalFormatting sqref="A56:A1048576 A42:A48 A1:A2">
    <cfRule type="duplicateValues" dxfId="184" priority="32"/>
  </conditionalFormatting>
  <conditionalFormatting sqref="D1:D2">
    <cfRule type="duplicateValues" dxfId="183" priority="39"/>
    <cfRule type="duplicateValues" dxfId="182" priority="38"/>
    <cfRule type="duplicateValues" dxfId="181" priority="33"/>
  </conditionalFormatting>
  <conditionalFormatting sqref="E1:E50 E56:E1048576">
    <cfRule type="containsText" dxfId="180" priority="24" operator="containsText" text="PlanGrid Link=$F:$F,&quot;APROVED&quot;">
      <formula>NOT(ISERROR(SEARCH("PlanGrid Link=$F:$F,""APROVED""",E1)))</formula>
    </cfRule>
  </conditionalFormatting>
  <conditionalFormatting sqref="E3">
    <cfRule type="cellIs" dxfId="179" priority="25" operator="equal">
      <formula>$F$3="APROVED"</formula>
    </cfRule>
  </conditionalFormatting>
  <conditionalFormatting sqref="F1:F1048576">
    <cfRule type="containsText" dxfId="178" priority="17" operator="containsText" text="REJECT">
      <formula>NOT(ISERROR(SEARCH("REJECT",F1)))</formula>
    </cfRule>
    <cfRule type="containsText" dxfId="177" priority="20" operator="containsText" text="NOT APROVED">
      <formula>NOT(ISERROR(SEARCH("NOT APROVED",F1)))</formula>
    </cfRule>
    <cfRule type="containsText" dxfId="176" priority="21" operator="containsText" text="IN PROCESS">
      <formula>NOT(ISERROR(SEARCH("IN PROCESS",F1)))</formula>
    </cfRule>
    <cfRule type="containsText" dxfId="175" priority="22" operator="containsText" text="APROVED">
      <formula>NOT(ISERROR(SEARCH("APROVED",F1)))</formula>
    </cfRule>
    <cfRule type="containsText" dxfId="174" priority="26" operator="containsText" text="APROVED">
      <formula>NOT(ISERROR(SEARCH("APROVED",F1)))</formula>
    </cfRule>
    <cfRule type="containsText" dxfId="173" priority="16" operator="containsText" text="REJECT">
      <formula>NOT(ISERROR(SEARCH("REJECT",F1)))</formula>
    </cfRule>
  </conditionalFormatting>
  <conditionalFormatting sqref="F5">
    <cfRule type="containsText" dxfId="172" priority="19" operator="containsText" text="NOT APROVED">
      <formula>NOT(ISERROR(SEARCH("NOT APROVED",F5)))</formula>
    </cfRule>
    <cfRule type="containsText" dxfId="171" priority="18" operator="containsText" text="NOT APROVED">
      <formula>NOT(ISERROR(SEARCH("NOT APROVED",F5)))</formula>
    </cfRule>
  </conditionalFormatting>
  <conditionalFormatting sqref="F1:G2">
    <cfRule type="duplicateValues" dxfId="169" priority="27"/>
    <cfRule type="duplicateValues" dxfId="168" priority="28"/>
    <cfRule type="duplicateValues" dxfId="167" priority="29"/>
  </conditionalFormatting>
  <conditionalFormatting sqref="H1:H2">
    <cfRule type="duplicateValues" dxfId="166" priority="9"/>
    <cfRule type="duplicateValues" dxfId="165" priority="8"/>
    <cfRule type="duplicateValues" dxfId="164" priority="7"/>
  </conditionalFormatting>
  <conditionalFormatting sqref="H42">
    <cfRule type="containsText" dxfId="163" priority="15" operator="containsText" text="APROVED">
      <formula>NOT(ISERROR(SEARCH("APROVED",H42)))</formula>
    </cfRule>
    <cfRule type="containsText" dxfId="162" priority="14" operator="containsText" text="APROVED">
      <formula>NOT(ISERROR(SEARCH("APROVED",H42)))</formula>
    </cfRule>
    <cfRule type="containsText" dxfId="161" priority="13" operator="containsText" text="IN PROCESS">
      <formula>NOT(ISERROR(SEARCH("IN PROCESS",H42)))</formula>
    </cfRule>
    <cfRule type="containsText" dxfId="160" priority="12" operator="containsText" text="NOT APROVED">
      <formula>NOT(ISERROR(SEARCH("NOT APROVED",H42)))</formula>
    </cfRule>
    <cfRule type="containsText" dxfId="159" priority="11" operator="containsText" text="REJECT">
      <formula>NOT(ISERROR(SEARCH("REJECT",H42)))</formula>
    </cfRule>
    <cfRule type="containsText" dxfId="158" priority="10" operator="containsText" text="REJECT">
      <formula>NOT(ISERROR(SEARCH("REJECT",H42)))</formula>
    </cfRule>
  </conditionalFormatting>
  <conditionalFormatting sqref="H44">
    <cfRule type="containsText" dxfId="157" priority="2" operator="containsText" text="REJECT">
      <formula>NOT(ISERROR(SEARCH("REJECT",H44)))</formula>
    </cfRule>
    <cfRule type="containsText" dxfId="156" priority="3" operator="containsText" text="NOT APROVED">
      <formula>NOT(ISERROR(SEARCH("NOT APROVED",H44)))</formula>
    </cfRule>
    <cfRule type="containsText" dxfId="155" priority="4" operator="containsText" text="IN PROCESS">
      <formula>NOT(ISERROR(SEARCH("IN PROCESS",H44)))</formula>
    </cfRule>
    <cfRule type="containsText" dxfId="154" priority="5" operator="containsText" text="APROVED">
      <formula>NOT(ISERROR(SEARCH("APROVED",H44)))</formula>
    </cfRule>
    <cfRule type="containsText" dxfId="153" priority="6" operator="containsText" text="APROVED">
      <formula>NOT(ISERROR(SEARCH("APROVED",H44)))</formula>
    </cfRule>
    <cfRule type="containsText" dxfId="152" priority="1" operator="containsText" text="REJECT">
      <formula>NOT(ISERROR(SEARCH("REJECT",H44)))</formula>
    </cfRule>
  </conditionalFormatting>
  <hyperlinks>
    <hyperlink ref="E40" r:id="rId1" display="https://app.plangrid.com/projects/7013e639-a783-4018-b12d-1a26d47e897a/field-reports/1517c207-6c8f-4cc3-b417-0d628308bd27/reports/efb53139-b3b2-7a7e-b680-ad5b0de1aba0" xr:uid="{F5542CF6-2841-4223-9250-50D815318F47}"/>
    <hyperlink ref="E43" r:id="rId2" display="https://app.plangrid.com/projects/7013e639-a783-4018-b12d-1a26d47e897a/field-reports/1517c207-6c8f-4cc3-b417-0d628308bd27/reports/5e93d794-413a-49ec-b7cb-6f4e23c101ca" xr:uid="{18B5766C-E8E4-44C3-B1D6-62FED4FD265A}"/>
    <hyperlink ref="E42" r:id="rId3" display="https://app.plangrid.com/projects/7013e639-a783-4018-b12d-1a26d47e897a/field-reports/1517c207-6c8f-4cc3-b417-0d628308bd27/reports/8b31c1cd-0781-7c30-50d6-07fbc516df81" xr:uid="{2A8C642C-58FC-4465-B4AF-174BA9878028}"/>
    <hyperlink ref="E32" r:id="rId4" display="https://app.plangrid.com/projects/7013e639-a783-4018-b12d-1a26d47e897a/field-reports/1517c207-6c8f-4cc3-b417-0d628308bd27/reports/9b61616a-e09a-3c01-0150-989ba1f84f29" xr:uid="{B3F35B4E-CDD3-445B-90AC-E52A61194CDE}"/>
    <hyperlink ref="E38" r:id="rId5" display="https://app.plangrid.com/projects/7013e639-a783-4018-b12d-1a26d47e897a/field-reports/1517c207-6c8f-4cc3-b417-0d628308bd27/reports/d29b1cbb-f195-cb45-a5ce-99ac45561d13" xr:uid="{79A4940D-9311-4EEB-B1AB-CBC52C5A754B}"/>
    <hyperlink ref="E41" r:id="rId6" display="https://app.plangrid.com/projects/7013e639-a783-4018-b12d-1a26d47e897a/field-reports/1517c207-6c8f-4cc3-b417-0d628308bd27/reports/92617e9e-0340-3ca8-f2a9-c8f293cd90ad" xr:uid="{69D7F86C-2077-4A7F-923B-FB6683A3903B}"/>
    <hyperlink ref="E39" r:id="rId7" display="https://app.plangrid.com/projects/7013e639-a783-4018-b12d-1a26d47e897a/field-reports/1517c207-6c8f-4cc3-b417-0d628308bd27/reports/1eed1a6d-e710-5f68-a6d2-a7f38ea6269f" xr:uid="{6EE5360D-7809-4BD3-89F5-C91D4CBFCFEE}"/>
    <hyperlink ref="E36" r:id="rId8" display="https://app.plangrid.com/projects/7013e639-a783-4018-b12d-1a26d47e897a/field-reports/1517c207-6c8f-4cc3-b417-0d628308bd27/reports/7459cef4-b5c6-dda1-9503-5bb49ccf5d7b" xr:uid="{4119694B-42C4-4745-99BB-BD50F4534168}"/>
    <hyperlink ref="E37" r:id="rId9" display="https://app.plangrid.com/projects/7013e639-a783-4018-b12d-1a26d47e897a/field-reports/1517c207-6c8f-4cc3-b417-0d628308bd27/reports/9ab6664f-fa02-4b10-0e75-87b9e9d9d55a" xr:uid="{BC415C4C-3D7F-4DE0-A0FB-1BD084C7D119}"/>
    <hyperlink ref="E35" r:id="rId10" display="https://app.plangrid.com/projects/7013e639-a783-4018-b12d-1a26d47e897a/field-reports/1517c207-6c8f-4cc3-b417-0d628308bd27/reports/4e4023ad-1b9f-0d44-2cf4-43fb7b6999aa" xr:uid="{4CDFB1D1-412B-4C92-86BE-2BE02CF711F9}"/>
    <hyperlink ref="E30" r:id="rId11" display="https://app.plangrid.com/projects/7013e639-a783-4018-b12d-1a26d47e897a/field-reports/1517c207-6c8f-4cc3-b417-0d628308bd27/reports/d57fc909-b64c-2cc5-7415-d30a7ea1dfb2" xr:uid="{A25E612B-00DA-4888-94A3-144C0277A855}"/>
    <hyperlink ref="E29" r:id="rId12" display="https://app.plangrid.com/projects/7013e639-a783-4018-b12d-1a26d47e897a/field-reports/1517c207-6c8f-4cc3-b417-0d628308bd27/reports/4d47f880-b138-1523-9443-e7b4621735eb" xr:uid="{0513A183-F8F8-4A82-8B8F-0C03E47F34F7}"/>
    <hyperlink ref="E31" r:id="rId13" display="https://app.plangrid.com/projects/7013e639-a783-4018-b12d-1a26d47e897a/field-reports/1517c207-6c8f-4cc3-b417-0d628308bd27/reports/889ffd60-b472-94de-4d7b-a80441919fc9" xr:uid="{2EE06ED8-C37D-44E8-A600-297020F1142B}"/>
    <hyperlink ref="E28" r:id="rId14" display="https://app.plangrid.com/projects/7013e639-a783-4018-b12d-1a26d47e897a/field-reports/1517c207-6c8f-4cc3-b417-0d628308bd27/reports/51bb3a7d-9e14-a037-54d0-19216ef66c94" xr:uid="{58D8ECEB-5EBB-453E-8AFB-1E2F78E70F60}"/>
    <hyperlink ref="E24" r:id="rId15" display="https://app.plangrid.com/projects/7013e639-a783-4018-b12d-1a26d47e897a/field-reports/1517c207-6c8f-4cc3-b417-0d628308bd27/reports/daaf3880-56bc-98f7-cfd6-00ae3bf54038" xr:uid="{D8DDB745-C74D-4B1C-9685-54705EC96CA0}"/>
    <hyperlink ref="E25" r:id="rId16" display="https://app.plangrid.com/projects/7013e639-a783-4018-b12d-1a26d47e897a/field-reports/1517c207-6c8f-4cc3-b417-0d628308bd27/reports/0138bf1d-6c2c-d8b4-7aa7-ec31c395344d" xr:uid="{3407F55D-36A9-407A-B4DA-10463E86D22D}"/>
    <hyperlink ref="E26" r:id="rId17" display="https://app.plangrid.com/projects/7013e639-a783-4018-b12d-1a26d47e897a/field-reports/1517c207-6c8f-4cc3-b417-0d628308bd27/reports/848c9539-a9f9-724f-d1a3-dc68fe8b9387" xr:uid="{2F31B3E0-228D-41A5-9AF0-E6D32BAF16F3}"/>
    <hyperlink ref="E27" r:id="rId18" display="https://app.plangrid.com/projects/7013e639-a783-4018-b12d-1a26d47e897a/field-reports/1517c207-6c8f-4cc3-b417-0d628308bd27/reports/af95b548-ce8d-733f-9bbd-65d4a35fd165" xr:uid="{7BD476A1-84BB-4FFA-8C00-558A0A50140F}"/>
    <hyperlink ref="E18" r:id="rId19" display="https://app.plangrid.com/projects/7013e639-a783-4018-b12d-1a26d47e897a/field-reports/1517c207-6c8f-4cc3-b417-0d628308bd27/reports/42b0ab39-60c4-63cb-2e5d-974ea32a75f2" xr:uid="{26F22494-5E62-4522-AD31-61AF39C2C163}"/>
    <hyperlink ref="E19" r:id="rId20" display="https://app.plangrid.com/projects/7013e639-a783-4018-b12d-1a26d47e897a/field-reports/1517c207-6c8f-4cc3-b417-0d628308bd27/reports/c53e1c50-0b25-4a58-ad3c-323ab80444a8" xr:uid="{A248CE78-A630-40AF-95CB-25918EAC3129}"/>
    <hyperlink ref="E20" r:id="rId21" display="https://app.plangrid.com/projects/7013e639-a783-4018-b12d-1a26d47e897a/field-reports/1517c207-6c8f-4cc3-b417-0d628308bd27/reports/db16ffce-af6d-23a5-f071-abc9fb235db3" xr:uid="{DA2AC773-0FD9-4650-82DC-BC5D33E3093C}"/>
    <hyperlink ref="E21" r:id="rId22" display="https://app.plangrid.com/projects/7013e639-a783-4018-b12d-1a26d47e897a/field-reports/1517c207-6c8f-4cc3-b417-0d628308bd27/reports/bcf89b74-740e-2215-4229-447c234166a9" xr:uid="{89715935-07E6-4BEA-88A9-460CDD0E0370}"/>
    <hyperlink ref="E22" r:id="rId23" display="https://app.plangrid.com/projects/7013e639-a783-4018-b12d-1a26d47e897a/field-reports/1517c207-6c8f-4cc3-b417-0d628308bd27/reports/2b3c511f-f60b-0295-6d02-a3f5716798cc" xr:uid="{71E294B0-BDA1-4A1B-87D2-ACEE1F5D30AC}"/>
    <hyperlink ref="E23" r:id="rId24" display="https://app.plangrid.com/projects/7013e639-a783-4018-b12d-1a26d47e897a/field-reports/1517c207-6c8f-4cc3-b417-0d628308bd27/reports/e37c52ff-8c18-3e97-94c6-3d72c1c788b5" xr:uid="{0C9743C5-D132-4F83-866D-8C97B71EA1A5}"/>
    <hyperlink ref="E16" r:id="rId25" display="https://app.plangrid.com/projects/7013e639-a783-4018-b12d-1a26d47e897a/field-reports/1517c207-6c8f-4cc3-b417-0d628308bd27/reports/79d6186f-eeaa-2478-9d7e-bcfba6f8fcd4" xr:uid="{2033CC9C-E0BD-4411-910E-1867877C58EB}"/>
    <hyperlink ref="E17" r:id="rId26" display="https://app.plangrid.com/projects/7013e639-a783-4018-b12d-1a26d47e897a/field-reports/1517c207-6c8f-4cc3-b417-0d628308bd27/reports/db19b146-2a05-523b-9737-03fb0a58a698" xr:uid="{E8BFCA1E-8D74-439A-B379-1BB4CDD99C51}"/>
    <hyperlink ref="E12" r:id="rId27" display="https://app.plangrid.com/projects/7013e639-a783-4018-b12d-1a26d47e897a/field-reports/1517c207-6c8f-4cc3-b417-0d628308bd27/reports/3c76e787-2013-589e-7d7c-98ab0227b953" xr:uid="{4D65C5D6-2D9B-444C-9324-2D63181CF67B}"/>
    <hyperlink ref="E13" r:id="rId28" display="https://app.plangrid.com/projects/7013e639-a783-4018-b12d-1a26d47e897a/field-reports/1517c207-6c8f-4cc3-b417-0d628308bd27/reports/746ec4ad-f5e7-fdff-bd46-183637962d58" xr:uid="{E9D4FCDA-B95F-452A-891D-E839C7E32715}"/>
    <hyperlink ref="E14" r:id="rId29" display="https://app.plangrid.com/projects/7013e639-a783-4018-b12d-1a26d47e897a/field-reports/1517c207-6c8f-4cc3-b417-0d628308bd27/reports/0ab9d690-f52e-c466-fb7a-3157ddf0a9d1" xr:uid="{F14F1912-EF0F-46BE-B3BA-B3CAEF12BD7B}"/>
    <hyperlink ref="E15" r:id="rId30" display="https://app.plangrid.com/projects/7013e639-a783-4018-b12d-1a26d47e897a/field-reports/1517c207-6c8f-4cc3-b417-0d628308bd27/reports/274c119f-cdce-c645-b55b-4fcc620be69e" xr:uid="{46A46B2E-2F07-4FE8-986E-F285EDE2A4E4}"/>
    <hyperlink ref="E4" r:id="rId31" display="https://app.plangrid.com/projects/7013e639-a783-4018-b12d-1a26d47e897a/field-reports/1517c207-6c8f-4cc3-b417-0d628308bd27/reports/629f5960-cc12-a07d-09b6-e44114c77bf0" xr:uid="{B5B400BE-96AD-4B97-8DC5-068269FD4556}"/>
    <hyperlink ref="E5" r:id="rId32" display="https://app.plangrid.com/projects/7013e639-a783-4018-b12d-1a26d47e897a/field-reports/1517c207-6c8f-4cc3-b417-0d628308bd27/reports/fd5bfc15-8986-bc1d-fec3-ce6dc14fcdac" xr:uid="{F00B3BDA-BE9C-421B-8B66-28724CD24DA3}"/>
    <hyperlink ref="E6" r:id="rId33" display="https://app.plangrid.com/projects/7013e639-a783-4018-b12d-1a26d47e897a/field-reports/1517c207-6c8f-4cc3-b417-0d628308bd27/reports/ae047ae1-de37-8002-75a6-121bdd4577d1" xr:uid="{DCA9D080-ACA5-42FB-9018-FF62C192DB25}"/>
    <hyperlink ref="E7" r:id="rId34" display="https://app.plangrid.com/projects/7013e639-a783-4018-b12d-1a26d47e897a/field-reports/1517c207-6c8f-4cc3-b417-0d628308bd27/reports/11dfefb1-9706-452b-012b-4cd09546fa89" xr:uid="{DC2886B4-57DD-4357-93F9-66FFDE42C304}"/>
    <hyperlink ref="E8" r:id="rId35" display="https://app.plangrid.com/projects/7013e639-a783-4018-b12d-1a26d47e897a/field-reports/1517c207-6c8f-4cc3-b417-0d628308bd27/reports/2c29ae5f-ea6c-e24b-6b1a-7a2c2a1ec897" xr:uid="{5CEDA563-94BC-47AF-8145-275EEFC598DB}"/>
    <hyperlink ref="E9" r:id="rId36" display="https://app.plangrid.com/projects/7013e639-a783-4018-b12d-1a26d47e897a/field-reports/1517c207-6c8f-4cc3-b417-0d628308bd27/reports/b5d345fe-2ff6-1977-1dcf-73b64801de1c" xr:uid="{769ED2DF-5184-4565-8D4A-55EE8466DD82}"/>
    <hyperlink ref="E10" r:id="rId37" display="https://app.plangrid.com/projects/7013e639-a783-4018-b12d-1a26d47e897a/field-reports/1517c207-6c8f-4cc3-b417-0d628308bd27/reports/7765816e-c51f-ec3f-e75e-8c0867c4e116" xr:uid="{EC604325-53FA-49CE-A3A3-5B3F80AD6186}"/>
    <hyperlink ref="E11" r:id="rId38" display="https://app.plangrid.com/projects/7013e639-a783-4018-b12d-1a26d47e897a/field-reports/1517c207-6c8f-4cc3-b417-0d628308bd27/reports/8d813532-b4f8-e029-4dcb-136dc3d158bf" xr:uid="{4990F140-F33B-411A-AA1A-715F33AA54FE}"/>
    <hyperlink ref="E3" r:id="rId39" display="https://app.plangrid.com/projects/7013e639-a783-4018-b12d-1a26d47e897a/field-reports/1517c207-6c8f-4cc3-b417-0d628308bd27/reports/f9f5e928-cf39-c3d3-0966-40e9cb5dc71a" xr:uid="{81B0DB2B-7DF9-4EE3-A723-0E0FB7DF42EF}"/>
    <hyperlink ref="E45" r:id="rId40" display="https://app.plangrid.com/projects/7013e639-a783-4018-b12d-1a26d47e897a/field-reports/1517c207-6c8f-4cc3-b417-0d628308bd27/reports/f11d51a9-e91d-102d-cd96-6b7f2360a176" xr:uid="{3E0F12C6-36D5-474B-8F84-0CBC6947C0BD}"/>
    <hyperlink ref="E47" r:id="rId41" display="https://app.plangrid.com/projects/7013e639-a783-4018-b12d-1a26d47e897a/field-reports/1517c207-6c8f-4cc3-b417-0d628308bd27/reports/6a2c7acf-302b-337e-de93-f1f70e7085fd" xr:uid="{4C02B4AA-5DE5-4ED2-AAC2-3BB23252DCCA}"/>
    <hyperlink ref="E49" r:id="rId42" display="https://app.plangrid.com/projects/7013e639-a783-4018-b12d-1a26d47e897a/field-reports/1517c207-6c8f-4cc3-b417-0d628308bd27/reports/38f360b1-2628-af14-19e5-4d77f0338a5e" xr:uid="{8D1C7D5E-6855-4E3D-AA7B-CAEEA5359EF6}"/>
    <hyperlink ref="E50" r:id="rId43" display="https://app.plangrid.com/projects/7013e639-a783-4018-b12d-1a26d47e897a/field-reports/1517c207-6c8f-4cc3-b417-0d628308bd27/reports/2b61a39c-7192-26b7-5b89-3a5776527167" xr:uid="{6FC7D542-692A-4809-9FD3-4FCFB993AAFD}"/>
    <hyperlink ref="E48" r:id="rId44" display="https://app.plangrid.com/projects/7013e639-a783-4018-b12d-1a26d47e897a/field-reports/1517c207-6c8f-4cc3-b417-0d628308bd27/reports/dc7eaba1-36f9-74bc-0e78-742e141f7f79" xr:uid="{0681D37D-B8EA-42D8-B33F-E5AF502705DB}"/>
    <hyperlink ref="E51" r:id="rId45" display="https://app.plangrid.com/projects/7013e639-a783-4018-b12d-1a26d47e897a/field-reports/1517c207-6c8f-4cc3-b417-0d628308bd27/reports/9046045f-3b39-ba11-b7b0-2e8ab582558e" xr:uid="{B61895AB-9DF6-4002-9763-BD16B58F554E}"/>
    <hyperlink ref="E52" r:id="rId46" display="https://app.plangrid.com/projects/7013e639-a783-4018-b12d-1a26d47e897a/field-reports/1517c207-6c8f-4cc3-b417-0d628308bd27/reports/8da58d91-0b60-8a78-0fcc-7af3c3255b67" xr:uid="{E6A92D61-9851-45C7-BBCB-7B320C09E9CB}"/>
    <hyperlink ref="E53" r:id="rId47" display="https://app.plangrid.com/projects/7013e639-a783-4018-b12d-1a26d47e897a/field-reports/1517c207-6c8f-4cc3-b417-0d628308bd27/reports/6a44ced8-cc92-69fa-56ac-ab680c7a547c" xr:uid="{ECCEF33D-2DD4-4C47-B137-3112DAD36C1F}"/>
    <hyperlink ref="E44" r:id="rId48" display="https://app.plangrid.com/projects/7013e639-a783-4018-b12d-1a26d47e897a/field-reports/1517c207-6c8f-4cc3-b417-0d628308bd27/reports/5d46ce7d-71ba-dafc-885b-a71f2696f6ff" xr:uid="{0A96FE60-A5EA-4977-B432-CFF18E9D7BBF}"/>
    <hyperlink ref="E46" r:id="rId49" display="https://app.plangrid.com/projects/7013e639-a783-4018-b12d-1a26d47e897a/field-reports/1517c207-6c8f-4cc3-b417-0d628308bd27/reports/8738182c-348d-bd40-81fb-437672539149" xr:uid="{0E362B8B-BC47-48B6-9044-9EDC41C39166}"/>
    <hyperlink ref="E33" r:id="rId50" display="https://app.plangrid.com/projects/9db07f87-be90-4c60-b04e-d9bc0d3b6973/field-reports/e27097cd-2693-4911-8e59-e5677de46e74/reports/441c8511-c8a3-ff86-78f4-a448b1465899" xr:uid="{766AEC0D-6AEC-4822-9BB1-C586CEB4B5A2}"/>
    <hyperlink ref="E54" r:id="rId51" display="https://app.plangrid.com/projects/7013e639-a783-4018-b12d-1a26d47e897a/field-reports/1517c207-6c8f-4cc3-b417-0d628308bd27/reports/565bd7e9-6b09-238f-9754-a21a5a8e7b19" xr:uid="{55EF6EA0-6241-4E0F-9CB5-6EC0BC56969D}"/>
    <hyperlink ref="E34" r:id="rId52" display="https://app.plangrid.com/projects/9db07f87-be90-4c60-b04e-d9bc0d3b6973/field-reports/e27097cd-2693-4911-8e59-e5677de46e74/reports/e2f7d02a-ded4-c6a9-bcb0-2535c36fd250" xr:uid="{5237E274-A6C4-49A8-A064-5E589AD053DA}"/>
    <hyperlink ref="E55" r:id="rId53" display="https://app.plangrid.com/projects/9db07f87-be90-4c60-b04e-d9bc0d3b6973/field-reports/e27097cd-2693-4911-8e59-e5677de46e74/reports/d3a922b4-87cb-7c2f-309d-afb164c303e7" xr:uid="{E78003BC-B660-4032-B9C4-23D6A132929C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3" operator="containsText" id="{C9E59781-C1F4-4E0E-AC1B-F848881A96EE}">
            <xm:f>NOT(ISERROR(SEARCH(APROVED,F6)))</xm:f>
            <xm:f>APROVED</xm:f>
            <x14:dxf>
              <fill>
                <gradientFill type="path" left="0.5" right="0.5" top="0.5" bottom="0.5">
                  <stop position="0">
                    <color theme="0"/>
                  </stop>
                  <stop position="1">
                    <color rgb="FF00B050"/>
                  </stop>
                </gradientFill>
              </fill>
            </x14:dxf>
          </x14:cfRule>
          <xm:sqref>F6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307449-7A29-4D8F-806B-42C6DB0D440D}">
          <x14:formula1>
            <xm:f>PLANGRID!$F$2136:$F$2139</xm:f>
          </x14:formula1>
          <xm:sqref>F3:F1048576 H42 H44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417D-D946-4D7E-B580-B82153BEA92C}">
  <dimension ref="A12:E46"/>
  <sheetViews>
    <sheetView topLeftCell="A40" zoomScale="97" zoomScaleNormal="97" workbookViewId="0">
      <selection activeCell="A41" sqref="A41:E46"/>
    </sheetView>
  </sheetViews>
  <sheetFormatPr defaultColWidth="8.90625" defaultRowHeight="38.5" customHeight="1" x14ac:dyDescent="0.35"/>
  <cols>
    <col min="1" max="1" width="25.6328125" style="10" customWidth="1"/>
    <col min="2" max="2" width="11.26953125" style="10" customWidth="1"/>
    <col min="3" max="3" width="14.08984375" style="10" customWidth="1"/>
    <col min="4" max="4" width="98.7265625" style="24" customWidth="1"/>
    <col min="5" max="5" width="13.6328125" style="10" customWidth="1"/>
    <col min="6" max="16384" width="8.90625" style="10"/>
  </cols>
  <sheetData>
    <row r="12" spans="1:5" ht="38.5" customHeight="1" thickBot="1" x14ac:dyDescent="0.4">
      <c r="A12" s="10" t="s">
        <v>3634</v>
      </c>
      <c r="B12" s="10" t="s">
        <v>3635</v>
      </c>
      <c r="C12" s="10" t="s">
        <v>3636</v>
      </c>
      <c r="D12" s="24" t="s">
        <v>3637</v>
      </c>
      <c r="E12" s="10" t="s">
        <v>3638</v>
      </c>
    </row>
    <row r="13" spans="1:5" ht="43" customHeight="1" thickBot="1" x14ac:dyDescent="0.4">
      <c r="A13" s="20" t="s">
        <v>3626</v>
      </c>
      <c r="B13" s="21" t="s">
        <v>3627</v>
      </c>
      <c r="C13" s="21" t="s">
        <v>3628</v>
      </c>
      <c r="D13" s="15" t="s">
        <v>3629</v>
      </c>
      <c r="E13" s="29" t="s">
        <v>3612</v>
      </c>
    </row>
    <row r="14" spans="1:5" ht="43" customHeight="1" thickBot="1" x14ac:dyDescent="0.4">
      <c r="A14" s="17" t="s">
        <v>3630</v>
      </c>
      <c r="B14" s="18" t="s">
        <v>3631</v>
      </c>
      <c r="C14" s="18" t="s">
        <v>3632</v>
      </c>
      <c r="D14" s="19" t="s">
        <v>3633</v>
      </c>
      <c r="E14" s="30" t="s">
        <v>3612</v>
      </c>
    </row>
    <row r="15" spans="1:5" ht="43" customHeight="1" thickBot="1" x14ac:dyDescent="0.4">
      <c r="A15" s="22" t="s">
        <v>3608</v>
      </c>
      <c r="B15" s="23" t="s">
        <v>3609</v>
      </c>
      <c r="C15" s="23" t="s">
        <v>3610</v>
      </c>
      <c r="D15" s="19" t="s">
        <v>3611</v>
      </c>
      <c r="E15" s="30" t="s">
        <v>3612</v>
      </c>
    </row>
    <row r="16" spans="1:5" ht="43" customHeight="1" thickBot="1" x14ac:dyDescent="0.4">
      <c r="A16" s="22" t="s">
        <v>3613</v>
      </c>
      <c r="B16" s="23" t="s">
        <v>3614</v>
      </c>
      <c r="C16" s="23" t="s">
        <v>3610</v>
      </c>
      <c r="D16" s="19" t="s">
        <v>3615</v>
      </c>
      <c r="E16" s="30" t="s">
        <v>3612</v>
      </c>
    </row>
    <row r="17" spans="1:5" ht="43" customHeight="1" thickBot="1" x14ac:dyDescent="0.4">
      <c r="A17" s="22" t="s">
        <v>3616</v>
      </c>
      <c r="B17" s="23" t="s">
        <v>3617</v>
      </c>
      <c r="C17" s="23" t="s">
        <v>3618</v>
      </c>
      <c r="D17" s="19" t="s">
        <v>3619</v>
      </c>
      <c r="E17" s="30" t="s">
        <v>3612</v>
      </c>
    </row>
    <row r="18" spans="1:5" ht="43" customHeight="1" thickBot="1" x14ac:dyDescent="0.4">
      <c r="A18" s="22" t="s">
        <v>3620</v>
      </c>
      <c r="B18" s="23" t="s">
        <v>3621</v>
      </c>
      <c r="C18" s="23" t="s">
        <v>3618</v>
      </c>
      <c r="D18" s="19" t="s">
        <v>3622</v>
      </c>
      <c r="E18" s="30" t="s">
        <v>3612</v>
      </c>
    </row>
    <row r="19" spans="1:5" ht="38.5" customHeight="1" thickBot="1" x14ac:dyDescent="0.4">
      <c r="A19" s="20" t="s">
        <v>3623</v>
      </c>
      <c r="B19" s="21" t="s">
        <v>3624</v>
      </c>
      <c r="C19" s="21" t="s">
        <v>3618</v>
      </c>
      <c r="D19" s="15" t="s">
        <v>3625</v>
      </c>
      <c r="E19" s="29" t="s">
        <v>3612</v>
      </c>
    </row>
    <row r="23" spans="1:5" ht="38.5" customHeight="1" thickBot="1" x14ac:dyDescent="0.4">
      <c r="A23" s="10" t="s">
        <v>3634</v>
      </c>
      <c r="B23" s="10" t="s">
        <v>3635</v>
      </c>
      <c r="C23" s="10" t="s">
        <v>3636</v>
      </c>
      <c r="D23" s="24" t="s">
        <v>3637</v>
      </c>
      <c r="E23" s="10" t="s">
        <v>3638</v>
      </c>
    </row>
    <row r="24" spans="1:5" ht="38.5" customHeight="1" thickBot="1" x14ac:dyDescent="0.4">
      <c r="A24" s="27" t="s">
        <v>3639</v>
      </c>
      <c r="B24" s="28" t="s">
        <v>3640</v>
      </c>
      <c r="C24" s="28" t="s">
        <v>3632</v>
      </c>
      <c r="D24" s="15" t="s">
        <v>3641</v>
      </c>
      <c r="E24" s="16" t="s">
        <v>3612</v>
      </c>
    </row>
    <row r="25" spans="1:5" ht="38.5" customHeight="1" thickBot="1" x14ac:dyDescent="0.4">
      <c r="A25" s="27" t="s">
        <v>3661</v>
      </c>
      <c r="B25" s="28" t="s">
        <v>3662</v>
      </c>
      <c r="C25" s="28" t="s">
        <v>3610</v>
      </c>
      <c r="D25" s="15" t="s">
        <v>3663</v>
      </c>
      <c r="E25" s="16" t="s">
        <v>3612</v>
      </c>
    </row>
    <row r="26" spans="1:5" ht="38.5" customHeight="1" thickBot="1" x14ac:dyDescent="0.4">
      <c r="A26" s="27" t="s">
        <v>3664</v>
      </c>
      <c r="B26" s="28" t="s">
        <v>3665</v>
      </c>
      <c r="C26" s="28" t="s">
        <v>3632</v>
      </c>
      <c r="D26" s="15" t="s">
        <v>3666</v>
      </c>
      <c r="E26" s="16" t="s">
        <v>3612</v>
      </c>
    </row>
    <row r="27" spans="1:5" ht="38.5" customHeight="1" thickBot="1" x14ac:dyDescent="0.4">
      <c r="A27" s="27" t="s">
        <v>3667</v>
      </c>
      <c r="B27" s="28" t="s">
        <v>3668</v>
      </c>
      <c r="C27" s="28" t="s">
        <v>3669</v>
      </c>
      <c r="D27" s="15" t="s">
        <v>3670</v>
      </c>
      <c r="E27" s="16" t="s">
        <v>3612</v>
      </c>
    </row>
    <row r="28" spans="1:5" ht="38.5" customHeight="1" thickBot="1" x14ac:dyDescent="0.4">
      <c r="A28" s="27" t="s">
        <v>3693</v>
      </c>
      <c r="B28" s="28" t="s">
        <v>3694</v>
      </c>
      <c r="C28" s="28" t="s">
        <v>3669</v>
      </c>
      <c r="D28" s="15" t="s">
        <v>3695</v>
      </c>
      <c r="E28" s="16" t="s">
        <v>3612</v>
      </c>
    </row>
    <row r="29" spans="1:5" ht="38.5" customHeight="1" thickBot="1" x14ac:dyDescent="0.4">
      <c r="A29" s="27" t="s">
        <v>3671</v>
      </c>
      <c r="B29" s="28" t="s">
        <v>3672</v>
      </c>
      <c r="C29" s="28" t="s">
        <v>3673</v>
      </c>
      <c r="D29" s="15" t="s">
        <v>3674</v>
      </c>
      <c r="E29" s="16" t="s">
        <v>3612</v>
      </c>
    </row>
    <row r="30" spans="1:5" ht="38.5" customHeight="1" thickBot="1" x14ac:dyDescent="0.4">
      <c r="A30" s="27" t="s">
        <v>3690</v>
      </c>
      <c r="B30" s="28" t="s">
        <v>3691</v>
      </c>
      <c r="C30" s="28" t="s">
        <v>3632</v>
      </c>
      <c r="D30" s="15" t="s">
        <v>3692</v>
      </c>
      <c r="E30" s="16" t="s">
        <v>3612</v>
      </c>
    </row>
    <row r="31" spans="1:5" ht="38.5" customHeight="1" thickBot="1" x14ac:dyDescent="0.4">
      <c r="A31" s="27" t="s">
        <v>3809</v>
      </c>
      <c r="B31" s="28" t="s">
        <v>3810</v>
      </c>
      <c r="C31" s="28" t="s">
        <v>3673</v>
      </c>
      <c r="D31" s="15" t="s">
        <v>3811</v>
      </c>
      <c r="E31" s="16" t="s">
        <v>3612</v>
      </c>
    </row>
    <row r="32" spans="1:5" ht="38.5" customHeight="1" thickBot="1" x14ac:dyDescent="0.4">
      <c r="A32" s="27" t="s">
        <v>3812</v>
      </c>
      <c r="B32" s="28" t="s">
        <v>3813</v>
      </c>
      <c r="C32" s="28" t="s">
        <v>3628</v>
      </c>
      <c r="D32" s="15" t="s">
        <v>3814</v>
      </c>
      <c r="E32" s="16" t="s">
        <v>3612</v>
      </c>
    </row>
    <row r="33" spans="1:5" ht="38.5" customHeight="1" thickBot="1" x14ac:dyDescent="0.4">
      <c r="A33" s="27" t="s">
        <v>3824</v>
      </c>
      <c r="B33" s="28" t="s">
        <v>3825</v>
      </c>
      <c r="C33" s="28" t="s">
        <v>3826</v>
      </c>
      <c r="D33" s="15" t="s">
        <v>3827</v>
      </c>
      <c r="E33" s="16" t="s">
        <v>3612</v>
      </c>
    </row>
    <row r="34" spans="1:5" ht="38.5" customHeight="1" thickBot="1" x14ac:dyDescent="0.4">
      <c r="A34" s="27" t="s">
        <v>3704</v>
      </c>
      <c r="B34" s="28" t="s">
        <v>3856</v>
      </c>
      <c r="C34" s="28" t="s">
        <v>3857</v>
      </c>
      <c r="D34" s="15" t="s">
        <v>3858</v>
      </c>
      <c r="E34" s="16" t="s">
        <v>3612</v>
      </c>
    </row>
    <row r="36" spans="1:5" ht="38.5" customHeight="1" thickBot="1" x14ac:dyDescent="0.4"/>
    <row r="37" spans="1:5" ht="38.5" customHeight="1" thickBot="1" x14ac:dyDescent="0.4">
      <c r="A37" s="27" t="s">
        <v>3704</v>
      </c>
      <c r="B37" s="28" t="s">
        <v>4008</v>
      </c>
      <c r="C37" s="28" t="s">
        <v>3857</v>
      </c>
      <c r="D37" s="15" t="s">
        <v>3858</v>
      </c>
      <c r="E37" s="16" t="s">
        <v>3612</v>
      </c>
    </row>
    <row r="38" spans="1:5" ht="38.5" customHeight="1" thickBot="1" x14ac:dyDescent="0.4">
      <c r="A38" s="17" t="s">
        <v>3875</v>
      </c>
      <c r="B38" s="18" t="s">
        <v>4009</v>
      </c>
      <c r="C38" s="18" t="s">
        <v>3702</v>
      </c>
      <c r="D38" s="19" t="s">
        <v>3863</v>
      </c>
      <c r="E38" s="64" t="s">
        <v>3612</v>
      </c>
    </row>
    <row r="39" spans="1:5" ht="38.5" customHeight="1" thickBot="1" x14ac:dyDescent="0.4">
      <c r="A39" s="27" t="s">
        <v>4011</v>
      </c>
      <c r="B39" s="28" t="s">
        <v>4010</v>
      </c>
      <c r="C39" s="28" t="s">
        <v>3702</v>
      </c>
      <c r="D39" s="15" t="s">
        <v>4004</v>
      </c>
      <c r="E39" s="16" t="s">
        <v>3612</v>
      </c>
    </row>
    <row r="40" spans="1:5" ht="38.5" customHeight="1" thickBot="1" x14ac:dyDescent="0.4"/>
    <row r="41" spans="1:5" ht="38.5" customHeight="1" thickBot="1" x14ac:dyDescent="0.4">
      <c r="A41" s="84" t="s">
        <v>4020</v>
      </c>
      <c r="B41" s="85" t="s">
        <v>4021</v>
      </c>
      <c r="C41" s="85" t="s">
        <v>4023</v>
      </c>
      <c r="D41" s="86" t="s">
        <v>4022</v>
      </c>
      <c r="E41" s="16" t="s">
        <v>3612</v>
      </c>
    </row>
    <row r="42" spans="1:5" ht="38.5" customHeight="1" thickBot="1" x14ac:dyDescent="0.4">
      <c r="A42" s="17" t="s">
        <v>4024</v>
      </c>
      <c r="B42" s="18" t="s">
        <v>4025</v>
      </c>
      <c r="C42" s="18" t="s">
        <v>4026</v>
      </c>
      <c r="D42" s="19" t="s">
        <v>4027</v>
      </c>
      <c r="E42" s="64" t="s">
        <v>3612</v>
      </c>
    </row>
    <row r="43" spans="1:5" ht="38.5" customHeight="1" thickBot="1" x14ac:dyDescent="0.4">
      <c r="A43" s="27" t="s">
        <v>4028</v>
      </c>
      <c r="B43" s="28" t="s">
        <v>4029</v>
      </c>
      <c r="C43" s="28" t="s">
        <v>3702</v>
      </c>
      <c r="D43" s="15" t="s">
        <v>3703</v>
      </c>
      <c r="E43" s="16" t="s">
        <v>3612</v>
      </c>
    </row>
    <row r="44" spans="1:5" ht="38.5" customHeight="1" thickBot="1" x14ac:dyDescent="0.4">
      <c r="A44" s="17" t="s">
        <v>3875</v>
      </c>
      <c r="B44" s="18" t="s">
        <v>4009</v>
      </c>
      <c r="C44" s="18" t="s">
        <v>3702</v>
      </c>
      <c r="D44" s="19" t="s">
        <v>3863</v>
      </c>
      <c r="E44" s="64" t="s">
        <v>3612</v>
      </c>
    </row>
    <row r="45" spans="1:5" ht="38.5" customHeight="1" thickBot="1" x14ac:dyDescent="0.4">
      <c r="A45" s="27" t="s">
        <v>4030</v>
      </c>
      <c r="B45" s="28" t="s">
        <v>4031</v>
      </c>
      <c r="C45" s="28" t="s">
        <v>3857</v>
      </c>
      <c r="D45" s="15" t="s">
        <v>3858</v>
      </c>
      <c r="E45" s="16" t="s">
        <v>3612</v>
      </c>
    </row>
    <row r="46" spans="1:5" ht="38.5" customHeight="1" thickBot="1" x14ac:dyDescent="0.4">
      <c r="A46" s="27" t="s">
        <v>4032</v>
      </c>
      <c r="B46" s="28" t="s">
        <v>4033</v>
      </c>
      <c r="C46" s="28" t="s">
        <v>4034</v>
      </c>
      <c r="D46" s="15" t="s">
        <v>4035</v>
      </c>
      <c r="E46" s="16" t="s">
        <v>3612</v>
      </c>
    </row>
  </sheetData>
  <autoFilter ref="A23:E23" xr:uid="{639A417D-D946-4D7E-B580-B82153BEA92C}">
    <sortState xmlns:xlrd2="http://schemas.microsoft.com/office/spreadsheetml/2017/richdata2" ref="A24:E32">
      <sortCondition ref="A23"/>
    </sortState>
  </autoFilter>
  <phoneticPr fontId="10" type="noConversion"/>
  <hyperlinks>
    <hyperlink ref="E15" r:id="rId1" display="https://app.plangrid.com/projects/7013e639-a783-4018-b12d-1a26d47e897a/field-reports/1517c207-6c8f-4cc3-b417-0d628308bd27/reports/d29b1cbb-f195-cb45-a5ce-99ac45561d13" xr:uid="{23F465B6-3744-437F-BBC3-38FD76360A38}"/>
    <hyperlink ref="E16" r:id="rId2" display="https://app.plangrid.com/projects/7013e639-a783-4018-b12d-1a26d47e897a/field-reports/1517c207-6c8f-4cc3-b417-0d628308bd27/reports/92617e9e-0340-3ca8-f2a9-c8f293cd90ad" xr:uid="{D2E6EFB6-4E54-42E1-83FA-EDAF8F56A326}"/>
    <hyperlink ref="E17" r:id="rId3" display="https://app.plangrid.com/projects/7013e639-a783-4018-b12d-1a26d47e897a/field-reports/1517c207-6c8f-4cc3-b417-0d628308bd27/reports/1eed1a6d-e710-5f68-a6d2-a7f38ea6269f" xr:uid="{3AF5FA24-7394-4952-9EF0-396337F5D396}"/>
    <hyperlink ref="E18" r:id="rId4" display="https://app.plangrid.com/projects/7013e639-a783-4018-b12d-1a26d47e897a/field-reports/1517c207-6c8f-4cc3-b417-0d628308bd27/reports/7459cef4-b5c6-dda1-9503-5bb49ccf5d7b" xr:uid="{F605DF21-60F3-4E48-83C1-0B03A71EA57C}"/>
    <hyperlink ref="E19" r:id="rId5" display="https://app.plangrid.com/projects/7013e639-a783-4018-b12d-1a26d47e897a/field-reports/1517c207-6c8f-4cc3-b417-0d628308bd27/reports/9ab6664f-fa02-4b10-0e75-87b9e9d9d55a" xr:uid="{5085169B-CF64-482F-83D5-B2913405952F}"/>
    <hyperlink ref="E13" r:id="rId6" display="https://app.plangrid.com/projects/7013e639-a783-4018-b12d-1a26d47e897a/field-reports/1517c207-6c8f-4cc3-b417-0d628308bd27/reports/efb53139-b3b2-7a7e-b680-ad5b0de1aba0" xr:uid="{1027D446-2579-4496-8F3D-46CFDFE58227}"/>
    <hyperlink ref="E14" r:id="rId7" display="https://app.plangrid.com/projects/7013e639-a783-4018-b12d-1a26d47e897a/field-reports/1517c207-6c8f-4cc3-b417-0d628308bd27/reports/5e93d794-413a-49ec-b7cb-6f4e23c101ca" xr:uid="{C232C91C-1C8B-4DA8-8BFA-DE96E4AAA686}"/>
    <hyperlink ref="E24" r:id="rId8" display="https://app.plangrid.com/projects/7013e639-a783-4018-b12d-1a26d47e897a/field-reports/1517c207-6c8f-4cc3-b417-0d628308bd27/reports/4e7a99e6-c20e-317c-2fae-24e2d6e70cc5" xr:uid="{6735DBF6-4566-40A7-A11A-D7CD9FA700CA}"/>
    <hyperlink ref="E25" r:id="rId9" display="https://app.plangrid.com/projects/7013e639-a783-4018-b12d-1a26d47e897a/field-reports/1517c207-6c8f-4cc3-b417-0d628308bd27/reports/f11d51a9-e91d-102d-cd96-6b7f2360a176" xr:uid="{99508830-BCDD-4C7D-A1FE-0BD89D62F6C3}"/>
    <hyperlink ref="E26" r:id="rId10" display="https://app.plangrid.com/projects/7013e639-a783-4018-b12d-1a26d47e897a/field-reports/1517c207-6c8f-4cc3-b417-0d628308bd27/reports/a78b001c-9c2b-0515-c77a-bc8deaf22058" xr:uid="{985BDFB4-73ED-4DA4-820C-5F98F9CD4555}"/>
    <hyperlink ref="E27" r:id="rId11" display="https://app.plangrid.com/projects/7013e639-a783-4018-b12d-1a26d47e897a/field-reports/1517c207-6c8f-4cc3-b417-0d628308bd27/reports/6a2c7acf-302b-337e-de93-f1f70e7085fd" xr:uid="{4084532F-B860-43EB-AE68-B44AA4759842}"/>
    <hyperlink ref="E29" r:id="rId12" display="https://app.plangrid.com/projects/7013e639-a783-4018-b12d-1a26d47e897a/field-reports/1517c207-6c8f-4cc3-b417-0d628308bd27/reports/38f360b1-2628-af14-19e5-4d77f0338a5e" xr:uid="{8C457098-077C-4D5C-8A46-446083D33FAA}"/>
    <hyperlink ref="E30" r:id="rId13" display="https://app.plangrid.com/projects/7013e639-a783-4018-b12d-1a26d47e897a/field-reports/1517c207-6c8f-4cc3-b417-0d628308bd27/reports/2b61a39c-7192-26b7-5b89-3a5776527167" xr:uid="{825E7EBC-7FE2-4D79-8BF6-90B424BDA6DB}"/>
    <hyperlink ref="E28" r:id="rId14" display="https://app.plangrid.com/projects/7013e639-a783-4018-b12d-1a26d47e897a/field-reports/1517c207-6c8f-4cc3-b417-0d628308bd27/reports/dc7eaba1-36f9-74bc-0e78-742e141f7f79" xr:uid="{912D32BE-9E02-466E-8859-984CDB04D5A9}"/>
    <hyperlink ref="E31" r:id="rId15" display="https://app.plangrid.com/projects/7013e639-a783-4018-b12d-1a26d47e897a/field-reports/1517c207-6c8f-4cc3-b417-0d628308bd27/reports/9046045f-3b39-ba11-b7b0-2e8ab582558e" xr:uid="{6F82FF1A-9501-40B8-82C0-DE118B4D56F8}"/>
    <hyperlink ref="E32" r:id="rId16" display="https://app.plangrid.com/projects/7013e639-a783-4018-b12d-1a26d47e897a/field-reports/1517c207-6c8f-4cc3-b417-0d628308bd27/reports/8da58d91-0b60-8a78-0fcc-7af3c3255b67" xr:uid="{C8AFB4E9-1A30-4BA0-83B0-69BBB74FC8D9}"/>
    <hyperlink ref="E33" r:id="rId17" display="https://app.plangrid.com/projects/7013e639-a783-4018-b12d-1a26d47e897a/field-reports/1517c207-6c8f-4cc3-b417-0d628308bd27/reports/6a44ced8-cc92-69fa-56ac-ab680c7a547c" xr:uid="{6BAFC791-4836-4158-9996-843FF3037860}"/>
    <hyperlink ref="E34" r:id="rId18" display="https://app.plangrid.com/projects/9db07f87-be90-4c60-b04e-d9bc0d3b6973/field-reports/e27097cd-2693-4911-8e59-e5677de46e74/reports/441c8511-c8a3-ff86-78f4-a448b1465899" xr:uid="{86F2EE69-DBE9-4506-8DE0-D4E5F47F585D}"/>
    <hyperlink ref="E37" r:id="rId19" display="https://app.plangrid.com/projects/9db07f87-be90-4c60-b04e-d9bc0d3b6973/field-reports/e27097cd-2693-4911-8e59-e5677de46e74/reports/6430c4fb-aa7a-c565-1e7a-8e07a16bf54b" xr:uid="{F93877AF-1321-4F10-BE40-AEFA8423EF5E}"/>
    <hyperlink ref="E38" r:id="rId20" display="https://app.plangrid.com/projects/9db07f87-be90-4c60-b04e-d9bc0d3b6973/field-reports/e27097cd-2693-4911-8e59-e5677de46e74/reports/6e5a23a3-4110-d907-ae1f-e1971902d159" xr:uid="{96A64105-590B-43A5-BACE-AFF9D1D4CD60}"/>
    <hyperlink ref="E39" r:id="rId21" display="https://app.plangrid.com/projects/9db07f87-be90-4c60-b04e-d9bc0d3b6973/field-reports/e27097cd-2693-4911-8e59-e5677de46e74/reports/9caafe28-7656-dd42-f67b-5dfe0db41dde" xr:uid="{46147AD3-B0D5-4170-8D1F-4B1FE41C22A1}"/>
    <hyperlink ref="E41" r:id="rId22" display="https://app.plangrid.com/projects/9f142387-42d6-4f1e-8e27-588559f7e501/field-reports/b2c3e725-a5c8-4119-8cb3-6a2d6de1e2c1/reports/160e2cf0-9d2e-29e2-b23e-c5fa5a63d41a" xr:uid="{B5AEF02E-1224-4DD8-9CAE-62D938942091}"/>
    <hyperlink ref="E42" r:id="rId23" display="https://app.plangrid.com/projects/7013e639-a783-4018-b12d-1a26d47e897a/field-reports/1517c207-6c8f-4cc3-b417-0d628308bd27/reports/b2bdd98b-6456-46a6-c860-4151e2ad8dc6" xr:uid="{23EA8247-457D-4E4F-A239-5FA56955B1E6}"/>
    <hyperlink ref="E43" r:id="rId24" display="https://app.plangrid.com/projects/9db07f87-be90-4c60-b04e-d9bc0d3b6973/field-reports/e27097cd-2693-4911-8e59-e5677de46e74/reports/577e329d-de27-9976-afd0-4abb899a2b59" xr:uid="{2D33E247-D008-43A2-AABB-E3EC1055529F}"/>
    <hyperlink ref="E44" r:id="rId25" display="https://app.plangrid.com/projects/9db07f87-be90-4c60-b04e-d9bc0d3b6973/field-reports/e27097cd-2693-4911-8e59-e5677de46e74/reports/6e5a23a3-4110-d907-ae1f-e1971902d159" xr:uid="{D71F6F50-F5DA-43DC-BDD9-4DAB59C74FBE}"/>
    <hyperlink ref="E45" r:id="rId26" display="https://app.plangrid.com/projects/9db07f87-be90-4c60-b04e-d9bc0d3b6973/field-reports/e27097cd-2693-4911-8e59-e5677de46e74/reports/74388504-1c16-ac4a-1690-4df30a8abdd4" xr:uid="{D9FF8B2A-C962-45E2-BB89-85FF41321A40}"/>
    <hyperlink ref="E46" r:id="rId27" display="https://app.plangrid.com/projects/9db07f87-be90-4c60-b04e-d9bc0d3b6973/field-reports/e27097cd-2693-4911-8e59-e5677de46e74/reports/ba3d09f0-7548-7209-a8a6-685a10fe4dd3" xr:uid="{7DEB0DAD-BEC7-4CBE-BE6D-98D2CCE327D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3A55-EAC8-4E9A-B788-7AFEDD806EBC}">
  <dimension ref="A1:D43"/>
  <sheetViews>
    <sheetView topLeftCell="A38" zoomScale="73" zoomScaleNormal="73" workbookViewId="0">
      <selection activeCell="B42" sqref="B42"/>
    </sheetView>
  </sheetViews>
  <sheetFormatPr defaultColWidth="10.453125" defaultRowHeight="41" customHeight="1" x14ac:dyDescent="0.35"/>
  <cols>
    <col min="1" max="1" width="31.1796875" customWidth="1"/>
    <col min="2" max="2" width="27.81640625" style="72" customWidth="1"/>
    <col min="3" max="3" width="41.81640625" customWidth="1"/>
    <col min="4" max="4" width="68.6328125" customWidth="1"/>
    <col min="5" max="5" width="27.90625" customWidth="1"/>
  </cols>
  <sheetData>
    <row r="1" spans="1:4" ht="41" customHeight="1" x14ac:dyDescent="0.35">
      <c r="A1" s="93" t="s">
        <v>3915</v>
      </c>
      <c r="B1" s="94"/>
      <c r="C1" s="94"/>
      <c r="D1" s="95"/>
    </row>
    <row r="2" spans="1:4" ht="29" customHeight="1" x14ac:dyDescent="0.35">
      <c r="A2" s="70" t="s">
        <v>3906</v>
      </c>
      <c r="B2" s="70" t="s">
        <v>3896</v>
      </c>
      <c r="C2" s="70" t="s">
        <v>3897</v>
      </c>
      <c r="D2" s="70" t="s">
        <v>3899</v>
      </c>
    </row>
    <row r="3" spans="1:4" ht="37" customHeight="1" x14ac:dyDescent="0.35">
      <c r="A3" s="1" t="s">
        <v>3907</v>
      </c>
      <c r="B3" s="71" t="s">
        <v>3903</v>
      </c>
      <c r="C3" s="1"/>
      <c r="D3" s="73" t="s">
        <v>3913</v>
      </c>
    </row>
    <row r="4" spans="1:4" ht="37.5" customHeight="1" x14ac:dyDescent="0.35">
      <c r="A4" s="1" t="s">
        <v>3907</v>
      </c>
      <c r="B4" s="71" t="s">
        <v>3908</v>
      </c>
      <c r="C4" s="1"/>
      <c r="D4" s="73" t="s">
        <v>3913</v>
      </c>
    </row>
    <row r="5" spans="1:4" ht="41" customHeight="1" x14ac:dyDescent="0.35">
      <c r="A5" s="1" t="s">
        <v>3953</v>
      </c>
      <c r="B5" s="71" t="s">
        <v>3898</v>
      </c>
      <c r="C5" s="1"/>
      <c r="D5" s="73" t="s">
        <v>3910</v>
      </c>
    </row>
    <row r="6" spans="1:4" ht="41" customHeight="1" x14ac:dyDescent="0.35">
      <c r="A6" s="1" t="s">
        <v>3953</v>
      </c>
      <c r="B6" s="71" t="s">
        <v>3900</v>
      </c>
      <c r="C6" s="1"/>
      <c r="D6" s="73" t="s">
        <v>3911</v>
      </c>
    </row>
    <row r="7" spans="1:4" ht="37" customHeight="1" x14ac:dyDescent="0.35">
      <c r="A7" s="1" t="s">
        <v>3953</v>
      </c>
      <c r="B7" s="71" t="s">
        <v>3901</v>
      </c>
      <c r="C7" s="1"/>
      <c r="D7" s="73" t="s">
        <v>3912</v>
      </c>
    </row>
    <row r="8" spans="1:4" ht="51" customHeight="1" x14ac:dyDescent="0.35">
      <c r="A8" s="1" t="s">
        <v>3953</v>
      </c>
      <c r="B8" s="71" t="s">
        <v>3902</v>
      </c>
      <c r="C8" s="1"/>
      <c r="D8" s="73" t="s">
        <v>3909</v>
      </c>
    </row>
    <row r="9" spans="1:4" ht="41" customHeight="1" x14ac:dyDescent="0.35">
      <c r="A9" s="1" t="s">
        <v>3953</v>
      </c>
      <c r="B9" s="71" t="s">
        <v>3904</v>
      </c>
      <c r="C9" s="1"/>
      <c r="D9" s="73" t="s">
        <v>3914</v>
      </c>
    </row>
    <row r="10" spans="1:4" ht="41" customHeight="1" x14ac:dyDescent="0.35">
      <c r="A10" s="1" t="s">
        <v>3953</v>
      </c>
      <c r="B10" s="71" t="s">
        <v>3905</v>
      </c>
      <c r="C10" s="1"/>
      <c r="D10" s="73" t="s">
        <v>3914</v>
      </c>
    </row>
    <row r="11" spans="1:4" ht="41" customHeight="1" x14ac:dyDescent="0.35">
      <c r="A11" s="97" t="s">
        <v>3916</v>
      </c>
      <c r="B11" s="97"/>
      <c r="C11" s="97"/>
      <c r="D11" s="97"/>
    </row>
    <row r="12" spans="1:4" ht="41" customHeight="1" x14ac:dyDescent="0.35">
      <c r="A12" s="1" t="s">
        <v>3952</v>
      </c>
      <c r="B12" s="71" t="s">
        <v>3954</v>
      </c>
      <c r="C12" s="74"/>
      <c r="D12" s="73" t="s">
        <v>3909</v>
      </c>
    </row>
    <row r="13" spans="1:4" ht="41" customHeight="1" x14ac:dyDescent="0.35">
      <c r="A13" s="1" t="s">
        <v>3952</v>
      </c>
      <c r="B13" s="71" t="s">
        <v>3955</v>
      </c>
      <c r="C13" s="74"/>
      <c r="D13" s="73" t="s">
        <v>3914</v>
      </c>
    </row>
    <row r="14" spans="1:4" ht="41" customHeight="1" x14ac:dyDescent="0.35">
      <c r="A14" s="1" t="s">
        <v>3952</v>
      </c>
      <c r="B14" s="71" t="s">
        <v>3956</v>
      </c>
      <c r="C14" s="74"/>
      <c r="D14" s="73" t="s">
        <v>3914</v>
      </c>
    </row>
    <row r="15" spans="1:4" ht="41" customHeight="1" x14ac:dyDescent="0.35">
      <c r="A15" s="1" t="s">
        <v>3949</v>
      </c>
      <c r="B15" s="74" t="s">
        <v>3937</v>
      </c>
      <c r="C15" s="74"/>
      <c r="D15" s="74"/>
    </row>
    <row r="16" spans="1:4" ht="41" customHeight="1" x14ac:dyDescent="0.35">
      <c r="A16" s="74"/>
      <c r="B16" s="74" t="s">
        <v>3950</v>
      </c>
      <c r="C16" s="74"/>
      <c r="D16" s="74"/>
    </row>
    <row r="17" spans="1:4" ht="41" customHeight="1" x14ac:dyDescent="0.35">
      <c r="A17" s="74"/>
      <c r="B17" s="74" t="s">
        <v>3951</v>
      </c>
      <c r="C17" s="74"/>
      <c r="D17" s="74"/>
    </row>
    <row r="18" spans="1:4" ht="41" customHeight="1" x14ac:dyDescent="0.35">
      <c r="A18" s="74"/>
      <c r="B18" s="74"/>
      <c r="C18" s="74"/>
      <c r="D18" s="74"/>
    </row>
    <row r="19" spans="1:4" ht="41" customHeight="1" x14ac:dyDescent="0.35">
      <c r="A19" s="74"/>
      <c r="B19" s="74"/>
      <c r="C19" s="74"/>
      <c r="D19" s="74"/>
    </row>
    <row r="20" spans="1:4" ht="41" customHeight="1" x14ac:dyDescent="0.35">
      <c r="A20" s="96"/>
      <c r="B20" s="96"/>
      <c r="C20" s="96"/>
      <c r="D20" s="96"/>
    </row>
    <row r="21" spans="1:4" ht="41" customHeight="1" x14ac:dyDescent="0.35">
      <c r="A21" s="93" t="s">
        <v>3929</v>
      </c>
      <c r="B21" s="94"/>
      <c r="C21" s="94"/>
      <c r="D21" s="95"/>
    </row>
    <row r="22" spans="1:4" ht="41" customHeight="1" x14ac:dyDescent="0.35">
      <c r="A22" s="70" t="s">
        <v>3930</v>
      </c>
      <c r="B22" s="70" t="s">
        <v>3922</v>
      </c>
      <c r="C22" s="70" t="s">
        <v>3930</v>
      </c>
      <c r="D22" s="70" t="s">
        <v>3922</v>
      </c>
    </row>
    <row r="23" spans="1:4" ht="41" customHeight="1" x14ac:dyDescent="0.35">
      <c r="A23" s="99" t="s">
        <v>3934</v>
      </c>
      <c r="B23" s="1" t="s">
        <v>3917</v>
      </c>
      <c r="C23" s="99" t="s">
        <v>3931</v>
      </c>
      <c r="D23" s="1" t="s">
        <v>3917</v>
      </c>
    </row>
    <row r="24" spans="1:4" ht="41" customHeight="1" x14ac:dyDescent="0.35">
      <c r="A24" s="100"/>
      <c r="B24" s="1" t="s">
        <v>3918</v>
      </c>
      <c r="C24" s="100"/>
      <c r="D24" s="1" t="s">
        <v>3918</v>
      </c>
    </row>
    <row r="25" spans="1:4" ht="41" customHeight="1" x14ac:dyDescent="0.35">
      <c r="A25" s="100"/>
      <c r="B25" s="1" t="s">
        <v>3919</v>
      </c>
      <c r="C25" s="100"/>
      <c r="D25" s="1" t="s">
        <v>3926</v>
      </c>
    </row>
    <row r="26" spans="1:4" ht="41" customHeight="1" x14ac:dyDescent="0.35">
      <c r="A26" s="100"/>
      <c r="B26" s="1" t="s">
        <v>3921</v>
      </c>
      <c r="C26" s="100"/>
      <c r="D26" s="1" t="s">
        <v>3923</v>
      </c>
    </row>
    <row r="27" spans="1:4" ht="41" customHeight="1" x14ac:dyDescent="0.35">
      <c r="A27" s="101"/>
      <c r="B27" s="1" t="s">
        <v>3920</v>
      </c>
      <c r="C27" s="101"/>
      <c r="D27" s="1" t="s">
        <v>3927</v>
      </c>
    </row>
    <row r="28" spans="1:4" ht="41" customHeight="1" x14ac:dyDescent="0.35">
      <c r="A28" s="102" t="s">
        <v>3933</v>
      </c>
      <c r="B28" s="1" t="s">
        <v>3918</v>
      </c>
      <c r="C28" s="102" t="s">
        <v>3932</v>
      </c>
      <c r="D28" s="1" t="s">
        <v>3928</v>
      </c>
    </row>
    <row r="29" spans="1:4" ht="41" customHeight="1" x14ac:dyDescent="0.35">
      <c r="A29" s="102"/>
      <c r="B29" s="1" t="s">
        <v>3923</v>
      </c>
      <c r="C29" s="102"/>
      <c r="D29" s="1" t="s">
        <v>3917</v>
      </c>
    </row>
    <row r="30" spans="1:4" ht="41" customHeight="1" x14ac:dyDescent="0.35">
      <c r="A30" s="102"/>
      <c r="B30" s="1" t="s">
        <v>3925</v>
      </c>
      <c r="C30" s="102"/>
      <c r="D30" s="1" t="s">
        <v>3920</v>
      </c>
    </row>
    <row r="31" spans="1:4" ht="41" customHeight="1" x14ac:dyDescent="0.35">
      <c r="A31" s="102"/>
      <c r="B31" s="1" t="s">
        <v>3924</v>
      </c>
      <c r="C31" s="102"/>
      <c r="D31" s="1" t="s">
        <v>3918</v>
      </c>
    </row>
    <row r="32" spans="1:4" ht="41" customHeight="1" x14ac:dyDescent="0.35">
      <c r="A32" s="1"/>
      <c r="B32" s="1"/>
      <c r="C32" s="102"/>
      <c r="D32" s="1" t="s">
        <v>3919</v>
      </c>
    </row>
    <row r="33" spans="1:4" ht="41" customHeight="1" x14ac:dyDescent="0.35">
      <c r="A33" s="1"/>
      <c r="B33" s="1"/>
      <c r="C33" s="102"/>
      <c r="D33" s="1" t="s">
        <v>3924</v>
      </c>
    </row>
    <row r="35" spans="1:4" ht="41" customHeight="1" x14ac:dyDescent="0.35">
      <c r="A35" s="98" t="s">
        <v>3939</v>
      </c>
      <c r="B35" s="98"/>
      <c r="C35" s="98"/>
      <c r="D35" s="98"/>
    </row>
    <row r="36" spans="1:4" ht="41" customHeight="1" x14ac:dyDescent="0.35">
      <c r="A36" s="70" t="s">
        <v>3906</v>
      </c>
      <c r="B36" s="75" t="s">
        <v>3946</v>
      </c>
      <c r="C36" s="75" t="s">
        <v>3947</v>
      </c>
      <c r="D36" s="75"/>
    </row>
    <row r="37" spans="1:4" ht="80" customHeight="1" x14ac:dyDescent="0.35">
      <c r="A37" s="1" t="s">
        <v>3949</v>
      </c>
      <c r="B37" s="61" t="s">
        <v>3935</v>
      </c>
      <c r="C37" s="54" t="s">
        <v>3858</v>
      </c>
      <c r="D37" s="54" t="s">
        <v>3948</v>
      </c>
    </row>
    <row r="38" spans="1:4" ht="83" customHeight="1" x14ac:dyDescent="0.35">
      <c r="A38" s="1" t="s">
        <v>3949</v>
      </c>
      <c r="B38" s="1" t="s">
        <v>3590</v>
      </c>
      <c r="C38" s="54" t="s">
        <v>3863</v>
      </c>
      <c r="D38" s="54" t="s">
        <v>3948</v>
      </c>
    </row>
    <row r="39" spans="1:4" ht="73" customHeight="1" x14ac:dyDescent="0.35">
      <c r="A39" s="1" t="s">
        <v>3949</v>
      </c>
      <c r="B39" s="1" t="s">
        <v>3936</v>
      </c>
      <c r="C39" s="54" t="s">
        <v>4004</v>
      </c>
      <c r="D39" s="54" t="s">
        <v>4005</v>
      </c>
    </row>
    <row r="40" spans="1:4" ht="54.5" customHeight="1" x14ac:dyDescent="0.35">
      <c r="A40" s="1" t="s">
        <v>3949</v>
      </c>
      <c r="B40" s="1" t="s">
        <v>3937</v>
      </c>
      <c r="C40" s="51"/>
      <c r="D40" s="51"/>
    </row>
    <row r="41" spans="1:4" ht="54.5" customHeight="1" x14ac:dyDescent="0.35">
      <c r="A41" s="1" t="s">
        <v>3949</v>
      </c>
      <c r="B41" s="1" t="s">
        <v>3938</v>
      </c>
      <c r="C41" s="51"/>
      <c r="D41" s="51"/>
    </row>
    <row r="42" spans="1:4" ht="54.5" customHeight="1" x14ac:dyDescent="0.35">
      <c r="A42" s="1" t="s">
        <v>3949</v>
      </c>
      <c r="B42" s="1" t="s">
        <v>3940</v>
      </c>
      <c r="C42" s="51"/>
      <c r="D42" s="51"/>
    </row>
    <row r="43" spans="1:4" ht="54.5" customHeight="1" x14ac:dyDescent="0.35">
      <c r="A43" s="1" t="s">
        <v>3949</v>
      </c>
      <c r="B43" s="1" t="s">
        <v>3941</v>
      </c>
      <c r="C43" s="51"/>
      <c r="D43" s="51"/>
    </row>
  </sheetData>
  <mergeCells count="9">
    <mergeCell ref="A21:D21"/>
    <mergeCell ref="A20:D20"/>
    <mergeCell ref="A1:D1"/>
    <mergeCell ref="A11:D11"/>
    <mergeCell ref="A35:D35"/>
    <mergeCell ref="A23:A27"/>
    <mergeCell ref="A28:A31"/>
    <mergeCell ref="C23:C27"/>
    <mergeCell ref="C28:C33"/>
  </mergeCells>
  <pageMargins left="0" right="0" top="0" bottom="0" header="0" footer="0"/>
  <pageSetup paperSize="9" scale="5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FA36-C219-45B3-BBF3-35842A0B5658}">
  <sheetPr>
    <pageSetUpPr fitToPage="1"/>
  </sheetPr>
  <dimension ref="A1:C115"/>
  <sheetViews>
    <sheetView workbookViewId="0">
      <selection activeCell="B8" sqref="B8"/>
    </sheetView>
  </sheetViews>
  <sheetFormatPr defaultColWidth="10.1796875" defaultRowHeight="29" customHeight="1" x14ac:dyDescent="0.35"/>
  <cols>
    <col min="1" max="1" width="10.1796875" style="1"/>
    <col min="2" max="2" width="25.6328125" style="1" customWidth="1"/>
    <col min="3" max="3" width="18" style="1" customWidth="1"/>
  </cols>
  <sheetData>
    <row r="1" spans="1:3" ht="29" customHeight="1" x14ac:dyDescent="0.35">
      <c r="A1" s="103"/>
      <c r="B1" s="103"/>
      <c r="C1" s="103"/>
    </row>
    <row r="2" spans="1:3" ht="29" customHeight="1" x14ac:dyDescent="0.35">
      <c r="A2" s="59"/>
      <c r="B2" s="59"/>
      <c r="C2" s="59"/>
    </row>
    <row r="3" spans="1:3" ht="29" customHeight="1" x14ac:dyDescent="0.35">
      <c r="A3" s="49"/>
      <c r="B3" s="60"/>
      <c r="C3" s="61"/>
    </row>
    <row r="4" spans="1:3" ht="29" customHeight="1" x14ac:dyDescent="0.35">
      <c r="A4" s="49"/>
      <c r="B4" s="60"/>
      <c r="C4" s="61"/>
    </row>
    <row r="5" spans="1:3" ht="29" customHeight="1" x14ac:dyDescent="0.35">
      <c r="A5" s="49"/>
      <c r="B5" s="60"/>
      <c r="C5" s="61"/>
    </row>
    <row r="6" spans="1:3" ht="29" customHeight="1" x14ac:dyDescent="0.35">
      <c r="A6" s="49"/>
      <c r="B6" s="60"/>
      <c r="C6" s="61"/>
    </row>
    <row r="7" spans="1:3" ht="29" customHeight="1" x14ac:dyDescent="0.35">
      <c r="A7" s="49"/>
      <c r="B7" s="60"/>
      <c r="C7" s="61"/>
    </row>
    <row r="8" spans="1:3" ht="29" customHeight="1" x14ac:dyDescent="0.35">
      <c r="A8" s="49"/>
      <c r="B8" s="60"/>
      <c r="C8" s="61"/>
    </row>
    <row r="9" spans="1:3" ht="29" customHeight="1" x14ac:dyDescent="0.35">
      <c r="A9" s="49"/>
      <c r="B9" s="60"/>
      <c r="C9" s="61"/>
    </row>
    <row r="10" spans="1:3" ht="29" customHeight="1" x14ac:dyDescent="0.35">
      <c r="A10" s="49"/>
      <c r="B10" s="60"/>
      <c r="C10" s="61"/>
    </row>
    <row r="11" spans="1:3" ht="29" customHeight="1" x14ac:dyDescent="0.35">
      <c r="A11" s="49"/>
      <c r="B11" s="60"/>
      <c r="C11" s="61"/>
    </row>
    <row r="12" spans="1:3" ht="29" customHeight="1" x14ac:dyDescent="0.35">
      <c r="A12" s="49"/>
      <c r="B12" s="60"/>
      <c r="C12" s="61"/>
    </row>
    <row r="13" spans="1:3" ht="29" customHeight="1" x14ac:dyDescent="0.35">
      <c r="A13" s="49"/>
      <c r="B13" s="60"/>
      <c r="C13" s="61"/>
    </row>
    <row r="14" spans="1:3" ht="29" customHeight="1" x14ac:dyDescent="0.35">
      <c r="A14" s="49"/>
      <c r="B14" s="60"/>
      <c r="C14" s="61"/>
    </row>
    <row r="15" spans="1:3" ht="29" customHeight="1" x14ac:dyDescent="0.35">
      <c r="A15" s="49"/>
      <c r="B15" s="60"/>
      <c r="C15" s="61"/>
    </row>
    <row r="16" spans="1:3" ht="29" customHeight="1" x14ac:dyDescent="0.35">
      <c r="A16" s="49"/>
      <c r="B16" s="60"/>
      <c r="C16" s="61"/>
    </row>
    <row r="17" spans="1:3" ht="29" customHeight="1" x14ac:dyDescent="0.35">
      <c r="A17" s="49"/>
      <c r="B17" s="60"/>
      <c r="C17" s="61"/>
    </row>
    <row r="18" spans="1:3" ht="29" customHeight="1" x14ac:dyDescent="0.35">
      <c r="A18" s="49"/>
      <c r="B18" s="60"/>
      <c r="C18" s="61"/>
    </row>
    <row r="19" spans="1:3" ht="29" customHeight="1" x14ac:dyDescent="0.35">
      <c r="A19" s="49"/>
      <c r="B19" s="60"/>
      <c r="C19" s="61"/>
    </row>
    <row r="20" spans="1:3" ht="29" customHeight="1" x14ac:dyDescent="0.35">
      <c r="A20" s="49"/>
      <c r="B20" s="60"/>
      <c r="C20" s="61"/>
    </row>
    <row r="21" spans="1:3" ht="29" customHeight="1" x14ac:dyDescent="0.35">
      <c r="A21" s="49"/>
      <c r="B21" s="60"/>
      <c r="C21" s="61"/>
    </row>
    <row r="22" spans="1:3" ht="29" customHeight="1" x14ac:dyDescent="0.35">
      <c r="A22" s="49"/>
      <c r="B22" s="60"/>
      <c r="C22" s="61"/>
    </row>
    <row r="23" spans="1:3" ht="29" customHeight="1" x14ac:dyDescent="0.35">
      <c r="A23" s="49"/>
      <c r="B23" s="60"/>
      <c r="C23" s="61"/>
    </row>
    <row r="24" spans="1:3" ht="29" customHeight="1" x14ac:dyDescent="0.35">
      <c r="A24" s="49"/>
      <c r="B24" s="60"/>
      <c r="C24" s="61"/>
    </row>
    <row r="25" spans="1:3" ht="29" customHeight="1" x14ac:dyDescent="0.35">
      <c r="A25" s="49"/>
      <c r="B25" s="60"/>
      <c r="C25" s="61"/>
    </row>
    <row r="26" spans="1:3" ht="29" customHeight="1" x14ac:dyDescent="0.35">
      <c r="A26" s="49"/>
      <c r="B26" s="60"/>
      <c r="C26" s="61"/>
    </row>
    <row r="27" spans="1:3" ht="29" customHeight="1" x14ac:dyDescent="0.35">
      <c r="A27" s="49"/>
      <c r="B27" s="62"/>
      <c r="C27" s="62"/>
    </row>
    <row r="28" spans="1:3" ht="29" customHeight="1" x14ac:dyDescent="0.35">
      <c r="A28" s="49"/>
    </row>
    <row r="29" spans="1:3" ht="29" customHeight="1" x14ac:dyDescent="0.35">
      <c r="A29" s="49"/>
    </row>
    <row r="30" spans="1:3" ht="29" customHeight="1" x14ac:dyDescent="0.35">
      <c r="A30" s="49"/>
    </row>
    <row r="31" spans="1:3" ht="29" customHeight="1" x14ac:dyDescent="0.35">
      <c r="A31" s="49"/>
    </row>
    <row r="32" spans="1:3" ht="29" customHeight="1" x14ac:dyDescent="0.35">
      <c r="A32" s="49"/>
    </row>
    <row r="33" spans="1:1" ht="29" customHeight="1" x14ac:dyDescent="0.35">
      <c r="A33" s="49"/>
    </row>
    <row r="34" spans="1:1" ht="29" customHeight="1" x14ac:dyDescent="0.35">
      <c r="A34" s="49"/>
    </row>
    <row r="35" spans="1:1" ht="29" customHeight="1" x14ac:dyDescent="0.35">
      <c r="A35" s="49"/>
    </row>
    <row r="36" spans="1:1" ht="29" customHeight="1" x14ac:dyDescent="0.35">
      <c r="A36" s="49"/>
    </row>
    <row r="37" spans="1:1" ht="29" customHeight="1" x14ac:dyDescent="0.35">
      <c r="A37" s="49"/>
    </row>
    <row r="38" spans="1:1" ht="29" customHeight="1" x14ac:dyDescent="0.35">
      <c r="A38" s="49"/>
    </row>
    <row r="39" spans="1:1" ht="29" customHeight="1" x14ac:dyDescent="0.35">
      <c r="A39" s="49"/>
    </row>
    <row r="40" spans="1:1" ht="29" customHeight="1" x14ac:dyDescent="0.35">
      <c r="A40" s="49"/>
    </row>
    <row r="41" spans="1:1" ht="29" customHeight="1" x14ac:dyDescent="0.35">
      <c r="A41" s="49"/>
    </row>
    <row r="42" spans="1:1" ht="29" customHeight="1" x14ac:dyDescent="0.35">
      <c r="A42" s="49"/>
    </row>
    <row r="43" spans="1:1" ht="29" customHeight="1" x14ac:dyDescent="0.35">
      <c r="A43" s="49"/>
    </row>
    <row r="44" spans="1:1" ht="29" customHeight="1" x14ac:dyDescent="0.35">
      <c r="A44" s="49"/>
    </row>
    <row r="45" spans="1:1" ht="29" customHeight="1" x14ac:dyDescent="0.35">
      <c r="A45" s="49"/>
    </row>
    <row r="46" spans="1:1" ht="29" customHeight="1" x14ac:dyDescent="0.35">
      <c r="A46" s="49"/>
    </row>
    <row r="47" spans="1:1" ht="29" customHeight="1" x14ac:dyDescent="0.35">
      <c r="A47" s="49"/>
    </row>
    <row r="48" spans="1:1" ht="29" customHeight="1" x14ac:dyDescent="0.35">
      <c r="A48" s="49"/>
    </row>
    <row r="49" spans="1:1" ht="29" customHeight="1" x14ac:dyDescent="0.35">
      <c r="A49" s="49"/>
    </row>
    <row r="50" spans="1:1" ht="29" customHeight="1" x14ac:dyDescent="0.35">
      <c r="A50" s="49"/>
    </row>
    <row r="51" spans="1:1" ht="29" customHeight="1" x14ac:dyDescent="0.35">
      <c r="A51" s="49"/>
    </row>
    <row r="52" spans="1:1" ht="29" customHeight="1" x14ac:dyDescent="0.35">
      <c r="A52" s="49"/>
    </row>
    <row r="53" spans="1:1" ht="29" customHeight="1" x14ac:dyDescent="0.35">
      <c r="A53" s="49"/>
    </row>
    <row r="54" spans="1:1" ht="29" customHeight="1" x14ac:dyDescent="0.35">
      <c r="A54" s="49"/>
    </row>
    <row r="55" spans="1:1" ht="29" customHeight="1" x14ac:dyDescent="0.35">
      <c r="A55" s="49"/>
    </row>
    <row r="56" spans="1:1" ht="29" customHeight="1" x14ac:dyDescent="0.35">
      <c r="A56" s="49"/>
    </row>
    <row r="57" spans="1:1" ht="29" customHeight="1" x14ac:dyDescent="0.35">
      <c r="A57" s="49"/>
    </row>
    <row r="58" spans="1:1" ht="29" customHeight="1" x14ac:dyDescent="0.35">
      <c r="A58" s="49"/>
    </row>
    <row r="59" spans="1:1" ht="29" customHeight="1" x14ac:dyDescent="0.35">
      <c r="A59" s="49"/>
    </row>
    <row r="60" spans="1:1" ht="29" customHeight="1" x14ac:dyDescent="0.35">
      <c r="A60" s="49"/>
    </row>
    <row r="61" spans="1:1" ht="29" customHeight="1" x14ac:dyDescent="0.35">
      <c r="A61" s="49"/>
    </row>
    <row r="62" spans="1:1" ht="29" customHeight="1" x14ac:dyDescent="0.35">
      <c r="A62" s="49"/>
    </row>
    <row r="63" spans="1:1" ht="29" customHeight="1" x14ac:dyDescent="0.35">
      <c r="A63" s="49"/>
    </row>
    <row r="64" spans="1:1" ht="29" customHeight="1" x14ac:dyDescent="0.35">
      <c r="A64" s="49"/>
    </row>
    <row r="65" spans="1:1" ht="29" customHeight="1" x14ac:dyDescent="0.35">
      <c r="A65" s="49"/>
    </row>
    <row r="66" spans="1:1" ht="29" customHeight="1" x14ac:dyDescent="0.35">
      <c r="A66" s="49"/>
    </row>
    <row r="67" spans="1:1" ht="29" customHeight="1" x14ac:dyDescent="0.35">
      <c r="A67" s="49"/>
    </row>
    <row r="68" spans="1:1" ht="29" customHeight="1" x14ac:dyDescent="0.35">
      <c r="A68" s="49"/>
    </row>
    <row r="69" spans="1:1" ht="29" customHeight="1" x14ac:dyDescent="0.35">
      <c r="A69" s="49"/>
    </row>
    <row r="70" spans="1:1" ht="29" customHeight="1" x14ac:dyDescent="0.35">
      <c r="A70" s="49"/>
    </row>
    <row r="71" spans="1:1" ht="29" customHeight="1" x14ac:dyDescent="0.35">
      <c r="A71" s="49"/>
    </row>
    <row r="72" spans="1:1" ht="29" customHeight="1" x14ac:dyDescent="0.35">
      <c r="A72" s="49"/>
    </row>
    <row r="73" spans="1:1" ht="29" customHeight="1" x14ac:dyDescent="0.35">
      <c r="A73" s="49"/>
    </row>
    <row r="74" spans="1:1" ht="29" customHeight="1" x14ac:dyDescent="0.35">
      <c r="A74" s="49"/>
    </row>
    <row r="75" spans="1:1" ht="29" customHeight="1" x14ac:dyDescent="0.35">
      <c r="A75" s="49"/>
    </row>
    <row r="76" spans="1:1" ht="29" customHeight="1" x14ac:dyDescent="0.35">
      <c r="A76" s="49"/>
    </row>
    <row r="77" spans="1:1" ht="29" customHeight="1" x14ac:dyDescent="0.35">
      <c r="A77" s="49"/>
    </row>
    <row r="78" spans="1:1" ht="29" customHeight="1" x14ac:dyDescent="0.35">
      <c r="A78" s="49"/>
    </row>
    <row r="79" spans="1:1" ht="29" customHeight="1" x14ac:dyDescent="0.35">
      <c r="A79" s="49"/>
    </row>
    <row r="80" spans="1:1" ht="29" customHeight="1" x14ac:dyDescent="0.35">
      <c r="A80" s="49"/>
    </row>
    <row r="81" spans="1:1" ht="29" customHeight="1" x14ac:dyDescent="0.35">
      <c r="A81" s="49"/>
    </row>
    <row r="82" spans="1:1" ht="29" customHeight="1" x14ac:dyDescent="0.35">
      <c r="A82" s="49"/>
    </row>
    <row r="83" spans="1:1" ht="29" customHeight="1" x14ac:dyDescent="0.35">
      <c r="A83" s="49"/>
    </row>
    <row r="84" spans="1:1" ht="29" customHeight="1" x14ac:dyDescent="0.35">
      <c r="A84" s="49"/>
    </row>
    <row r="85" spans="1:1" ht="29" customHeight="1" x14ac:dyDescent="0.35">
      <c r="A85" s="49"/>
    </row>
    <row r="86" spans="1:1" ht="29" customHeight="1" x14ac:dyDescent="0.35">
      <c r="A86" s="49"/>
    </row>
    <row r="87" spans="1:1" ht="29" customHeight="1" x14ac:dyDescent="0.35">
      <c r="A87" s="49"/>
    </row>
    <row r="88" spans="1:1" ht="29" customHeight="1" x14ac:dyDescent="0.35">
      <c r="A88" s="49"/>
    </row>
    <row r="89" spans="1:1" ht="29" customHeight="1" x14ac:dyDescent="0.35">
      <c r="A89" s="49"/>
    </row>
    <row r="90" spans="1:1" ht="29" customHeight="1" x14ac:dyDescent="0.35">
      <c r="A90" s="49"/>
    </row>
    <row r="91" spans="1:1" ht="29" customHeight="1" x14ac:dyDescent="0.35">
      <c r="A91" s="49"/>
    </row>
    <row r="92" spans="1:1" ht="29" customHeight="1" x14ac:dyDescent="0.35">
      <c r="A92" s="49"/>
    </row>
    <row r="93" spans="1:1" ht="29" customHeight="1" x14ac:dyDescent="0.35">
      <c r="A93" s="49"/>
    </row>
    <row r="94" spans="1:1" ht="29" customHeight="1" x14ac:dyDescent="0.35">
      <c r="A94" s="49"/>
    </row>
    <row r="95" spans="1:1" ht="29" customHeight="1" x14ac:dyDescent="0.35">
      <c r="A95" s="49"/>
    </row>
    <row r="96" spans="1:1" ht="29" customHeight="1" x14ac:dyDescent="0.35">
      <c r="A96" s="49"/>
    </row>
    <row r="97" spans="1:1" ht="29" customHeight="1" x14ac:dyDescent="0.35">
      <c r="A97" s="49"/>
    </row>
    <row r="98" spans="1:1" ht="29" customHeight="1" x14ac:dyDescent="0.35">
      <c r="A98" s="49"/>
    </row>
    <row r="99" spans="1:1" ht="29" customHeight="1" x14ac:dyDescent="0.35">
      <c r="A99" s="49"/>
    </row>
    <row r="100" spans="1:1" ht="29" customHeight="1" x14ac:dyDescent="0.35">
      <c r="A100" s="49"/>
    </row>
    <row r="101" spans="1:1" ht="29" customHeight="1" x14ac:dyDescent="0.35">
      <c r="A101" s="49"/>
    </row>
    <row r="102" spans="1:1" ht="29" customHeight="1" x14ac:dyDescent="0.35">
      <c r="A102" s="49"/>
    </row>
    <row r="103" spans="1:1" ht="29" customHeight="1" x14ac:dyDescent="0.35">
      <c r="A103" s="49"/>
    </row>
    <row r="104" spans="1:1" ht="29" customHeight="1" x14ac:dyDescent="0.35">
      <c r="A104" s="49"/>
    </row>
    <row r="105" spans="1:1" ht="29" customHeight="1" x14ac:dyDescent="0.35">
      <c r="A105" s="49"/>
    </row>
    <row r="106" spans="1:1" ht="29" customHeight="1" x14ac:dyDescent="0.35">
      <c r="A106" s="49"/>
    </row>
    <row r="107" spans="1:1" ht="29" customHeight="1" x14ac:dyDescent="0.35">
      <c r="A107" s="49"/>
    </row>
    <row r="108" spans="1:1" ht="29" customHeight="1" x14ac:dyDescent="0.35">
      <c r="A108" s="49"/>
    </row>
    <row r="109" spans="1:1" ht="29" customHeight="1" x14ac:dyDescent="0.35">
      <c r="A109" s="49"/>
    </row>
    <row r="110" spans="1:1" ht="29" customHeight="1" x14ac:dyDescent="0.35">
      <c r="A110" s="49"/>
    </row>
    <row r="111" spans="1:1" ht="29" customHeight="1" x14ac:dyDescent="0.35">
      <c r="A111" s="49"/>
    </row>
    <row r="112" spans="1:1" ht="29" customHeight="1" x14ac:dyDescent="0.35">
      <c r="A112" s="49"/>
    </row>
    <row r="113" spans="1:1" ht="29" customHeight="1" x14ac:dyDescent="0.35">
      <c r="A113" s="49"/>
    </row>
    <row r="114" spans="1:1" ht="29" customHeight="1" x14ac:dyDescent="0.35">
      <c r="A114" s="49"/>
    </row>
    <row r="115" spans="1:1" ht="29" customHeight="1" x14ac:dyDescent="0.35">
      <c r="A115" s="49"/>
    </row>
  </sheetData>
  <mergeCells count="1">
    <mergeCell ref="A1:C1"/>
  </mergeCells>
  <pageMargins left="0.7" right="0.7" top="0.75" bottom="0.75" header="0.3" footer="0.3"/>
  <pageSetup paperSize="9" scale="2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C5272-0292-4229-99FB-A61F653808AB}">
  <dimension ref="A1:G9"/>
  <sheetViews>
    <sheetView workbookViewId="0">
      <selection activeCell="C7" sqref="C7"/>
    </sheetView>
  </sheetViews>
  <sheetFormatPr defaultColWidth="12.81640625" defaultRowHeight="31.5" customHeight="1" x14ac:dyDescent="0.35"/>
  <cols>
    <col min="3" max="3" width="33.26953125" bestFit="1" customWidth="1"/>
    <col min="4" max="4" width="16.81640625" customWidth="1"/>
    <col min="5" max="5" width="16.26953125" customWidth="1"/>
    <col min="6" max="6" width="16.36328125" customWidth="1"/>
    <col min="7" max="7" width="28.26953125" bestFit="1" customWidth="1"/>
  </cols>
  <sheetData>
    <row r="1" spans="1:7" ht="31.5" customHeight="1" x14ac:dyDescent="0.35">
      <c r="A1" s="104" t="s">
        <v>3983</v>
      </c>
      <c r="B1" s="104"/>
      <c r="C1" s="104"/>
      <c r="D1" s="104"/>
      <c r="E1" s="104"/>
      <c r="F1" s="104"/>
      <c r="G1" s="104"/>
    </row>
    <row r="2" spans="1:7" ht="31.5" customHeight="1" x14ac:dyDescent="0.35">
      <c r="A2" s="76" t="s">
        <v>3985</v>
      </c>
      <c r="B2" s="76" t="s">
        <v>3961</v>
      </c>
      <c r="C2" s="76" t="s">
        <v>3962</v>
      </c>
      <c r="D2" s="76" t="s">
        <v>3963</v>
      </c>
      <c r="E2" s="76" t="s">
        <v>3964</v>
      </c>
      <c r="F2" s="76" t="s">
        <v>3978</v>
      </c>
      <c r="G2" s="76" t="s">
        <v>3989</v>
      </c>
    </row>
    <row r="3" spans="1:7" ht="31.5" customHeight="1" x14ac:dyDescent="0.35">
      <c r="A3" s="77">
        <v>1</v>
      </c>
      <c r="B3" s="77" t="s">
        <v>3965</v>
      </c>
      <c r="C3" s="78" t="s">
        <v>3966</v>
      </c>
      <c r="D3" s="79">
        <v>45427</v>
      </c>
      <c r="E3" s="80" t="s">
        <v>3967</v>
      </c>
      <c r="F3" s="77" t="s">
        <v>3982</v>
      </c>
      <c r="G3" s="80" t="s">
        <v>3990</v>
      </c>
    </row>
    <row r="4" spans="1:7" ht="31.5" customHeight="1" x14ac:dyDescent="0.35">
      <c r="A4" s="77">
        <v>2</v>
      </c>
      <c r="B4" s="77" t="s">
        <v>3972</v>
      </c>
      <c r="C4" s="78" t="s">
        <v>3973</v>
      </c>
      <c r="D4" s="79">
        <v>45439</v>
      </c>
      <c r="E4" s="80" t="s">
        <v>3967</v>
      </c>
      <c r="F4" s="77" t="s">
        <v>3980</v>
      </c>
      <c r="G4" s="80" t="s">
        <v>3990</v>
      </c>
    </row>
    <row r="5" spans="1:7" ht="31.5" customHeight="1" x14ac:dyDescent="0.35">
      <c r="A5" s="77">
        <v>3</v>
      </c>
      <c r="B5" s="77" t="s">
        <v>3970</v>
      </c>
      <c r="C5" s="78" t="s">
        <v>3971</v>
      </c>
      <c r="D5" s="79">
        <v>45448</v>
      </c>
      <c r="E5" s="80" t="s">
        <v>3967</v>
      </c>
      <c r="F5" s="77" t="s">
        <v>3980</v>
      </c>
      <c r="G5" s="80" t="s">
        <v>3991</v>
      </c>
    </row>
    <row r="6" spans="1:7" ht="31.5" customHeight="1" x14ac:dyDescent="0.35">
      <c r="A6" s="77">
        <v>4</v>
      </c>
      <c r="B6" s="77" t="s">
        <v>3968</v>
      </c>
      <c r="C6" s="78" t="s">
        <v>3969</v>
      </c>
      <c r="D6" s="79">
        <v>45427</v>
      </c>
      <c r="E6" s="80" t="s">
        <v>3967</v>
      </c>
      <c r="F6" s="77" t="s">
        <v>3982</v>
      </c>
      <c r="G6" s="80" t="s">
        <v>3991</v>
      </c>
    </row>
    <row r="7" spans="1:7" ht="31.5" customHeight="1" x14ac:dyDescent="0.35">
      <c r="A7" s="77">
        <v>5</v>
      </c>
      <c r="B7" s="77" t="s">
        <v>3974</v>
      </c>
      <c r="C7" s="78" t="s">
        <v>3975</v>
      </c>
      <c r="D7" s="79">
        <v>45660</v>
      </c>
      <c r="E7" s="80" t="s">
        <v>3967</v>
      </c>
      <c r="F7" s="77" t="s">
        <v>3981</v>
      </c>
      <c r="G7" s="80" t="s">
        <v>3992</v>
      </c>
    </row>
    <row r="8" spans="1:7" ht="31.5" customHeight="1" x14ac:dyDescent="0.35">
      <c r="A8" s="77">
        <v>6</v>
      </c>
      <c r="B8" s="77" t="s">
        <v>3986</v>
      </c>
      <c r="C8" s="78" t="s">
        <v>3987</v>
      </c>
      <c r="D8" s="79">
        <v>45262</v>
      </c>
      <c r="E8" s="80" t="s">
        <v>3967</v>
      </c>
      <c r="F8" s="77" t="s">
        <v>3988</v>
      </c>
      <c r="G8" s="80" t="s">
        <v>3992</v>
      </c>
    </row>
    <row r="9" spans="1:7" ht="31.5" customHeight="1" x14ac:dyDescent="0.35">
      <c r="A9" s="77">
        <v>7</v>
      </c>
      <c r="B9" s="77" t="s">
        <v>3976</v>
      </c>
      <c r="C9" s="78" t="s">
        <v>3984</v>
      </c>
      <c r="D9" s="79">
        <v>45262</v>
      </c>
      <c r="E9" s="80" t="s">
        <v>3977</v>
      </c>
      <c r="F9" s="77" t="s">
        <v>3979</v>
      </c>
      <c r="G9" s="80" t="s">
        <v>3993</v>
      </c>
    </row>
  </sheetData>
  <mergeCells count="1">
    <mergeCell ref="A1:G1"/>
  </mergeCells>
  <conditionalFormatting sqref="A1">
    <cfRule type="duplicateValues" dxfId="151" priority="21"/>
  </conditionalFormatting>
  <conditionalFormatting sqref="A3:A9">
    <cfRule type="duplicateValues" dxfId="150" priority="14"/>
    <cfRule type="duplicateValues" dxfId="149" priority="2"/>
    <cfRule type="duplicateValues" dxfId="148" priority="3"/>
    <cfRule type="duplicateValues" dxfId="147" priority="6"/>
    <cfRule type="duplicateValues" dxfId="146" priority="9"/>
    <cfRule type="duplicateValues" dxfId="145" priority="10"/>
    <cfRule type="duplicateValues" dxfId="144" priority="11"/>
    <cfRule type="duplicateValues" dxfId="143" priority="12"/>
    <cfRule type="duplicateValues" dxfId="142" priority="13"/>
    <cfRule type="duplicateValues" dxfId="141" priority="15"/>
    <cfRule type="duplicateValues" dxfId="140" priority="16"/>
    <cfRule type="duplicateValues" dxfId="139" priority="17"/>
    <cfRule type="duplicateValues" dxfId="138" priority="18"/>
    <cfRule type="duplicateValues" dxfId="137" priority="19"/>
    <cfRule type="duplicateValues" dxfId="136" priority="20"/>
  </conditionalFormatting>
  <conditionalFormatting sqref="A2:B2">
    <cfRule type="duplicateValues" dxfId="135" priority="157"/>
    <cfRule type="duplicateValues" dxfId="134" priority="156"/>
    <cfRule type="duplicateValues" dxfId="133" priority="155"/>
    <cfRule type="duplicateValues" dxfId="132" priority="141"/>
    <cfRule type="duplicateValues" dxfId="131" priority="154"/>
    <cfRule type="duplicateValues" dxfId="130" priority="153"/>
    <cfRule type="duplicateValues" dxfId="129" priority="152"/>
    <cfRule type="duplicateValues" dxfId="128" priority="151"/>
    <cfRule type="duplicateValues" dxfId="127" priority="150"/>
    <cfRule type="duplicateValues" dxfId="126" priority="149"/>
    <cfRule type="duplicateValues" dxfId="125" priority="148"/>
    <cfRule type="duplicateValues" dxfId="124" priority="147"/>
    <cfRule type="duplicateValues" dxfId="123" priority="146"/>
    <cfRule type="duplicateValues" dxfId="122" priority="145"/>
    <cfRule type="duplicateValues" dxfId="121" priority="144"/>
    <cfRule type="duplicateValues" dxfId="120" priority="143"/>
    <cfRule type="duplicateValues" dxfId="119" priority="142"/>
    <cfRule type="duplicateValues" dxfId="118" priority="159"/>
    <cfRule type="duplicateValues" dxfId="117" priority="158"/>
  </conditionalFormatting>
  <conditionalFormatting sqref="B3">
    <cfRule type="duplicateValues" dxfId="116" priority="137"/>
    <cfRule type="duplicateValues" dxfId="115" priority="136"/>
    <cfRule type="duplicateValues" dxfId="114" priority="135"/>
    <cfRule type="duplicateValues" dxfId="113" priority="134"/>
    <cfRule type="duplicateValues" dxfId="112" priority="133"/>
    <cfRule type="duplicateValues" dxfId="111" priority="132"/>
    <cfRule type="duplicateValues" dxfId="110" priority="131"/>
    <cfRule type="duplicateValues" dxfId="109" priority="130"/>
    <cfRule type="duplicateValues" dxfId="108" priority="129"/>
    <cfRule type="duplicateValues" dxfId="107" priority="128"/>
    <cfRule type="duplicateValues" dxfId="106" priority="127"/>
    <cfRule type="duplicateValues" dxfId="105" priority="126"/>
    <cfRule type="duplicateValues" dxfId="104" priority="125"/>
    <cfRule type="duplicateValues" dxfId="103" priority="124"/>
    <cfRule type="duplicateValues" dxfId="102" priority="123"/>
    <cfRule type="duplicateValues" dxfId="101" priority="122"/>
    <cfRule type="duplicateValues" dxfId="100" priority="139"/>
    <cfRule type="duplicateValues" dxfId="99" priority="121"/>
    <cfRule type="duplicateValues" dxfId="98" priority="138"/>
  </conditionalFormatting>
  <conditionalFormatting sqref="B4">
    <cfRule type="duplicateValues" dxfId="97" priority="61"/>
    <cfRule type="duplicateValues" dxfId="96" priority="65"/>
    <cfRule type="duplicateValues" dxfId="95" priority="66"/>
    <cfRule type="duplicateValues" dxfId="94" priority="67"/>
    <cfRule type="duplicateValues" dxfId="93" priority="68"/>
    <cfRule type="duplicateValues" dxfId="92" priority="69"/>
    <cfRule type="duplicateValues" dxfId="91" priority="70"/>
    <cfRule type="duplicateValues" dxfId="90" priority="71"/>
    <cfRule type="duplicateValues" dxfId="89" priority="72"/>
    <cfRule type="duplicateValues" dxfId="88" priority="64"/>
    <cfRule type="duplicateValues" dxfId="87" priority="74"/>
    <cfRule type="duplicateValues" dxfId="86" priority="75"/>
    <cfRule type="duplicateValues" dxfId="85" priority="76"/>
    <cfRule type="duplicateValues" dxfId="84" priority="77"/>
    <cfRule type="duplicateValues" dxfId="83" priority="78"/>
    <cfRule type="duplicateValues" dxfId="82" priority="79"/>
    <cfRule type="duplicateValues" dxfId="81" priority="62"/>
    <cfRule type="duplicateValues" dxfId="80" priority="63"/>
    <cfRule type="duplicateValues" dxfId="79" priority="73"/>
  </conditionalFormatting>
  <conditionalFormatting sqref="B5">
    <cfRule type="duplicateValues" dxfId="78" priority="83"/>
    <cfRule type="duplicateValues" dxfId="77" priority="84"/>
    <cfRule type="duplicateValues" dxfId="76" priority="85"/>
    <cfRule type="duplicateValues" dxfId="75" priority="86"/>
    <cfRule type="duplicateValues" dxfId="74" priority="87"/>
    <cfRule type="duplicateValues" dxfId="73" priority="88"/>
    <cfRule type="duplicateValues" dxfId="72" priority="89"/>
    <cfRule type="duplicateValues" dxfId="71" priority="90"/>
    <cfRule type="duplicateValues" dxfId="70" priority="91"/>
    <cfRule type="duplicateValues" dxfId="69" priority="92"/>
    <cfRule type="duplicateValues" dxfId="68" priority="93"/>
    <cfRule type="duplicateValues" dxfId="67" priority="94"/>
    <cfRule type="duplicateValues" dxfId="66" priority="95"/>
    <cfRule type="duplicateValues" dxfId="65" priority="96"/>
    <cfRule type="duplicateValues" dxfId="64" priority="97"/>
    <cfRule type="duplicateValues" dxfId="63" priority="98"/>
    <cfRule type="duplicateValues" dxfId="62" priority="99"/>
    <cfRule type="duplicateValues" dxfId="61" priority="81"/>
    <cfRule type="duplicateValues" dxfId="60" priority="82"/>
  </conditionalFormatting>
  <conditionalFormatting sqref="B6">
    <cfRule type="duplicateValues" dxfId="59" priority="102"/>
    <cfRule type="duplicateValues" dxfId="58" priority="103"/>
    <cfRule type="duplicateValues" dxfId="57" priority="104"/>
    <cfRule type="duplicateValues" dxfId="56" priority="105"/>
    <cfRule type="duplicateValues" dxfId="55" priority="106"/>
    <cfRule type="duplicateValues" dxfId="54" priority="107"/>
    <cfRule type="duplicateValues" dxfId="53" priority="108"/>
    <cfRule type="duplicateValues" dxfId="52" priority="109"/>
    <cfRule type="duplicateValues" dxfId="51" priority="110"/>
    <cfRule type="duplicateValues" dxfId="50" priority="111"/>
    <cfRule type="duplicateValues" dxfId="49" priority="112"/>
    <cfRule type="duplicateValues" dxfId="48" priority="113"/>
    <cfRule type="duplicateValues" dxfId="47" priority="114"/>
    <cfRule type="duplicateValues" dxfId="46" priority="115"/>
    <cfRule type="duplicateValues" dxfId="45" priority="116"/>
    <cfRule type="duplicateValues" dxfId="44" priority="117"/>
    <cfRule type="duplicateValues" dxfId="43" priority="118"/>
    <cfRule type="duplicateValues" dxfId="42" priority="119"/>
    <cfRule type="duplicateValues" dxfId="41" priority="101"/>
  </conditionalFormatting>
  <conditionalFormatting sqref="B7">
    <cfRule type="duplicateValues" dxfId="40" priority="47"/>
    <cfRule type="duplicateValues" dxfId="39" priority="59"/>
    <cfRule type="duplicateValues" dxfId="38" priority="58"/>
    <cfRule type="duplicateValues" dxfId="37" priority="57"/>
    <cfRule type="duplicateValues" dxfId="36" priority="56"/>
    <cfRule type="duplicateValues" dxfId="35" priority="55"/>
    <cfRule type="duplicateValues" dxfId="34" priority="54"/>
    <cfRule type="duplicateValues" dxfId="33" priority="53"/>
    <cfRule type="duplicateValues" dxfId="32" priority="52"/>
    <cfRule type="duplicateValues" dxfId="31" priority="51"/>
    <cfRule type="duplicateValues" dxfId="30" priority="50"/>
    <cfRule type="duplicateValues" dxfId="29" priority="49"/>
    <cfRule type="duplicateValues" dxfId="28" priority="48"/>
    <cfRule type="duplicateValues" dxfId="27" priority="46"/>
    <cfRule type="duplicateValues" dxfId="26" priority="45"/>
    <cfRule type="duplicateValues" dxfId="25" priority="44"/>
    <cfRule type="duplicateValues" dxfId="24" priority="43"/>
    <cfRule type="duplicateValues" dxfId="23" priority="42"/>
    <cfRule type="duplicateValues" dxfId="22" priority="41"/>
  </conditionalFormatting>
  <conditionalFormatting sqref="B8:B9">
    <cfRule type="duplicateValues" dxfId="21" priority="26"/>
    <cfRule type="duplicateValues" dxfId="20" priority="40"/>
    <cfRule type="duplicateValues" dxfId="19" priority="39"/>
    <cfRule type="duplicateValues" dxfId="18" priority="38"/>
    <cfRule type="duplicateValues" dxfId="17" priority="37"/>
    <cfRule type="duplicateValues" dxfId="16" priority="36"/>
    <cfRule type="duplicateValues" dxfId="15" priority="35"/>
    <cfRule type="duplicateValues" dxfId="14" priority="34"/>
    <cfRule type="duplicateValues" dxfId="13" priority="33"/>
    <cfRule type="duplicateValues" dxfId="12" priority="32"/>
    <cfRule type="duplicateValues" dxfId="11" priority="31"/>
    <cfRule type="duplicateValues" dxfId="10" priority="30"/>
    <cfRule type="duplicateValues" dxfId="9" priority="29"/>
    <cfRule type="duplicateValues" dxfId="8" priority="23"/>
    <cfRule type="duplicateValues" dxfId="7" priority="22"/>
  </conditionalFormatting>
  <conditionalFormatting sqref="C2">
    <cfRule type="duplicateValues" dxfId="6" priority="160"/>
  </conditionalFormatting>
  <conditionalFormatting sqref="C3">
    <cfRule type="duplicateValues" dxfId="5" priority="140"/>
  </conditionalFormatting>
  <conditionalFormatting sqref="C4">
    <cfRule type="duplicateValues" dxfId="4" priority="80"/>
  </conditionalFormatting>
  <conditionalFormatting sqref="C5">
    <cfRule type="duplicateValues" dxfId="3" priority="100"/>
  </conditionalFormatting>
  <conditionalFormatting sqref="C6">
    <cfRule type="duplicateValues" dxfId="2" priority="120"/>
  </conditionalFormatting>
  <conditionalFormatting sqref="C8">
    <cfRule type="duplicateValues" dxfId="1" priority="1"/>
  </conditionalFormatting>
  <conditionalFormatting sqref="C9 C7">
    <cfRule type="duplicateValues" dxfId="0" priority="16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8FB6-7DA0-4621-85EC-AF80E2487513}">
  <dimension ref="A1:G51"/>
  <sheetViews>
    <sheetView tabSelected="1" zoomScale="74" workbookViewId="0">
      <selection activeCell="C6" sqref="C6"/>
    </sheetView>
  </sheetViews>
  <sheetFormatPr defaultRowHeight="14.5" x14ac:dyDescent="0.35"/>
  <cols>
    <col min="2" max="2" width="82.453125" style="81" customWidth="1"/>
    <col min="3" max="3" width="66.453125" style="83" customWidth="1"/>
    <col min="7" max="7" width="39.08984375" customWidth="1"/>
  </cols>
  <sheetData>
    <row r="1" spans="1:7" ht="45.5" customHeight="1" x14ac:dyDescent="0.35">
      <c r="A1" s="59" t="s">
        <v>4042</v>
      </c>
      <c r="B1" s="82" t="s">
        <v>4006</v>
      </c>
      <c r="C1" s="59" t="s">
        <v>4007</v>
      </c>
    </row>
    <row r="2" spans="1:7" ht="45.5" customHeight="1" x14ac:dyDescent="0.35">
      <c r="A2" s="1">
        <v>1</v>
      </c>
      <c r="B2" s="73" t="s">
        <v>4036</v>
      </c>
      <c r="C2" s="1" t="s">
        <v>4040</v>
      </c>
      <c r="G2" t="s">
        <v>4012</v>
      </c>
    </row>
    <row r="3" spans="1:7" ht="45.5" customHeight="1" x14ac:dyDescent="0.35">
      <c r="A3" s="1">
        <v>2</v>
      </c>
      <c r="B3" s="73" t="s">
        <v>4037</v>
      </c>
      <c r="C3" s="1" t="s">
        <v>4041</v>
      </c>
    </row>
    <row r="4" spans="1:7" ht="45.5" customHeight="1" x14ac:dyDescent="0.35">
      <c r="A4" s="1">
        <v>3</v>
      </c>
      <c r="B4" s="73" t="s">
        <v>4038</v>
      </c>
      <c r="C4" s="87" t="s">
        <v>4013</v>
      </c>
      <c r="G4" t="s">
        <v>4013</v>
      </c>
    </row>
    <row r="5" spans="1:7" ht="45.5" customHeight="1" x14ac:dyDescent="0.35">
      <c r="A5" s="1">
        <v>4</v>
      </c>
      <c r="B5" s="73" t="s">
        <v>4039</v>
      </c>
      <c r="C5" s="1" t="s">
        <v>4040</v>
      </c>
    </row>
    <row r="6" spans="1:7" ht="33.5" customHeight="1" x14ac:dyDescent="0.35">
      <c r="B6"/>
      <c r="C6"/>
      <c r="G6" t="s">
        <v>4014</v>
      </c>
    </row>
    <row r="7" spans="1:7" ht="33.5" customHeight="1" x14ac:dyDescent="0.35">
      <c r="B7"/>
      <c r="C7"/>
    </row>
    <row r="8" spans="1:7" ht="33.5" customHeight="1" x14ac:dyDescent="0.35">
      <c r="B8"/>
      <c r="C8"/>
      <c r="G8" t="s">
        <v>4015</v>
      </c>
    </row>
    <row r="9" spans="1:7" ht="33.5" customHeight="1" x14ac:dyDescent="0.35">
      <c r="B9"/>
      <c r="C9"/>
    </row>
    <row r="10" spans="1:7" ht="33.5" customHeight="1" x14ac:dyDescent="0.35">
      <c r="B10"/>
      <c r="C10"/>
    </row>
    <row r="11" spans="1:7" ht="33.5" customHeight="1" x14ac:dyDescent="0.35">
      <c r="B11"/>
      <c r="C11"/>
    </row>
    <row r="12" spans="1:7" ht="33.5" customHeight="1" x14ac:dyDescent="0.35">
      <c r="B12"/>
      <c r="C12"/>
    </row>
    <row r="13" spans="1:7" ht="33.5" customHeight="1" x14ac:dyDescent="0.35">
      <c r="B13"/>
      <c r="C13"/>
    </row>
    <row r="14" spans="1:7" ht="33.5" customHeight="1" x14ac:dyDescent="0.35">
      <c r="B14"/>
      <c r="C14"/>
    </row>
    <row r="15" spans="1:7" ht="33.5" customHeight="1" x14ac:dyDescent="0.35">
      <c r="B15"/>
      <c r="C15"/>
    </row>
    <row r="16" spans="1:7" ht="33.5" customHeight="1" x14ac:dyDescent="0.35">
      <c r="B16"/>
      <c r="C16"/>
    </row>
    <row r="17" spans="2:3" ht="33.5" customHeight="1" x14ac:dyDescent="0.35">
      <c r="B17"/>
      <c r="C17"/>
    </row>
    <row r="18" spans="2:3" ht="33.5" customHeight="1" x14ac:dyDescent="0.35">
      <c r="B18"/>
      <c r="C18"/>
    </row>
    <row r="19" spans="2:3" ht="33.5" customHeight="1" x14ac:dyDescent="0.35">
      <c r="B19"/>
      <c r="C19"/>
    </row>
    <row r="20" spans="2:3" ht="33.5" customHeight="1" x14ac:dyDescent="0.35">
      <c r="B20"/>
      <c r="C20"/>
    </row>
    <row r="21" spans="2:3" ht="33.5" customHeight="1" x14ac:dyDescent="0.35">
      <c r="B21"/>
      <c r="C21"/>
    </row>
    <row r="22" spans="2:3" ht="33.5" customHeight="1" x14ac:dyDescent="0.35">
      <c r="B22"/>
      <c r="C22"/>
    </row>
    <row r="23" spans="2:3" ht="33.5" customHeight="1" x14ac:dyDescent="0.35">
      <c r="B23"/>
      <c r="C23"/>
    </row>
    <row r="24" spans="2:3" ht="33.5" customHeight="1" x14ac:dyDescent="0.35">
      <c r="B24"/>
      <c r="C24"/>
    </row>
    <row r="25" spans="2:3" ht="45" customHeight="1" x14ac:dyDescent="0.35">
      <c r="B25"/>
      <c r="C25"/>
    </row>
    <row r="26" spans="2:3" ht="33.5" customHeight="1" x14ac:dyDescent="0.35">
      <c r="B26"/>
      <c r="C26"/>
    </row>
    <row r="27" spans="2:3" ht="33.5" customHeight="1" x14ac:dyDescent="0.35">
      <c r="B27"/>
      <c r="C27"/>
    </row>
    <row r="28" spans="2:3" ht="33.5" customHeight="1" x14ac:dyDescent="0.35">
      <c r="B28"/>
      <c r="C28"/>
    </row>
    <row r="29" spans="2:3" ht="54" customHeight="1" x14ac:dyDescent="0.35">
      <c r="B29"/>
      <c r="C29"/>
    </row>
    <row r="30" spans="2:3" ht="33.5" customHeight="1" x14ac:dyDescent="0.35">
      <c r="B30"/>
      <c r="C30"/>
    </row>
    <row r="31" spans="2:3" ht="33.5" customHeight="1" x14ac:dyDescent="0.35">
      <c r="B31"/>
      <c r="C31"/>
    </row>
    <row r="32" spans="2:3" ht="56" customHeight="1" x14ac:dyDescent="0.35">
      <c r="B32"/>
      <c r="C32"/>
    </row>
    <row r="33" spans="2:3" ht="33.5" customHeight="1" x14ac:dyDescent="0.35">
      <c r="B33"/>
      <c r="C33"/>
    </row>
    <row r="34" spans="2:3" ht="33.5" customHeight="1" x14ac:dyDescent="0.35">
      <c r="B34"/>
      <c r="C34"/>
    </row>
    <row r="35" spans="2:3" ht="36.5" customHeight="1" x14ac:dyDescent="0.35">
      <c r="B35"/>
      <c r="C35"/>
    </row>
    <row r="36" spans="2:3" ht="36.5" customHeight="1" x14ac:dyDescent="0.35"/>
    <row r="37" spans="2:3" ht="36.5" customHeight="1" x14ac:dyDescent="0.35"/>
    <row r="38" spans="2:3" ht="36.5" customHeight="1" x14ac:dyDescent="0.35"/>
    <row r="39" spans="2:3" ht="36.5" customHeight="1" x14ac:dyDescent="0.35"/>
    <row r="40" spans="2:3" ht="36.5" customHeight="1" x14ac:dyDescent="0.35"/>
    <row r="41" spans="2:3" ht="36.5" customHeight="1" x14ac:dyDescent="0.35"/>
    <row r="42" spans="2:3" ht="36.5" customHeight="1" x14ac:dyDescent="0.35"/>
    <row r="43" spans="2:3" ht="36.5" customHeight="1" x14ac:dyDescent="0.35"/>
    <row r="44" spans="2:3" ht="36.5" customHeight="1" x14ac:dyDescent="0.35"/>
    <row r="45" spans="2:3" ht="36.5" customHeight="1" x14ac:dyDescent="0.35"/>
    <row r="46" spans="2:3" ht="36.5" customHeight="1" x14ac:dyDescent="0.35"/>
    <row r="47" spans="2:3" ht="36.5" customHeight="1" x14ac:dyDescent="0.35"/>
    <row r="48" spans="2:3" ht="36.5" customHeight="1" x14ac:dyDescent="0.35"/>
    <row r="49" ht="36.5" customHeight="1" x14ac:dyDescent="0.35"/>
    <row r="50" ht="36.5" customHeight="1" x14ac:dyDescent="0.35"/>
    <row r="51" ht="36.5" customHeight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PLANGRID</vt:lpstr>
      <vt:lpstr>SUMMARY</vt:lpstr>
      <vt:lpstr>STAMP</vt:lpstr>
      <vt:lpstr>ELV WIRS</vt:lpstr>
      <vt:lpstr>DRAFT</vt:lpstr>
      <vt:lpstr>INFORMETION</vt:lpstr>
      <vt:lpstr>BASS</vt:lpstr>
      <vt:lpstr>MANPOWER </vt:lpstr>
      <vt:lpstr>FAS RESPONSE</vt:lpstr>
      <vt:lpstr>STAMP!Print_Area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Rebera</dc:creator>
  <cp:lastModifiedBy>Manuel Rebera</cp:lastModifiedBy>
  <cp:lastPrinted>2026-08-12T15:10:33Z</cp:lastPrinted>
  <dcterms:created xsi:type="dcterms:W3CDTF">2026-07-25T06:32:01Z</dcterms:created>
  <dcterms:modified xsi:type="dcterms:W3CDTF">2026-08-25T09:43:50Z</dcterms:modified>
</cp:coreProperties>
</file>